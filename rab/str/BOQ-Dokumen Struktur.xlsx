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RENDRA 6 JUNI\PRY SARI DHARMA\GBR KERJA\STRUKTUR\"/>
    </mc:Choice>
  </mc:AlternateContent>
  <xr:revisionPtr revIDLastSave="0" documentId="13_ncr:1_{1DB76F48-2843-4153-893E-54643108826F}" xr6:coauthVersionLast="47" xr6:coauthVersionMax="47" xr10:uidLastSave="{00000000-0000-0000-0000-000000000000}"/>
  <bookViews>
    <workbookView xWindow="-108" yWindow="-108" windowWidth="23256" windowHeight="12456" xr2:uid="{EE0CF35A-E3D2-4635-AED6-8A372E1426BB}"/>
  </bookViews>
  <sheets>
    <sheet name="BOQ STRUKTUR" sheetId="1" r:id="rId1"/>
    <sheet name="AHSP" sheetId="2" r:id="rId2"/>
  </sheets>
  <externalReferences>
    <externalReference r:id="rId3"/>
  </externalReferences>
  <definedNames>
    <definedName name="upahbahan">'[1]Upah Bahan'!$F$9:$H$2830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1" i="2" l="1"/>
  <c r="G251" i="2" s="1"/>
  <c r="F250" i="2"/>
  <c r="G250" i="2" s="1"/>
  <c r="F247" i="2"/>
  <c r="G247" i="2" s="1"/>
  <c r="F246" i="2"/>
  <c r="G246" i="2" s="1"/>
  <c r="G248" i="2" s="1"/>
  <c r="F243" i="2"/>
  <c r="G243" i="2" s="1"/>
  <c r="F242" i="2"/>
  <c r="G242" i="2" s="1"/>
  <c r="F241" i="2"/>
  <c r="G241" i="2" s="1"/>
  <c r="F240" i="2"/>
  <c r="G240" i="2" s="1"/>
  <c r="F228" i="2"/>
  <c r="G228" i="2" s="1"/>
  <c r="F227" i="2"/>
  <c r="G227" i="2" s="1"/>
  <c r="F226" i="2"/>
  <c r="G226" i="2" s="1"/>
  <c r="F225" i="2"/>
  <c r="G225" i="2" s="1"/>
  <c r="F224" i="2"/>
  <c r="G224" i="2" s="1"/>
  <c r="F221" i="2"/>
  <c r="G221" i="2" s="1"/>
  <c r="F220" i="2"/>
  <c r="G220" i="2" s="1"/>
  <c r="F219" i="2"/>
  <c r="G219" i="2" s="1"/>
  <c r="F218" i="2"/>
  <c r="G218" i="2" s="1"/>
  <c r="F98" i="2"/>
  <c r="G98" i="2" s="1"/>
  <c r="F97" i="2"/>
  <c r="G97" i="2" s="1"/>
  <c r="F94" i="2"/>
  <c r="G94" i="2" s="1"/>
  <c r="F93" i="2"/>
  <c r="G93" i="2" s="1"/>
  <c r="F92" i="2"/>
  <c r="G92" i="2" s="1"/>
  <c r="F91" i="2"/>
  <c r="G91" i="2" s="1"/>
  <c r="F206" i="2"/>
  <c r="G206" i="2" s="1"/>
  <c r="F205" i="2"/>
  <c r="G205" i="2" s="1"/>
  <c r="F204" i="2"/>
  <c r="G204" i="2" s="1"/>
  <c r="F203" i="2"/>
  <c r="G203" i="2" s="1"/>
  <c r="F202" i="2"/>
  <c r="G202" i="2" s="1"/>
  <c r="F199" i="2"/>
  <c r="G199" i="2" s="1"/>
  <c r="F198" i="2"/>
  <c r="G198" i="2" s="1"/>
  <c r="F197" i="2"/>
  <c r="G197" i="2" s="1"/>
  <c r="F196" i="2"/>
  <c r="G196" i="2" s="1"/>
  <c r="F184" i="2"/>
  <c r="G184" i="2" s="1"/>
  <c r="F183" i="2"/>
  <c r="G183" i="2" s="1"/>
  <c r="F182" i="2"/>
  <c r="G182" i="2" s="1"/>
  <c r="F181" i="2"/>
  <c r="G181" i="2" s="1"/>
  <c r="F180" i="2"/>
  <c r="G180" i="2" s="1"/>
  <c r="F177" i="2"/>
  <c r="G177" i="2" s="1"/>
  <c r="F176" i="2"/>
  <c r="G176" i="2" s="1"/>
  <c r="F175" i="2"/>
  <c r="G175" i="2" s="1"/>
  <c r="F174" i="2"/>
  <c r="G174" i="2" s="1"/>
  <c r="F162" i="2"/>
  <c r="G162" i="2" s="1"/>
  <c r="F161" i="2"/>
  <c r="G161" i="2" s="1"/>
  <c r="F158" i="2"/>
  <c r="G158" i="2" s="1"/>
  <c r="F157" i="2"/>
  <c r="G157" i="2" s="1"/>
  <c r="C156" i="2"/>
  <c r="G156" i="2" s="1"/>
  <c r="F155" i="2"/>
  <c r="G155" i="2" s="1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5" i="2"/>
  <c r="G135" i="2" s="1"/>
  <c r="F134" i="2"/>
  <c r="G134" i="2" s="1"/>
  <c r="F133" i="2"/>
  <c r="G133" i="2" s="1"/>
  <c r="F132" i="2"/>
  <c r="G132" i="2" s="1"/>
  <c r="F122" i="2"/>
  <c r="G122" i="2" s="1"/>
  <c r="G123" i="2" s="1"/>
  <c r="F119" i="2"/>
  <c r="G119" i="2" s="1"/>
  <c r="F118" i="2"/>
  <c r="G118" i="2" s="1"/>
  <c r="F117" i="2"/>
  <c r="G117" i="2" s="1"/>
  <c r="F116" i="2"/>
  <c r="G116" i="2" s="1"/>
  <c r="F113" i="2"/>
  <c r="G113" i="2" s="1"/>
  <c r="F112" i="2"/>
  <c r="G112" i="2" s="1"/>
  <c r="F111" i="2"/>
  <c r="G111" i="2" s="1"/>
  <c r="F110" i="2"/>
  <c r="G110" i="2" s="1"/>
  <c r="F81" i="2"/>
  <c r="G81" i="2" s="1"/>
  <c r="F80" i="2"/>
  <c r="G80" i="2" s="1"/>
  <c r="F77" i="2"/>
  <c r="G77" i="2" s="1"/>
  <c r="F76" i="2"/>
  <c r="G76" i="2" s="1"/>
  <c r="F73" i="2"/>
  <c r="G73" i="2" s="1"/>
  <c r="F72" i="2"/>
  <c r="G72" i="2" s="1"/>
  <c r="C71" i="2"/>
  <c r="G71" i="2" s="1"/>
  <c r="F70" i="2"/>
  <c r="G70" i="2" s="1"/>
  <c r="F58" i="2"/>
  <c r="G58" i="2" s="1"/>
  <c r="F57" i="2"/>
  <c r="G57" i="2" s="1"/>
  <c r="F56" i="2"/>
  <c r="G56" i="2" s="1"/>
  <c r="F53" i="2"/>
  <c r="G53" i="2" s="1"/>
  <c r="F52" i="2"/>
  <c r="G52" i="2" s="1"/>
  <c r="F51" i="2"/>
  <c r="G51" i="2" s="1"/>
  <c r="F50" i="2"/>
  <c r="G50" i="2" s="1"/>
  <c r="G41" i="2"/>
  <c r="G39" i="2"/>
  <c r="F36" i="2"/>
  <c r="G36" i="2" s="1"/>
  <c r="F35" i="2"/>
  <c r="G35" i="2" s="1"/>
  <c r="F25" i="2"/>
  <c r="G25" i="2" s="1"/>
  <c r="G26" i="2" s="1"/>
  <c r="G23" i="2"/>
  <c r="G21" i="2"/>
  <c r="F7" i="2"/>
  <c r="G7" i="2" s="1"/>
  <c r="F6" i="2"/>
  <c r="G6" i="2" s="1"/>
  <c r="G222" i="2" l="1"/>
  <c r="G252" i="2"/>
  <c r="G95" i="2"/>
  <c r="G244" i="2"/>
  <c r="G37" i="2"/>
  <c r="G42" i="2" s="1"/>
  <c r="G43" i="2" s="1"/>
  <c r="G44" i="2" s="1"/>
  <c r="I32" i="2" s="1"/>
  <c r="F20" i="1" s="1"/>
  <c r="G229" i="2"/>
  <c r="G163" i="2"/>
  <c r="G253" i="2"/>
  <c r="G232" i="2"/>
  <c r="G54" i="2"/>
  <c r="G99" i="2"/>
  <c r="G102" i="2" s="1"/>
  <c r="G78" i="2"/>
  <c r="G120" i="2"/>
  <c r="G82" i="2"/>
  <c r="G200" i="2"/>
  <c r="G136" i="2"/>
  <c r="G207" i="2"/>
  <c r="G210" i="2" s="1"/>
  <c r="G185" i="2"/>
  <c r="G178" i="2"/>
  <c r="G159" i="2"/>
  <c r="G144" i="2"/>
  <c r="G114" i="2"/>
  <c r="G74" i="2"/>
  <c r="G59" i="2"/>
  <c r="G8" i="2"/>
  <c r="G13" i="2" s="1"/>
  <c r="G14" i="2" s="1"/>
  <c r="G15" i="2" s="1"/>
  <c r="I3" i="2" s="1"/>
  <c r="G27" i="2"/>
  <c r="G28" i="2" s="1"/>
  <c r="G29" i="2" s="1"/>
  <c r="I18" i="2" s="1"/>
  <c r="F18" i="1" s="1"/>
  <c r="G188" i="2" l="1"/>
  <c r="G166" i="2"/>
  <c r="G167" i="2" s="1"/>
  <c r="G168" i="2" s="1"/>
  <c r="H152" i="2" s="1"/>
  <c r="G254" i="2"/>
  <c r="G255" i="2" s="1"/>
  <c r="H237" i="2" s="1"/>
  <c r="G233" i="2"/>
  <c r="G234" i="2" s="1"/>
  <c r="H215" i="2" s="1"/>
  <c r="G124" i="2"/>
  <c r="G125" i="2" s="1"/>
  <c r="G126" i="2" s="1"/>
  <c r="H107" i="2" s="1"/>
  <c r="G62" i="2"/>
  <c r="G63" i="2" s="1"/>
  <c r="G64" i="2" s="1"/>
  <c r="H47" i="2" s="1"/>
  <c r="G83" i="2"/>
  <c r="G147" i="2"/>
  <c r="G103" i="2"/>
  <c r="G104" i="2" s="1"/>
  <c r="H88" i="2" s="1"/>
  <c r="G211" i="2"/>
  <c r="G212" i="2" s="1"/>
  <c r="H193" i="2" s="1"/>
  <c r="G189" i="2"/>
  <c r="G190" i="2" s="1"/>
  <c r="H171" i="2" s="1"/>
  <c r="G148" i="2"/>
  <c r="G149" i="2" s="1"/>
  <c r="H129" i="2" s="1"/>
  <c r="G84" i="2"/>
  <c r="G85" i="2" s="1"/>
  <c r="H67" i="2" s="1"/>
  <c r="F16" i="1"/>
  <c r="F15" i="1"/>
  <c r="F14" i="1"/>
  <c r="F13" i="1"/>
  <c r="F12" i="1"/>
  <c r="F404" i="1" l="1"/>
  <c r="F403" i="1"/>
  <c r="F402" i="1"/>
  <c r="F401" i="1"/>
  <c r="F400" i="1"/>
  <c r="F399" i="1"/>
  <c r="F126" i="1"/>
  <c r="F360" i="1"/>
  <c r="F297" i="1"/>
  <c r="F267" i="1"/>
  <c r="F358" i="1"/>
  <c r="F265" i="1"/>
  <c r="F359" i="1"/>
  <c r="F296" i="1"/>
  <c r="F266" i="1"/>
  <c r="F367" i="1"/>
  <c r="F59" i="1"/>
  <c r="F269" i="1"/>
  <c r="F357" i="1"/>
  <c r="F356" i="1"/>
  <c r="F305" i="1"/>
  <c r="F268" i="1"/>
  <c r="F354" i="1"/>
  <c r="F324" i="1"/>
  <c r="F353" i="1"/>
  <c r="F352" i="1"/>
  <c r="F395" i="1"/>
  <c r="F298" i="1"/>
  <c r="F355" i="1"/>
  <c r="F323" i="1"/>
  <c r="F301" i="1"/>
  <c r="F300" i="1"/>
  <c r="F299" i="1"/>
  <c r="F303" i="1"/>
  <c r="F376" i="1"/>
  <c r="F388" i="1"/>
  <c r="F351" i="1"/>
  <c r="F387" i="1"/>
  <c r="F312" i="1"/>
  <c r="F248" i="1"/>
  <c r="F187" i="1"/>
  <c r="F304" i="1"/>
  <c r="F302" i="1"/>
  <c r="F309" i="1"/>
  <c r="F245" i="1"/>
  <c r="F184" i="1"/>
  <c r="F392" i="1"/>
  <c r="F57" i="1"/>
  <c r="F364" i="1"/>
  <c r="F123" i="1"/>
  <c r="F294" i="1"/>
  <c r="F288" i="1"/>
  <c r="F341" i="1"/>
  <c r="F321" i="1"/>
  <c r="F293" i="1"/>
  <c r="F263" i="1"/>
  <c r="F292" i="1"/>
  <c r="F262" i="1"/>
  <c r="F290" i="1"/>
  <c r="F260" i="1"/>
  <c r="F289" i="1"/>
  <c r="F259" i="1"/>
  <c r="F291" i="1"/>
  <c r="F261" i="1"/>
  <c r="F374" i="1"/>
  <c r="F344" i="1"/>
  <c r="F342" i="1"/>
  <c r="F320" i="1"/>
  <c r="F287" i="1"/>
  <c r="F349" i="1"/>
  <c r="F286" i="1"/>
  <c r="F385" i="1"/>
  <c r="F348" i="1"/>
  <c r="F285" i="1"/>
  <c r="F384" i="1"/>
  <c r="F347" i="1"/>
  <c r="F346" i="1"/>
  <c r="F247" i="1"/>
  <c r="F311" i="1" s="1"/>
  <c r="F186" i="1"/>
  <c r="F345" i="1"/>
  <c r="F343" i="1"/>
  <c r="F340" i="1"/>
  <c r="F372" i="1"/>
  <c r="F257" i="1"/>
  <c r="F256" i="1"/>
  <c r="F318" i="1"/>
  <c r="F255" i="1"/>
  <c r="F317" i="1"/>
  <c r="F254" i="1"/>
  <c r="F253" i="1"/>
  <c r="F334" i="1"/>
  <c r="F332" i="1"/>
  <c r="F279" i="1"/>
  <c r="F277" i="1"/>
  <c r="F337" i="1"/>
  <c r="F336" i="1"/>
  <c r="F333" i="1"/>
  <c r="F274" i="1"/>
  <c r="F335" i="1"/>
  <c r="F331" i="1"/>
  <c r="F330" i="1"/>
  <c r="F278" i="1"/>
  <c r="F329" i="1"/>
  <c r="F280" i="1"/>
  <c r="F338" i="1"/>
  <c r="F275" i="1"/>
  <c r="F283" i="1"/>
  <c r="F382" i="1"/>
  <c r="F282" i="1"/>
  <c r="F381" i="1"/>
  <c r="F281" i="1"/>
  <c r="F276" i="1"/>
  <c r="F125" i="1"/>
  <c r="F366" i="1"/>
  <c r="F394" i="1"/>
  <c r="F39" i="1"/>
  <c r="F38" i="1"/>
  <c r="F78" i="1" s="1"/>
  <c r="F37" i="1"/>
  <c r="F77" i="1" s="1"/>
  <c r="F36" i="1"/>
  <c r="F76" i="1" s="1"/>
  <c r="F141" i="1" s="1"/>
  <c r="F109" i="1"/>
  <c r="F170" i="1" s="1"/>
  <c r="F35" i="1"/>
  <c r="F75" i="1" s="1"/>
  <c r="F140" i="1" s="1"/>
  <c r="F108" i="1"/>
  <c r="F169" i="1" s="1"/>
  <c r="F34" i="1"/>
  <c r="F74" i="1" s="1"/>
  <c r="F139" i="1" s="1"/>
  <c r="F32" i="1"/>
  <c r="F72" i="1" s="1"/>
  <c r="F137" i="1" s="1"/>
  <c r="F105" i="1"/>
  <c r="F231" i="1"/>
  <c r="F107" i="1"/>
  <c r="F168" i="1" s="1"/>
  <c r="F33" i="1"/>
  <c r="F73" i="1" s="1"/>
  <c r="F138" i="1" s="1"/>
  <c r="F106" i="1"/>
  <c r="F167" i="1" s="1"/>
  <c r="F230" i="1"/>
  <c r="F229" i="1"/>
  <c r="F228" i="1"/>
  <c r="F104" i="1"/>
  <c r="F227" i="1"/>
  <c r="F103" i="1"/>
  <c r="F226" i="1"/>
  <c r="F102" i="1"/>
  <c r="F225" i="1"/>
  <c r="F101" i="1"/>
  <c r="F224" i="1"/>
  <c r="F223" i="1"/>
  <c r="F42" i="1"/>
  <c r="F40" i="1"/>
  <c r="F41" i="1"/>
  <c r="F58" i="1"/>
  <c r="F28" i="1"/>
  <c r="F30" i="1"/>
  <c r="F29" i="1"/>
  <c r="F196" i="1"/>
  <c r="F195" i="1"/>
  <c r="F194" i="1"/>
  <c r="F70" i="1"/>
  <c r="F193" i="1"/>
  <c r="F69" i="1"/>
  <c r="F192" i="1"/>
  <c r="F68" i="1"/>
  <c r="F135" i="1" s="1"/>
  <c r="F67" i="1"/>
  <c r="F134" i="1" s="1"/>
  <c r="F66" i="1"/>
  <c r="F133" i="1" s="1"/>
  <c r="F65" i="1"/>
  <c r="F132" i="1" s="1"/>
  <c r="F64" i="1"/>
  <c r="F131" i="1" s="1"/>
  <c r="F241" i="1"/>
  <c r="F111" i="1"/>
  <c r="F172" i="1" s="1"/>
  <c r="F240" i="1"/>
  <c r="F239" i="1"/>
  <c r="F238" i="1"/>
  <c r="F53" i="1"/>
  <c r="F52" i="1"/>
  <c r="F237" i="1"/>
  <c r="F236" i="1"/>
  <c r="F235" i="1"/>
  <c r="F234" i="1"/>
  <c r="F51" i="1"/>
  <c r="F233" i="1"/>
  <c r="F50" i="1"/>
  <c r="F86" i="1" s="1"/>
  <c r="F48" i="1"/>
  <c r="F49" i="1"/>
  <c r="F85" i="1" s="1"/>
  <c r="F47" i="1"/>
  <c r="F45" i="1"/>
  <c r="F46" i="1"/>
  <c r="F44" i="1"/>
  <c r="F119" i="1"/>
  <c r="F180" i="1" s="1"/>
  <c r="F118" i="1"/>
  <c r="F179" i="1" s="1"/>
  <c r="F117" i="1"/>
  <c r="F178" i="1" s="1"/>
  <c r="F116" i="1"/>
  <c r="F177" i="1" s="1"/>
  <c r="F115" i="1"/>
  <c r="F176" i="1" s="1"/>
  <c r="F114" i="1"/>
  <c r="F175" i="1" s="1"/>
  <c r="F113" i="1"/>
  <c r="F174" i="1" s="1"/>
  <c r="F112" i="1"/>
  <c r="F173" i="1" s="1"/>
  <c r="F215" i="1"/>
  <c r="F214" i="1"/>
  <c r="F213" i="1"/>
  <c r="F99" i="1"/>
  <c r="F160" i="1" s="1"/>
  <c r="F98" i="1"/>
  <c r="F159" i="1" s="1"/>
  <c r="F97" i="1"/>
  <c r="F158" i="1" s="1"/>
  <c r="F96" i="1"/>
  <c r="F157" i="1" s="1"/>
  <c r="F95" i="1"/>
  <c r="F156" i="1" s="1"/>
  <c r="F94" i="1"/>
  <c r="F155" i="1" s="1"/>
  <c r="F221" i="1"/>
  <c r="F93" i="1"/>
  <c r="F154" i="1" s="1"/>
  <c r="F220" i="1"/>
  <c r="F92" i="1"/>
  <c r="F153" i="1" s="1"/>
  <c r="F219" i="1"/>
  <c r="F91" i="1"/>
  <c r="F152" i="1" s="1"/>
  <c r="F218" i="1"/>
  <c r="F217" i="1"/>
  <c r="F216" i="1"/>
  <c r="G407" i="1"/>
  <c r="G406" i="1"/>
  <c r="G405" i="1"/>
  <c r="G23" i="1"/>
  <c r="G24" i="1" s="1"/>
  <c r="N374" i="1"/>
  <c r="N373" i="1"/>
  <c r="N372" i="1"/>
  <c r="K370" i="1"/>
  <c r="N368" i="1"/>
  <c r="N367" i="1"/>
  <c r="N365" i="1"/>
  <c r="N364" i="1"/>
  <c r="N363" i="1"/>
  <c r="D402" i="1" s="1"/>
  <c r="G402" i="1" s="1"/>
  <c r="N361" i="1"/>
  <c r="N360" i="1"/>
  <c r="K359" i="1"/>
  <c r="N359" i="1" s="1"/>
  <c r="D400" i="1" s="1"/>
  <c r="G400" i="1" s="1"/>
  <c r="N358" i="1"/>
  <c r="D399" i="1" s="1"/>
  <c r="G399" i="1" s="1"/>
  <c r="Q352" i="1"/>
  <c r="Q351" i="1"/>
  <c r="L353" i="1"/>
  <c r="L347" i="1"/>
  <c r="N347" i="1" s="1"/>
  <c r="D382" i="1" s="1"/>
  <c r="L346" i="1"/>
  <c r="Z346" i="1" s="1"/>
  <c r="T347" i="1"/>
  <c r="Q347" i="1"/>
  <c r="S346" i="1"/>
  <c r="P342" i="1"/>
  <c r="D376" i="1" s="1"/>
  <c r="G376" i="1" s="1"/>
  <c r="O342" i="1"/>
  <c r="D372" i="1" s="1"/>
  <c r="G372" i="1" s="1"/>
  <c r="AA338" i="1"/>
  <c r="U342" i="1" s="1"/>
  <c r="Z338" i="1"/>
  <c r="Y338" i="1"/>
  <c r="N183" i="1"/>
  <c r="O183" i="1" s="1"/>
  <c r="N182" i="1"/>
  <c r="O182" i="1" s="1"/>
  <c r="L259" i="1"/>
  <c r="Z259" i="1" s="1"/>
  <c r="Z327" i="1"/>
  <c r="T327" i="1"/>
  <c r="AA327" i="1" s="1"/>
  <c r="O327" i="1"/>
  <c r="N327" i="1"/>
  <c r="Z326" i="1"/>
  <c r="T326" i="1"/>
  <c r="AA326" i="1" s="1"/>
  <c r="O326" i="1"/>
  <c r="N326" i="1"/>
  <c r="T325" i="1"/>
  <c r="AA325" i="1" s="1"/>
  <c r="Q325" i="1"/>
  <c r="Z325" i="1" s="1"/>
  <c r="O325" i="1"/>
  <c r="N325" i="1"/>
  <c r="S324" i="1"/>
  <c r="L324" i="1"/>
  <c r="N324" i="1" s="1"/>
  <c r="D337" i="1" s="1"/>
  <c r="Z323" i="1"/>
  <c r="S323" i="1"/>
  <c r="AA323" i="1" s="1"/>
  <c r="O323" i="1"/>
  <c r="D358" i="1" s="1"/>
  <c r="G358" i="1" s="1"/>
  <c r="N323" i="1"/>
  <c r="D336" i="1" s="1"/>
  <c r="S322" i="1"/>
  <c r="L322" i="1"/>
  <c r="O322" i="1" s="1"/>
  <c r="D357" i="1" s="1"/>
  <c r="G357" i="1" s="1"/>
  <c r="Z321" i="1"/>
  <c r="S321" i="1"/>
  <c r="AA321" i="1" s="1"/>
  <c r="O321" i="1"/>
  <c r="D356" i="1" s="1"/>
  <c r="G356" i="1" s="1"/>
  <c r="N321" i="1"/>
  <c r="D334" i="1" s="1"/>
  <c r="Z319" i="1"/>
  <c r="S319" i="1"/>
  <c r="AA319" i="1" s="1"/>
  <c r="O319" i="1"/>
  <c r="N319" i="1"/>
  <c r="Z318" i="1"/>
  <c r="S318" i="1"/>
  <c r="AA318" i="1" s="1"/>
  <c r="O318" i="1"/>
  <c r="N318" i="1"/>
  <c r="Z316" i="1"/>
  <c r="S316" i="1"/>
  <c r="AA316" i="1" s="1"/>
  <c r="O316" i="1"/>
  <c r="N316" i="1"/>
  <c r="D333" i="1" s="1"/>
  <c r="S315" i="1"/>
  <c r="AA315" i="1" s="1"/>
  <c r="Q315" i="1"/>
  <c r="Z315" i="1" s="1"/>
  <c r="O315" i="1"/>
  <c r="D353" i="1" s="1"/>
  <c r="N315" i="1"/>
  <c r="D331" i="1" s="1"/>
  <c r="Z313" i="1"/>
  <c r="S313" i="1"/>
  <c r="AA313" i="1" s="1"/>
  <c r="O313" i="1"/>
  <c r="N313" i="1"/>
  <c r="Z312" i="1"/>
  <c r="S312" i="1"/>
  <c r="AA312" i="1" s="1"/>
  <c r="O312" i="1"/>
  <c r="N312" i="1"/>
  <c r="Z311" i="1"/>
  <c r="S311" i="1"/>
  <c r="AA311" i="1" s="1"/>
  <c r="O311" i="1"/>
  <c r="D352" i="1" s="1"/>
  <c r="G352" i="1" s="1"/>
  <c r="N311" i="1"/>
  <c r="D330" i="1" s="1"/>
  <c r="Z309" i="1"/>
  <c r="S309" i="1"/>
  <c r="AA309" i="1" s="1"/>
  <c r="O309" i="1"/>
  <c r="N309" i="1"/>
  <c r="Z308" i="1"/>
  <c r="S308" i="1"/>
  <c r="AA308" i="1" s="1"/>
  <c r="O308" i="1"/>
  <c r="N308" i="1"/>
  <c r="P291" i="1"/>
  <c r="D323" i="1" s="1"/>
  <c r="X287" i="1"/>
  <c r="U292" i="1" s="1"/>
  <c r="W287" i="1"/>
  <c r="V287" i="1"/>
  <c r="X286" i="1"/>
  <c r="U291" i="1" s="1"/>
  <c r="W286" i="1"/>
  <c r="V286" i="1"/>
  <c r="N282" i="1"/>
  <c r="R281" i="1"/>
  <c r="R280" i="1"/>
  <c r="R279" i="1"/>
  <c r="R277" i="1"/>
  <c r="R276" i="1"/>
  <c r="Z264" i="1"/>
  <c r="T264" i="1"/>
  <c r="AA264" i="1" s="1"/>
  <c r="O264" i="1"/>
  <c r="N264" i="1"/>
  <c r="Z263" i="1"/>
  <c r="T263" i="1"/>
  <c r="AA263" i="1" s="1"/>
  <c r="O263" i="1"/>
  <c r="N263" i="1"/>
  <c r="T262" i="1"/>
  <c r="AA262" i="1" s="1"/>
  <c r="Q262" i="1"/>
  <c r="Z262" i="1" s="1"/>
  <c r="O262" i="1"/>
  <c r="N262" i="1"/>
  <c r="Z215" i="1"/>
  <c r="T215" i="1"/>
  <c r="AA215" i="1" s="1"/>
  <c r="O215" i="1"/>
  <c r="N215" i="1"/>
  <c r="Z214" i="1"/>
  <c r="T214" i="1"/>
  <c r="AA214" i="1" s="1"/>
  <c r="O214" i="1"/>
  <c r="N214" i="1"/>
  <c r="T213" i="1"/>
  <c r="AA213" i="1" s="1"/>
  <c r="Q213" i="1"/>
  <c r="Z213" i="1" s="1"/>
  <c r="O213" i="1"/>
  <c r="N213" i="1"/>
  <c r="Z159" i="1"/>
  <c r="T159" i="1"/>
  <c r="AA159" i="1" s="1"/>
  <c r="O159" i="1"/>
  <c r="N159" i="1"/>
  <c r="L261" i="1"/>
  <c r="Z261" i="1" s="1"/>
  <c r="S261" i="1"/>
  <c r="Z211" i="1"/>
  <c r="S211" i="1"/>
  <c r="AA211" i="1" s="1"/>
  <c r="O211" i="1"/>
  <c r="N211" i="1"/>
  <c r="S258" i="1"/>
  <c r="AA258" i="1" s="1"/>
  <c r="Z256" i="1"/>
  <c r="S256" i="1"/>
  <c r="AA256" i="1" s="1"/>
  <c r="O256" i="1"/>
  <c r="N256" i="1"/>
  <c r="S250" i="1"/>
  <c r="AA250" i="1" s="1"/>
  <c r="S249" i="1"/>
  <c r="AA249" i="1" s="1"/>
  <c r="S248" i="1"/>
  <c r="AA248" i="1" s="1"/>
  <c r="Z250" i="1"/>
  <c r="Z248" i="1"/>
  <c r="O248" i="1"/>
  <c r="D297" i="1" s="1"/>
  <c r="G297" i="1" s="1"/>
  <c r="N248" i="1"/>
  <c r="D275" i="1" s="1"/>
  <c r="G275" i="1" s="1"/>
  <c r="N75" i="1"/>
  <c r="Q75" i="1" s="1"/>
  <c r="D115" i="1" s="1"/>
  <c r="O207" i="1"/>
  <c r="N207" i="1"/>
  <c r="O151" i="1"/>
  <c r="D176" i="1" s="1"/>
  <c r="D237" i="1" s="1"/>
  <c r="N151" i="1"/>
  <c r="D156" i="1" s="1"/>
  <c r="D217" i="1" s="1"/>
  <c r="Z246" i="1"/>
  <c r="S246" i="1"/>
  <c r="AA246" i="1" s="1"/>
  <c r="O246" i="1"/>
  <c r="N246" i="1"/>
  <c r="S245" i="1"/>
  <c r="AA245" i="1" s="1"/>
  <c r="Z245" i="1"/>
  <c r="O245" i="1"/>
  <c r="N245" i="1"/>
  <c r="L161" i="1"/>
  <c r="O161" i="1" s="1"/>
  <c r="D179" i="1" s="1"/>
  <c r="L154" i="1"/>
  <c r="S161" i="1"/>
  <c r="AB82" i="1"/>
  <c r="U82" i="1"/>
  <c r="AC82" i="1" s="1"/>
  <c r="P82" i="1"/>
  <c r="D99" i="1" s="1"/>
  <c r="Q82" i="1"/>
  <c r="D119" i="1" s="1"/>
  <c r="AB81" i="1"/>
  <c r="U81" i="1"/>
  <c r="AC81" i="1" s="1"/>
  <c r="Q81" i="1"/>
  <c r="D112" i="1" s="1"/>
  <c r="P81" i="1"/>
  <c r="D92" i="1" s="1"/>
  <c r="P88" i="1"/>
  <c r="V85" i="1"/>
  <c r="T88" i="1"/>
  <c r="T87" i="1"/>
  <c r="T85" i="1"/>
  <c r="P86" i="1"/>
  <c r="R86" i="1"/>
  <c r="R85" i="1"/>
  <c r="P85" i="1"/>
  <c r="N85" i="1"/>
  <c r="N86" i="1"/>
  <c r="M88" i="1"/>
  <c r="N88" i="1" s="1"/>
  <c r="L88" i="1"/>
  <c r="L86" i="1"/>
  <c r="L87" i="1" s="1"/>
  <c r="X229" i="1"/>
  <c r="U237" i="1" s="1"/>
  <c r="X230" i="1"/>
  <c r="U238" i="1" s="1"/>
  <c r="W230" i="1"/>
  <c r="V230" i="1"/>
  <c r="W229" i="1"/>
  <c r="V229" i="1"/>
  <c r="Z260" i="1"/>
  <c r="S260" i="1"/>
  <c r="AA260" i="1" s="1"/>
  <c r="O260" i="1"/>
  <c r="D303" i="1" s="1"/>
  <c r="N260" i="1"/>
  <c r="D281" i="1" s="1"/>
  <c r="S259" i="1"/>
  <c r="Z258" i="1"/>
  <c r="O258" i="1"/>
  <c r="D301" i="1" s="1"/>
  <c r="N258" i="1"/>
  <c r="D279" i="1" s="1"/>
  <c r="Z255" i="1"/>
  <c r="S255" i="1"/>
  <c r="AA255" i="1" s="1"/>
  <c r="O255" i="1"/>
  <c r="N255" i="1"/>
  <c r="Z254" i="1"/>
  <c r="S254" i="1"/>
  <c r="AA254" i="1" s="1"/>
  <c r="O254" i="1"/>
  <c r="N254" i="1"/>
  <c r="Z253" i="1"/>
  <c r="S253" i="1"/>
  <c r="AA253" i="1" s="1"/>
  <c r="O253" i="1"/>
  <c r="N253" i="1"/>
  <c r="S252" i="1"/>
  <c r="AA252" i="1" s="1"/>
  <c r="Q252" i="1"/>
  <c r="Z252" i="1" s="1"/>
  <c r="O252" i="1"/>
  <c r="D298" i="1" s="1"/>
  <c r="N252" i="1"/>
  <c r="D276" i="1" s="1"/>
  <c r="O250" i="1"/>
  <c r="N250" i="1"/>
  <c r="Z249" i="1"/>
  <c r="O249" i="1"/>
  <c r="N249" i="1"/>
  <c r="Q238" i="1"/>
  <c r="Q239" i="1" s="1"/>
  <c r="N238" i="1"/>
  <c r="P238" i="1" s="1"/>
  <c r="D266" i="1" s="1"/>
  <c r="P237" i="1"/>
  <c r="D265" i="1" s="1"/>
  <c r="O237" i="1"/>
  <c r="D253" i="1" s="1"/>
  <c r="X233" i="1"/>
  <c r="U241" i="1" s="1"/>
  <c r="W233" i="1"/>
  <c r="V233" i="1"/>
  <c r="X232" i="1"/>
  <c r="U240" i="1" s="1"/>
  <c r="W232" i="1"/>
  <c r="V232" i="1"/>
  <c r="X231" i="1"/>
  <c r="U239" i="1" s="1"/>
  <c r="W231" i="1"/>
  <c r="V231" i="1"/>
  <c r="N229" i="1"/>
  <c r="R228" i="1"/>
  <c r="R227" i="1"/>
  <c r="R226" i="1"/>
  <c r="R225" i="1"/>
  <c r="R224" i="1"/>
  <c r="R223" i="1"/>
  <c r="Z212" i="1"/>
  <c r="S212" i="1"/>
  <c r="AA212" i="1" s="1"/>
  <c r="O212" i="1"/>
  <c r="N212" i="1"/>
  <c r="S210" i="1"/>
  <c r="L210" i="1"/>
  <c r="Z210" i="1" s="1"/>
  <c r="Z207" i="1"/>
  <c r="S207" i="1"/>
  <c r="AA207" i="1" s="1"/>
  <c r="Z205" i="1"/>
  <c r="S205" i="1"/>
  <c r="AA205" i="1" s="1"/>
  <c r="O205" i="1"/>
  <c r="N205" i="1"/>
  <c r="Z204" i="1"/>
  <c r="S204" i="1"/>
  <c r="AA204" i="1" s="1"/>
  <c r="O204" i="1"/>
  <c r="N204" i="1"/>
  <c r="Z203" i="1"/>
  <c r="S203" i="1"/>
  <c r="AA203" i="1" s="1"/>
  <c r="O203" i="1"/>
  <c r="N203" i="1"/>
  <c r="S202" i="1"/>
  <c r="AA202" i="1" s="1"/>
  <c r="Q202" i="1"/>
  <c r="Z202" i="1" s="1"/>
  <c r="O202" i="1"/>
  <c r="N202" i="1"/>
  <c r="Z200" i="1"/>
  <c r="S200" i="1"/>
  <c r="AA200" i="1" s="1"/>
  <c r="O200" i="1"/>
  <c r="N200" i="1"/>
  <c r="Z199" i="1"/>
  <c r="S199" i="1"/>
  <c r="AA199" i="1" s="1"/>
  <c r="O199" i="1"/>
  <c r="N199" i="1"/>
  <c r="Z198" i="1"/>
  <c r="S198" i="1"/>
  <c r="AA198" i="1" s="1"/>
  <c r="O198" i="1"/>
  <c r="N198" i="1"/>
  <c r="S197" i="1"/>
  <c r="L197" i="1"/>
  <c r="Z197" i="1" s="1"/>
  <c r="Z195" i="1"/>
  <c r="S195" i="1"/>
  <c r="AA195" i="1" s="1"/>
  <c r="O195" i="1"/>
  <c r="N195" i="1"/>
  <c r="S194" i="1"/>
  <c r="AA194" i="1" s="1"/>
  <c r="R194" i="1"/>
  <c r="Q194" i="1"/>
  <c r="O194" i="1"/>
  <c r="N194" i="1"/>
  <c r="Q188" i="1"/>
  <c r="N188" i="1"/>
  <c r="P188" i="1" s="1"/>
  <c r="D205" i="1" s="1"/>
  <c r="P187" i="1"/>
  <c r="D204" i="1" s="1"/>
  <c r="O187" i="1"/>
  <c r="D192" i="1" s="1"/>
  <c r="X183" i="1"/>
  <c r="U191" i="1" s="1"/>
  <c r="W183" i="1"/>
  <c r="V183" i="1"/>
  <c r="X182" i="1"/>
  <c r="U190" i="1" s="1"/>
  <c r="W182" i="1"/>
  <c r="V182" i="1"/>
  <c r="X181" i="1"/>
  <c r="U189" i="1" s="1"/>
  <c r="W181" i="1"/>
  <c r="V181" i="1"/>
  <c r="X180" i="1"/>
  <c r="U188" i="1" s="1"/>
  <c r="W180" i="1"/>
  <c r="V180" i="1"/>
  <c r="X179" i="1"/>
  <c r="U187" i="1" s="1"/>
  <c r="W179" i="1"/>
  <c r="V179" i="1"/>
  <c r="N178" i="1"/>
  <c r="R178" i="1"/>
  <c r="R177" i="1"/>
  <c r="R176" i="1"/>
  <c r="R175" i="1"/>
  <c r="R174" i="1"/>
  <c r="R173" i="1"/>
  <c r="Z158" i="1"/>
  <c r="T158" i="1"/>
  <c r="AA158" i="1" s="1"/>
  <c r="O158" i="1"/>
  <c r="N158" i="1"/>
  <c r="S154" i="1"/>
  <c r="Z155" i="1"/>
  <c r="S149" i="1"/>
  <c r="AA149" i="1" s="1"/>
  <c r="S155" i="1"/>
  <c r="AA155" i="1" s="1"/>
  <c r="Z149" i="1"/>
  <c r="O149" i="1"/>
  <c r="N149" i="1"/>
  <c r="N155" i="1"/>
  <c r="D158" i="1" s="1"/>
  <c r="D219" i="1" s="1"/>
  <c r="Z151" i="1"/>
  <c r="Z148" i="1"/>
  <c r="Z147" i="1"/>
  <c r="Z146" i="1"/>
  <c r="S148" i="1"/>
  <c r="AA148" i="1" s="1"/>
  <c r="O148" i="1"/>
  <c r="N148" i="1"/>
  <c r="S147" i="1"/>
  <c r="AA147" i="1" s="1"/>
  <c r="O147" i="1"/>
  <c r="N147" i="1"/>
  <c r="Q145" i="1"/>
  <c r="Z145" i="1" s="1"/>
  <c r="Z141" i="1"/>
  <c r="Z143" i="1"/>
  <c r="Z142" i="1"/>
  <c r="Z138" i="1"/>
  <c r="S143" i="1"/>
  <c r="AA143" i="1" s="1"/>
  <c r="S142" i="1"/>
  <c r="AA142" i="1" s="1"/>
  <c r="S141" i="1"/>
  <c r="AA141" i="1" s="1"/>
  <c r="S140" i="1"/>
  <c r="O143" i="1"/>
  <c r="N143" i="1"/>
  <c r="O142" i="1"/>
  <c r="N142" i="1"/>
  <c r="O141" i="1"/>
  <c r="N141" i="1"/>
  <c r="Q137" i="1"/>
  <c r="R137" i="1"/>
  <c r="T157" i="1"/>
  <c r="AA157" i="1" s="1"/>
  <c r="Q157" i="1"/>
  <c r="O157" i="1"/>
  <c r="N157" i="1"/>
  <c r="S151" i="1"/>
  <c r="AA151" i="1" s="1"/>
  <c r="S146" i="1"/>
  <c r="AA146" i="1" s="1"/>
  <c r="O146" i="1"/>
  <c r="N146" i="1"/>
  <c r="S145" i="1"/>
  <c r="AA145" i="1" s="1"/>
  <c r="O145" i="1"/>
  <c r="N145" i="1"/>
  <c r="D154" i="1" s="1"/>
  <c r="D215" i="1" s="1"/>
  <c r="L140" i="1"/>
  <c r="Z140" i="1" s="1"/>
  <c r="S138" i="1"/>
  <c r="AA138" i="1" s="1"/>
  <c r="O138" i="1"/>
  <c r="N138" i="1"/>
  <c r="S137" i="1"/>
  <c r="AA137" i="1" s="1"/>
  <c r="O137" i="1"/>
  <c r="N137" i="1"/>
  <c r="Q120" i="1"/>
  <c r="Q121" i="1" s="1"/>
  <c r="Z114" i="1"/>
  <c r="X114" i="1"/>
  <c r="Z113" i="1"/>
  <c r="Y113" i="1"/>
  <c r="X113" i="1"/>
  <c r="Z112" i="1"/>
  <c r="U123" i="1" s="1"/>
  <c r="Y112" i="1"/>
  <c r="X112" i="1"/>
  <c r="Z110" i="1"/>
  <c r="U122" i="1" s="1"/>
  <c r="Y110" i="1"/>
  <c r="X110" i="1"/>
  <c r="Z109" i="1"/>
  <c r="U121" i="1" s="1"/>
  <c r="Y109" i="1"/>
  <c r="X109" i="1"/>
  <c r="Z108" i="1"/>
  <c r="U120" i="1" s="1"/>
  <c r="Y108" i="1"/>
  <c r="X108" i="1"/>
  <c r="Z107" i="1"/>
  <c r="U119" i="1" s="1"/>
  <c r="Y107" i="1"/>
  <c r="X107" i="1"/>
  <c r="P119" i="1"/>
  <c r="D143" i="1" s="1"/>
  <c r="O119" i="1"/>
  <c r="D131" i="1" s="1"/>
  <c r="N120" i="1"/>
  <c r="P120" i="1" s="1"/>
  <c r="D144" i="1" s="1"/>
  <c r="T106" i="1"/>
  <c r="T105" i="1"/>
  <c r="T103" i="1"/>
  <c r="T102" i="1"/>
  <c r="T100" i="1"/>
  <c r="T99" i="1"/>
  <c r="P107" i="1"/>
  <c r="AB80" i="1"/>
  <c r="AB76" i="1"/>
  <c r="U76" i="1"/>
  <c r="AC76" i="1" s="1"/>
  <c r="U75" i="1"/>
  <c r="V80" i="1"/>
  <c r="AC80" i="1" s="1"/>
  <c r="V79" i="1"/>
  <c r="S79" i="1"/>
  <c r="S69" i="1"/>
  <c r="AB69" i="1" s="1"/>
  <c r="S74" i="1"/>
  <c r="U74" i="1"/>
  <c r="AC74" i="1" s="1"/>
  <c r="U72" i="1"/>
  <c r="AC72" i="1" s="1"/>
  <c r="U71" i="1"/>
  <c r="R74" i="1"/>
  <c r="S72" i="1"/>
  <c r="AB72" i="1" s="1"/>
  <c r="U69" i="1"/>
  <c r="AC69" i="1" s="1"/>
  <c r="S68" i="1"/>
  <c r="AB68" i="1" s="1"/>
  <c r="U68" i="1"/>
  <c r="AC68" i="1" s="1"/>
  <c r="Q80" i="1"/>
  <c r="D118" i="1" s="1"/>
  <c r="Q76" i="1"/>
  <c r="Q74" i="1"/>
  <c r="D114" i="1" s="1"/>
  <c r="Q72" i="1"/>
  <c r="Q69" i="1"/>
  <c r="Q68" i="1"/>
  <c r="P80" i="1"/>
  <c r="D98" i="1" s="1"/>
  <c r="P76" i="1"/>
  <c r="D96" i="1" s="1"/>
  <c r="P74" i="1"/>
  <c r="D94" i="1" s="1"/>
  <c r="P72" i="1"/>
  <c r="P69" i="1"/>
  <c r="P68" i="1"/>
  <c r="N79" i="1"/>
  <c r="P79" i="1" s="1"/>
  <c r="D97" i="1" s="1"/>
  <c r="P71" i="1"/>
  <c r="AA53" i="1"/>
  <c r="U65" i="1" s="1"/>
  <c r="Y53" i="1"/>
  <c r="T65" i="1" s="1"/>
  <c r="AA51" i="1"/>
  <c r="U63" i="1" s="1"/>
  <c r="AA50" i="1"/>
  <c r="U62" i="1" s="1"/>
  <c r="AA48" i="1"/>
  <c r="U60" i="1" s="1"/>
  <c r="AA49" i="1"/>
  <c r="U61" i="1" s="1"/>
  <c r="Z52" i="1"/>
  <c r="Z51" i="1"/>
  <c r="Z47" i="1"/>
  <c r="Z48" i="1"/>
  <c r="Z50" i="1"/>
  <c r="Z49" i="1"/>
  <c r="AA52" i="1"/>
  <c r="U64" i="1" s="1"/>
  <c r="Y52" i="1"/>
  <c r="Y51" i="1"/>
  <c r="Y50" i="1"/>
  <c r="Y49" i="1"/>
  <c r="AA47" i="1"/>
  <c r="U59" i="1" s="1"/>
  <c r="Y48" i="1"/>
  <c r="Y47" i="1"/>
  <c r="Q54" i="1"/>
  <c r="J55" i="1"/>
  <c r="L55" i="1" s="1"/>
  <c r="J52" i="1"/>
  <c r="J56" i="1"/>
  <c r="L56" i="1" s="1"/>
  <c r="K52" i="1"/>
  <c r="N59" i="1" s="1"/>
  <c r="N65" i="1" s="1"/>
  <c r="J53" i="1"/>
  <c r="P54" i="1" s="1"/>
  <c r="V47" i="1"/>
  <c r="D51" i="1" s="1"/>
  <c r="V48" i="1"/>
  <c r="D52" i="1" s="1"/>
  <c r="V46" i="1"/>
  <c r="D50" i="1" s="1"/>
  <c r="V45" i="1"/>
  <c r="D49" i="1" s="1"/>
  <c r="N47" i="1"/>
  <c r="D46" i="1" s="1"/>
  <c r="N46" i="1"/>
  <c r="D45" i="1" s="1"/>
  <c r="O45" i="1"/>
  <c r="D44" i="1" s="1"/>
  <c r="K50" i="1"/>
  <c r="O50" i="1" s="1"/>
  <c r="D48" i="1" s="1"/>
  <c r="K49" i="1"/>
  <c r="N49" i="1" s="1"/>
  <c r="K48" i="1"/>
  <c r="N48" i="1" s="1"/>
  <c r="L43" i="1"/>
  <c r="N43" i="1" s="1"/>
  <c r="D42" i="1" s="1"/>
  <c r="L41" i="1"/>
  <c r="N41" i="1" s="1"/>
  <c r="O41" i="1" s="1"/>
  <c r="L39" i="1"/>
  <c r="N39" i="1" s="1"/>
  <c r="L38" i="1"/>
  <c r="N38" i="1" s="1"/>
  <c r="L37" i="1"/>
  <c r="N37" i="1" s="1"/>
  <c r="O37" i="1" s="1"/>
  <c r="L36" i="1"/>
  <c r="N36" i="1" s="1"/>
  <c r="O36" i="1" s="1"/>
  <c r="M33" i="1"/>
  <c r="M31" i="1"/>
  <c r="M32" i="1" s="1"/>
  <c r="J31" i="1"/>
  <c r="J32" i="1"/>
  <c r="M30" i="1"/>
  <c r="J30" i="1"/>
  <c r="S17" i="1"/>
  <c r="S16" i="1"/>
  <c r="S15" i="1"/>
  <c r="S27" i="1"/>
  <c r="S26" i="1"/>
  <c r="S25" i="1"/>
  <c r="S24" i="1"/>
  <c r="Q27" i="1"/>
  <c r="Q26" i="1"/>
  <c r="Q25" i="1"/>
  <c r="Q24" i="1"/>
  <c r="Q12" i="1"/>
  <c r="Q11" i="1"/>
  <c r="Q14" i="1"/>
  <c r="Q9" i="1"/>
  <c r="D41" i="1" s="1"/>
  <c r="N27" i="1"/>
  <c r="N26" i="1"/>
  <c r="N25" i="1"/>
  <c r="N24" i="1"/>
  <c r="M17" i="1"/>
  <c r="O17" i="1" s="1"/>
  <c r="M16" i="1"/>
  <c r="O16" i="1" s="1"/>
  <c r="M15" i="1"/>
  <c r="O15" i="1" s="1"/>
  <c r="K21" i="1"/>
  <c r="M21" i="1" s="1"/>
  <c r="O21" i="1" s="1"/>
  <c r="K18" i="1"/>
  <c r="S18" i="1" s="1"/>
  <c r="K19" i="1"/>
  <c r="S19" i="1" s="1"/>
  <c r="M14" i="1"/>
  <c r="O14" i="1" s="1"/>
  <c r="M12" i="1"/>
  <c r="M11" i="1"/>
  <c r="M9" i="1"/>
  <c r="D12" i="1" s="1"/>
  <c r="G12" i="1" s="1"/>
  <c r="G253" i="1" l="1"/>
  <c r="G265" i="1"/>
  <c r="G279" i="1"/>
  <c r="G237" i="1"/>
  <c r="G266" i="1"/>
  <c r="G301" i="1"/>
  <c r="G281" i="1"/>
  <c r="G276" i="1"/>
  <c r="G336" i="1"/>
  <c r="G334" i="1"/>
  <c r="G303" i="1"/>
  <c r="G330" i="1"/>
  <c r="G298" i="1"/>
  <c r="G331" i="1"/>
  <c r="G94" i="1"/>
  <c r="G353" i="1"/>
  <c r="G337" i="1"/>
  <c r="G323" i="1"/>
  <c r="G333" i="1"/>
  <c r="G382" i="1"/>
  <c r="G52" i="1"/>
  <c r="G119" i="1"/>
  <c r="G112" i="1"/>
  <c r="G97" i="1"/>
  <c r="G99" i="1"/>
  <c r="G96" i="1"/>
  <c r="G98" i="1"/>
  <c r="G41" i="1"/>
  <c r="G42" i="1"/>
  <c r="G215" i="1"/>
  <c r="F163" i="1"/>
  <c r="F199" i="1"/>
  <c r="F165" i="1"/>
  <c r="F201" i="1"/>
  <c r="G114" i="1"/>
  <c r="F166" i="1"/>
  <c r="F202" i="1"/>
  <c r="G50" i="1"/>
  <c r="F162" i="1"/>
  <c r="F198" i="1"/>
  <c r="F204" i="1"/>
  <c r="G204" i="1" s="1"/>
  <c r="F80" i="1"/>
  <c r="F143" i="1" s="1"/>
  <c r="G143" i="1" s="1"/>
  <c r="F81" i="1"/>
  <c r="F144" i="1" s="1"/>
  <c r="G144" i="1" s="1"/>
  <c r="F205" i="1"/>
  <c r="G205" i="1" s="1"/>
  <c r="G44" i="1"/>
  <c r="G115" i="1"/>
  <c r="G192" i="1"/>
  <c r="G92" i="1"/>
  <c r="F200" i="1"/>
  <c r="F164" i="1"/>
  <c r="G48" i="1"/>
  <c r="G49" i="1"/>
  <c r="F82" i="1"/>
  <c r="F145" i="1" s="1"/>
  <c r="F206" i="1"/>
  <c r="G219" i="1"/>
  <c r="F83" i="1"/>
  <c r="F146" i="1" s="1"/>
  <c r="F207" i="1"/>
  <c r="G118" i="1"/>
  <c r="G46" i="1"/>
  <c r="F208" i="1"/>
  <c r="F84" i="1"/>
  <c r="F147" i="1" s="1"/>
  <c r="G131" i="1"/>
  <c r="G45" i="1"/>
  <c r="G217" i="1"/>
  <c r="G51" i="1"/>
  <c r="AB262" i="1"/>
  <c r="Z347" i="1"/>
  <c r="G154" i="1"/>
  <c r="G156" i="1"/>
  <c r="G176" i="1"/>
  <c r="D240" i="1"/>
  <c r="G240" i="1" s="1"/>
  <c r="G179" i="1"/>
  <c r="G158" i="1"/>
  <c r="T291" i="1"/>
  <c r="Z291" i="1" s="1"/>
  <c r="AA291" i="1" s="1"/>
  <c r="D320" i="1" s="1"/>
  <c r="G320" i="1" s="1"/>
  <c r="AB309" i="1"/>
  <c r="N369" i="1"/>
  <c r="D404" i="1" s="1"/>
  <c r="G404" i="1" s="1"/>
  <c r="O346" i="1"/>
  <c r="D387" i="1" s="1"/>
  <c r="G387" i="1" s="1"/>
  <c r="O347" i="1"/>
  <c r="D388" i="1" s="1"/>
  <c r="G388" i="1" s="1"/>
  <c r="N346" i="1"/>
  <c r="D381" i="1" s="1"/>
  <c r="G381" i="1" s="1"/>
  <c r="AA261" i="1"/>
  <c r="AB261" i="1" s="1"/>
  <c r="D293" i="1" s="1"/>
  <c r="G293" i="1" s="1"/>
  <c r="AB263" i="1"/>
  <c r="Q353" i="1"/>
  <c r="J356" i="1" s="1"/>
  <c r="D395" i="1" s="1"/>
  <c r="G395" i="1" s="1"/>
  <c r="N362" i="1"/>
  <c r="D401" i="1" s="1"/>
  <c r="G401" i="1" s="1"/>
  <c r="N366" i="1"/>
  <c r="D403" i="1" s="1"/>
  <c r="G403" i="1" s="1"/>
  <c r="AA322" i="1"/>
  <c r="AB322" i="1" s="1"/>
  <c r="D346" i="1" s="1"/>
  <c r="G346" i="1" s="1"/>
  <c r="N160" i="1"/>
  <c r="D160" i="1" s="1"/>
  <c r="AB215" i="1"/>
  <c r="AA346" i="1"/>
  <c r="AB346" i="1" s="1"/>
  <c r="D384" i="1" s="1"/>
  <c r="G384" i="1" s="1"/>
  <c r="N375" i="1"/>
  <c r="D408" i="1" s="1"/>
  <c r="AA324" i="1"/>
  <c r="AA347" i="1"/>
  <c r="T342" i="1"/>
  <c r="Z342" i="1" s="1"/>
  <c r="AA342" i="1" s="1"/>
  <c r="D374" i="1" s="1"/>
  <c r="G374" i="1" s="1"/>
  <c r="G377" i="1" s="1"/>
  <c r="O257" i="1"/>
  <c r="D300" i="1" s="1"/>
  <c r="G300" i="1" s="1"/>
  <c r="T292" i="1"/>
  <c r="Z292" i="1" s="1"/>
  <c r="AA292" i="1" s="1"/>
  <c r="D321" i="1" s="1"/>
  <c r="G321" i="1" s="1"/>
  <c r="AB264" i="1"/>
  <c r="N247" i="1"/>
  <c r="D274" i="1" s="1"/>
  <c r="G274" i="1" s="1"/>
  <c r="O247" i="1"/>
  <c r="D296" i="1" s="1"/>
  <c r="G296" i="1" s="1"/>
  <c r="O265" i="1"/>
  <c r="D305" i="1" s="1"/>
  <c r="G305" i="1" s="1"/>
  <c r="R282" i="1"/>
  <c r="S282" i="1" s="1"/>
  <c r="L284" i="1" s="1"/>
  <c r="N284" i="1" s="1"/>
  <c r="D366" i="1" s="1"/>
  <c r="G366" i="1" s="1"/>
  <c r="AB321" i="1"/>
  <c r="D345" i="1" s="1"/>
  <c r="G345" i="1" s="1"/>
  <c r="N257" i="1"/>
  <c r="D278" i="1" s="1"/>
  <c r="G278" i="1" s="1"/>
  <c r="AB213" i="1"/>
  <c r="O160" i="1"/>
  <c r="D180" i="1" s="1"/>
  <c r="AB313" i="1"/>
  <c r="Z322" i="1"/>
  <c r="AB312" i="1"/>
  <c r="N251" i="1"/>
  <c r="D277" i="1" s="1"/>
  <c r="G277" i="1" s="1"/>
  <c r="O251" i="1"/>
  <c r="D299" i="1" s="1"/>
  <c r="G299" i="1" s="1"/>
  <c r="AB245" i="1"/>
  <c r="N265" i="1"/>
  <c r="D283" i="1" s="1"/>
  <c r="G283" i="1" s="1"/>
  <c r="N314" i="1"/>
  <c r="D332" i="1" s="1"/>
  <c r="G332" i="1" s="1"/>
  <c r="N216" i="1"/>
  <c r="O216" i="1"/>
  <c r="O328" i="1"/>
  <c r="D360" i="1" s="1"/>
  <c r="G360" i="1" s="1"/>
  <c r="AB246" i="1"/>
  <c r="AB323" i="1"/>
  <c r="D347" i="1" s="1"/>
  <c r="G347" i="1" s="1"/>
  <c r="Z161" i="1"/>
  <c r="AB214" i="1"/>
  <c r="O324" i="1"/>
  <c r="D359" i="1" s="1"/>
  <c r="G359" i="1" s="1"/>
  <c r="AB311" i="1"/>
  <c r="D341" i="1" s="1"/>
  <c r="G341" i="1" s="1"/>
  <c r="Z324" i="1"/>
  <c r="AB308" i="1"/>
  <c r="O314" i="1"/>
  <c r="D354" i="1" s="1"/>
  <c r="G354" i="1" s="1"/>
  <c r="N328" i="1"/>
  <c r="D338" i="1" s="1"/>
  <c r="G338" i="1" s="1"/>
  <c r="AB315" i="1"/>
  <c r="D342" i="1" s="1"/>
  <c r="G342" i="1" s="1"/>
  <c r="N320" i="1"/>
  <c r="O320" i="1"/>
  <c r="D355" i="1" s="1"/>
  <c r="G355" i="1" s="1"/>
  <c r="N310" i="1"/>
  <c r="D329" i="1" s="1"/>
  <c r="G329" i="1" s="1"/>
  <c r="O310" i="1"/>
  <c r="D351" i="1" s="1"/>
  <c r="G351" i="1" s="1"/>
  <c r="AB318" i="1"/>
  <c r="AB325" i="1"/>
  <c r="AB316" i="1"/>
  <c r="D344" i="1" s="1"/>
  <c r="G344" i="1" s="1"/>
  <c r="AB319" i="1"/>
  <c r="AB326" i="1"/>
  <c r="AB327" i="1"/>
  <c r="O291" i="1"/>
  <c r="D317" i="1" s="1"/>
  <c r="G317" i="1" s="1"/>
  <c r="N322" i="1"/>
  <c r="D335" i="1" s="1"/>
  <c r="G335" i="1" s="1"/>
  <c r="AB159" i="1"/>
  <c r="N261" i="1"/>
  <c r="D282" i="1" s="1"/>
  <c r="G282" i="1" s="1"/>
  <c r="O261" i="1"/>
  <c r="D304" i="1" s="1"/>
  <c r="G304" i="1" s="1"/>
  <c r="AB211" i="1"/>
  <c r="AB256" i="1"/>
  <c r="D174" i="1"/>
  <c r="AB248" i="1"/>
  <c r="D286" i="1" s="1"/>
  <c r="G286" i="1" s="1"/>
  <c r="O150" i="1"/>
  <c r="D175" i="1" s="1"/>
  <c r="N150" i="1"/>
  <c r="D155" i="1" s="1"/>
  <c r="AD82" i="1"/>
  <c r="D109" i="1" s="1"/>
  <c r="G109" i="1" s="1"/>
  <c r="N196" i="1"/>
  <c r="N161" i="1"/>
  <c r="D159" i="1" s="1"/>
  <c r="AA161" i="1"/>
  <c r="AD81" i="1"/>
  <c r="D102" i="1" s="1"/>
  <c r="G102" i="1" s="1"/>
  <c r="T188" i="1"/>
  <c r="Z188" i="1" s="1"/>
  <c r="AA188" i="1" s="1"/>
  <c r="D199" i="1" s="1"/>
  <c r="O196" i="1"/>
  <c r="O206" i="1"/>
  <c r="AB212" i="1"/>
  <c r="T119" i="1"/>
  <c r="Z119" i="1" s="1"/>
  <c r="AA119" i="1" s="1"/>
  <c r="D137" i="1" s="1"/>
  <c r="G137" i="1" s="1"/>
  <c r="T123" i="1"/>
  <c r="AB200" i="1"/>
  <c r="T190" i="1"/>
  <c r="AB249" i="1"/>
  <c r="T239" i="1"/>
  <c r="Z239" i="1" s="1"/>
  <c r="AA239" i="1" s="1"/>
  <c r="D261" i="1" s="1"/>
  <c r="G261" i="1" s="1"/>
  <c r="N139" i="1"/>
  <c r="AB199" i="1"/>
  <c r="AB255" i="1"/>
  <c r="N206" i="1"/>
  <c r="T120" i="1"/>
  <c r="Z120" i="1" s="1"/>
  <c r="AA120" i="1" s="1"/>
  <c r="D138" i="1" s="1"/>
  <c r="G138" i="1" s="1"/>
  <c r="T187" i="1"/>
  <c r="Z187" i="1" s="1"/>
  <c r="AA187" i="1" s="1"/>
  <c r="D198" i="1" s="1"/>
  <c r="T191" i="1"/>
  <c r="AB198" i="1"/>
  <c r="Z194" i="1"/>
  <c r="AB194" i="1" s="1"/>
  <c r="AB148" i="1"/>
  <c r="AA259" i="1"/>
  <c r="AB259" i="1" s="1"/>
  <c r="D291" i="1" s="1"/>
  <c r="G291" i="1" s="1"/>
  <c r="T238" i="1"/>
  <c r="Z238" i="1" s="1"/>
  <c r="AA238" i="1" s="1"/>
  <c r="D260" i="1" s="1"/>
  <c r="G260" i="1" s="1"/>
  <c r="T189" i="1"/>
  <c r="N239" i="1"/>
  <c r="O239" i="1" s="1"/>
  <c r="D255" i="1" s="1"/>
  <c r="G255" i="1" s="1"/>
  <c r="T122" i="1"/>
  <c r="T240" i="1"/>
  <c r="AB250" i="1"/>
  <c r="AB253" i="1"/>
  <c r="AB258" i="1"/>
  <c r="D290" i="1" s="1"/>
  <c r="G290" i="1" s="1"/>
  <c r="Z137" i="1"/>
  <c r="AB137" i="1" s="1"/>
  <c r="T241" i="1"/>
  <c r="AB204" i="1"/>
  <c r="T64" i="1"/>
  <c r="Z64" i="1" s="1"/>
  <c r="AA64" i="1" s="1"/>
  <c r="D77" i="1" s="1"/>
  <c r="G77" i="1" s="1"/>
  <c r="Z65" i="1"/>
  <c r="AA65" i="1" s="1"/>
  <c r="D78" i="1" s="1"/>
  <c r="G78" i="1" s="1"/>
  <c r="AA154" i="1"/>
  <c r="R229" i="1"/>
  <c r="S229" i="1" s="1"/>
  <c r="AB254" i="1"/>
  <c r="AB260" i="1"/>
  <c r="D292" i="1" s="1"/>
  <c r="G292" i="1" s="1"/>
  <c r="AB205" i="1"/>
  <c r="T121" i="1"/>
  <c r="Z121" i="1" s="1"/>
  <c r="AA121" i="1" s="1"/>
  <c r="D139" i="1" s="1"/>
  <c r="G139" i="1" s="1"/>
  <c r="AB158" i="1"/>
  <c r="AA210" i="1"/>
  <c r="AB210" i="1" s="1"/>
  <c r="AB203" i="1"/>
  <c r="AB207" i="1"/>
  <c r="N259" i="1"/>
  <c r="D280" i="1" s="1"/>
  <c r="G280" i="1" s="1"/>
  <c r="N197" i="1"/>
  <c r="N201" i="1" s="1"/>
  <c r="O197" i="1"/>
  <c r="O201" i="1" s="1"/>
  <c r="AA197" i="1"/>
  <c r="AB197" i="1" s="1"/>
  <c r="T237" i="1"/>
  <c r="Z237" i="1" s="1"/>
  <c r="AA237" i="1" s="1"/>
  <c r="D259" i="1" s="1"/>
  <c r="G259" i="1" s="1"/>
  <c r="Q240" i="1"/>
  <c r="AB252" i="1"/>
  <c r="D287" i="1" s="1"/>
  <c r="G287" i="1" s="1"/>
  <c r="O238" i="1"/>
  <c r="D254" i="1" s="1"/>
  <c r="G254" i="1" s="1"/>
  <c r="O259" i="1"/>
  <c r="D302" i="1" s="1"/>
  <c r="G302" i="1" s="1"/>
  <c r="AB202" i="1"/>
  <c r="AB195" i="1"/>
  <c r="N210" i="1"/>
  <c r="O210" i="1"/>
  <c r="N189" i="1"/>
  <c r="Q189" i="1"/>
  <c r="O188" i="1"/>
  <c r="D193" i="1" s="1"/>
  <c r="G193" i="1" s="1"/>
  <c r="R179" i="1"/>
  <c r="S179" i="1" s="1"/>
  <c r="AB141" i="1"/>
  <c r="N154" i="1"/>
  <c r="D157" i="1" s="1"/>
  <c r="S54" i="1"/>
  <c r="O154" i="1"/>
  <c r="D177" i="1" s="1"/>
  <c r="Z154" i="1"/>
  <c r="AB155" i="1"/>
  <c r="D168" i="1" s="1"/>
  <c r="AB149" i="1"/>
  <c r="O155" i="1"/>
  <c r="D178" i="1" s="1"/>
  <c r="AB147" i="1"/>
  <c r="AB143" i="1"/>
  <c r="AB145" i="1"/>
  <c r="AB142" i="1"/>
  <c r="O139" i="1"/>
  <c r="D172" i="1" s="1"/>
  <c r="N140" i="1"/>
  <c r="N144" i="1" s="1"/>
  <c r="D153" i="1" s="1"/>
  <c r="AA140" i="1"/>
  <c r="AB140" i="1" s="1"/>
  <c r="AB138" i="1"/>
  <c r="AB151" i="1"/>
  <c r="D166" i="1" s="1"/>
  <c r="AB146" i="1"/>
  <c r="Z157" i="1"/>
  <c r="AB157" i="1" s="1"/>
  <c r="O140" i="1"/>
  <c r="O144" i="1" s="1"/>
  <c r="D173" i="1" s="1"/>
  <c r="O120" i="1"/>
  <c r="D132" i="1" s="1"/>
  <c r="G132" i="1" s="1"/>
  <c r="P70" i="1"/>
  <c r="D91" i="1" s="1"/>
  <c r="G91" i="1" s="1"/>
  <c r="Q122" i="1"/>
  <c r="Q123" i="1" s="1"/>
  <c r="N121" i="1"/>
  <c r="P73" i="1"/>
  <c r="D93" i="1" s="1"/>
  <c r="G93" i="1" s="1"/>
  <c r="M13" i="1"/>
  <c r="D15" i="1" s="1"/>
  <c r="G15" i="1" s="1"/>
  <c r="AB74" i="1"/>
  <c r="AD74" i="1" s="1"/>
  <c r="D104" i="1" s="1"/>
  <c r="G104" i="1" s="1"/>
  <c r="T63" i="1"/>
  <c r="Z63" i="1" s="1"/>
  <c r="AA63" i="1" s="1"/>
  <c r="D76" i="1" s="1"/>
  <c r="G76" i="1" s="1"/>
  <c r="P75" i="1"/>
  <c r="D95" i="1" s="1"/>
  <c r="G95" i="1" s="1"/>
  <c r="Q28" i="1"/>
  <c r="Q71" i="1"/>
  <c r="Q73" i="1" s="1"/>
  <c r="D113" i="1" s="1"/>
  <c r="G113" i="1" s="1"/>
  <c r="Q53" i="1"/>
  <c r="V49" i="1"/>
  <c r="U51" i="1" s="1"/>
  <c r="D53" i="1" s="1"/>
  <c r="G53" i="1" s="1"/>
  <c r="AB75" i="1"/>
  <c r="Q70" i="1"/>
  <c r="D111" i="1" s="1"/>
  <c r="G111" i="1" s="1"/>
  <c r="S71" i="1"/>
  <c r="AB71" i="1" s="1"/>
  <c r="T107" i="1"/>
  <c r="U107" i="1" s="1"/>
  <c r="S28" i="1"/>
  <c r="D29" i="1" s="1"/>
  <c r="G29" i="1" s="1"/>
  <c r="AC75" i="1"/>
  <c r="AC71" i="1"/>
  <c r="Q15" i="1"/>
  <c r="D18" i="1" s="1"/>
  <c r="S21" i="1"/>
  <c r="S22" i="1" s="1"/>
  <c r="D28" i="1" s="1"/>
  <c r="G28" i="1" s="1"/>
  <c r="Q30" i="1"/>
  <c r="D32" i="1" s="1"/>
  <c r="G32" i="1" s="1"/>
  <c r="T59" i="1"/>
  <c r="AC79" i="1"/>
  <c r="J34" i="1"/>
  <c r="Q34" i="1" s="1"/>
  <c r="D36" i="1" s="1"/>
  <c r="G36" i="1" s="1"/>
  <c r="T60" i="1"/>
  <c r="N40" i="1"/>
  <c r="O40" i="1" s="1"/>
  <c r="R40" i="1" s="1"/>
  <c r="T40" i="1" s="1"/>
  <c r="D39" i="1" s="1"/>
  <c r="G39" i="1" s="1"/>
  <c r="AD72" i="1"/>
  <c r="T61" i="1"/>
  <c r="Z61" i="1" s="1"/>
  <c r="AA61" i="1" s="1"/>
  <c r="D74" i="1" s="1"/>
  <c r="G74" i="1" s="1"/>
  <c r="D116" i="1"/>
  <c r="G116" i="1" s="1"/>
  <c r="T62" i="1"/>
  <c r="Z62" i="1" s="1"/>
  <c r="AA62" i="1" s="1"/>
  <c r="D75" i="1" s="1"/>
  <c r="G75" i="1" s="1"/>
  <c r="Q79" i="1"/>
  <c r="D117" i="1" s="1"/>
  <c r="G117" i="1" s="1"/>
  <c r="AB79" i="1"/>
  <c r="AD80" i="1"/>
  <c r="D108" i="1" s="1"/>
  <c r="G108" i="1" s="1"/>
  <c r="AD76" i="1"/>
  <c r="D106" i="1" s="1"/>
  <c r="G106" i="1" s="1"/>
  <c r="AD69" i="1"/>
  <c r="AD68" i="1"/>
  <c r="O59" i="1"/>
  <c r="D64" i="1" s="1"/>
  <c r="G64" i="1" s="1"/>
  <c r="N60" i="1"/>
  <c r="P59" i="1"/>
  <c r="D80" i="1" s="1"/>
  <c r="J33" i="1"/>
  <c r="Q33" i="1" s="1"/>
  <c r="D35" i="1" s="1"/>
  <c r="G35" i="1" s="1"/>
  <c r="L53" i="1"/>
  <c r="M18" i="1"/>
  <c r="O18" i="1" s="1"/>
  <c r="R37" i="1"/>
  <c r="T37" i="1" s="1"/>
  <c r="D38" i="1" s="1"/>
  <c r="G38" i="1" s="1"/>
  <c r="L52" i="1"/>
  <c r="L57" i="1"/>
  <c r="M57" i="1" s="1"/>
  <c r="D58" i="1" s="1"/>
  <c r="G58" i="1" s="1"/>
  <c r="Q32" i="1"/>
  <c r="D34" i="1" s="1"/>
  <c r="G34" i="1" s="1"/>
  <c r="O49" i="1"/>
  <c r="D47" i="1" s="1"/>
  <c r="G47" i="1" s="1"/>
  <c r="P53" i="1"/>
  <c r="D16" i="1"/>
  <c r="G16" i="1" s="1"/>
  <c r="R36" i="1"/>
  <c r="T36" i="1" s="1"/>
  <c r="D37" i="1" s="1"/>
  <c r="G37" i="1" s="1"/>
  <c r="O47" i="1"/>
  <c r="R41" i="1"/>
  <c r="T41" i="1" s="1"/>
  <c r="D40" i="1" s="1"/>
  <c r="G40" i="1" s="1"/>
  <c r="N28" i="1"/>
  <c r="D14" i="1" s="1"/>
  <c r="G14" i="1" s="1"/>
  <c r="M19" i="1"/>
  <c r="O19" i="1" s="1"/>
  <c r="Q31" i="1"/>
  <c r="D33" i="1" s="1"/>
  <c r="G33" i="1" s="1"/>
  <c r="G198" i="1" l="1"/>
  <c r="G199" i="1"/>
  <c r="G80" i="1"/>
  <c r="AB347" i="1"/>
  <c r="D385" i="1" s="1"/>
  <c r="G385" i="1" s="1"/>
  <c r="G389" i="1" s="1"/>
  <c r="AB265" i="1"/>
  <c r="D294" i="1" s="1"/>
  <c r="G294" i="1" s="1"/>
  <c r="J355" i="1"/>
  <c r="L355" i="1" s="1"/>
  <c r="D394" i="1" s="1"/>
  <c r="G394" i="1" s="1"/>
  <c r="D392" i="1"/>
  <c r="G392" i="1" s="1"/>
  <c r="D229" i="1"/>
  <c r="G229" i="1" s="1"/>
  <c r="G168" i="1"/>
  <c r="D216" i="1"/>
  <c r="G216" i="1" s="1"/>
  <c r="G155" i="1"/>
  <c r="D236" i="1"/>
  <c r="G236" i="1" s="1"/>
  <c r="G175" i="1"/>
  <c r="D238" i="1"/>
  <c r="G238" i="1" s="1"/>
  <c r="G177" i="1"/>
  <c r="D235" i="1"/>
  <c r="G235" i="1" s="1"/>
  <c r="G174" i="1"/>
  <c r="D218" i="1"/>
  <c r="G218" i="1" s="1"/>
  <c r="G157" i="1"/>
  <c r="D234" i="1"/>
  <c r="G234" i="1" s="1"/>
  <c r="G173" i="1"/>
  <c r="D227" i="1"/>
  <c r="G227" i="1" s="1"/>
  <c r="G166" i="1"/>
  <c r="D221" i="1"/>
  <c r="G221" i="1" s="1"/>
  <c r="G160" i="1"/>
  <c r="D233" i="1"/>
  <c r="G233" i="1" s="1"/>
  <c r="G172" i="1"/>
  <c r="D409" i="1"/>
  <c r="G409" i="1" s="1"/>
  <c r="G408" i="1"/>
  <c r="G410" i="1" s="1"/>
  <c r="D30" i="1"/>
  <c r="G30" i="1" s="1"/>
  <c r="G54" i="1" s="1"/>
  <c r="G18" i="1"/>
  <c r="D214" i="1"/>
  <c r="G214" i="1" s="1"/>
  <c r="G153" i="1"/>
  <c r="D241" i="1"/>
  <c r="G241" i="1" s="1"/>
  <c r="G180" i="1"/>
  <c r="D220" i="1"/>
  <c r="G220" i="1" s="1"/>
  <c r="G159" i="1"/>
  <c r="D239" i="1"/>
  <c r="G239" i="1" s="1"/>
  <c r="G178" i="1"/>
  <c r="AB310" i="1"/>
  <c r="D340" i="1" s="1"/>
  <c r="G340" i="1" s="1"/>
  <c r="AB257" i="1"/>
  <c r="D289" i="1" s="1"/>
  <c r="G289" i="1" s="1"/>
  <c r="AB161" i="1"/>
  <c r="D169" i="1" s="1"/>
  <c r="AB324" i="1"/>
  <c r="D348" i="1" s="1"/>
  <c r="G348" i="1" s="1"/>
  <c r="D364" i="1"/>
  <c r="L285" i="1"/>
  <c r="D367" i="1" s="1"/>
  <c r="G367" i="1" s="1"/>
  <c r="AB247" i="1"/>
  <c r="D285" i="1" s="1"/>
  <c r="G285" i="1" s="1"/>
  <c r="AB216" i="1"/>
  <c r="AB314" i="1"/>
  <c r="D343" i="1" s="1"/>
  <c r="G343" i="1" s="1"/>
  <c r="AB251" i="1"/>
  <c r="D288" i="1" s="1"/>
  <c r="G288" i="1" s="1"/>
  <c r="AB160" i="1"/>
  <c r="D170" i="1" s="1"/>
  <c r="P292" i="1"/>
  <c r="D324" i="1" s="1"/>
  <c r="G324" i="1" s="1"/>
  <c r="O292" i="1"/>
  <c r="D318" i="1" s="1"/>
  <c r="G318" i="1" s="1"/>
  <c r="D152" i="1"/>
  <c r="AB320" i="1"/>
  <c r="AB328" i="1"/>
  <c r="D349" i="1" s="1"/>
  <c r="G349" i="1" s="1"/>
  <c r="D164" i="1"/>
  <c r="AB150" i="1"/>
  <c r="D165" i="1" s="1"/>
  <c r="P239" i="1"/>
  <c r="D267" i="1" s="1"/>
  <c r="G267" i="1" s="1"/>
  <c r="N240" i="1"/>
  <c r="P240" i="1" s="1"/>
  <c r="D268" i="1" s="1"/>
  <c r="G268" i="1" s="1"/>
  <c r="Z123" i="1"/>
  <c r="AA123" i="1" s="1"/>
  <c r="D141" i="1" s="1"/>
  <c r="G141" i="1" s="1"/>
  <c r="AB206" i="1"/>
  <c r="AB201" i="1"/>
  <c r="Z189" i="1"/>
  <c r="AA189" i="1" s="1"/>
  <c r="D200" i="1" s="1"/>
  <c r="G200" i="1" s="1"/>
  <c r="S53" i="1"/>
  <c r="S55" i="1" s="1"/>
  <c r="D59" i="1" s="1"/>
  <c r="G59" i="1" s="1"/>
  <c r="AB154" i="1"/>
  <c r="D167" i="1" s="1"/>
  <c r="AB196" i="1"/>
  <c r="L231" i="1"/>
  <c r="N231" i="1" s="1"/>
  <c r="L232" i="1"/>
  <c r="Z122" i="1"/>
  <c r="AA122" i="1" s="1"/>
  <c r="D140" i="1" s="1"/>
  <c r="G140" i="1" s="1"/>
  <c r="L180" i="1"/>
  <c r="O180" i="1" s="1"/>
  <c r="D184" i="1"/>
  <c r="G184" i="1" s="1"/>
  <c r="Q241" i="1"/>
  <c r="Z241" i="1" s="1"/>
  <c r="AA241" i="1" s="1"/>
  <c r="D263" i="1" s="1"/>
  <c r="G263" i="1" s="1"/>
  <c r="Z240" i="1"/>
  <c r="AA240" i="1" s="1"/>
  <c r="D262" i="1" s="1"/>
  <c r="G262" i="1" s="1"/>
  <c r="Q190" i="1"/>
  <c r="Z190" i="1" s="1"/>
  <c r="N190" i="1"/>
  <c r="O189" i="1"/>
  <c r="D194" i="1" s="1"/>
  <c r="G194" i="1" s="1"/>
  <c r="P189" i="1"/>
  <c r="D206" i="1" s="1"/>
  <c r="G206" i="1" s="1"/>
  <c r="L181" i="1"/>
  <c r="D187" i="1" s="1"/>
  <c r="AB144" i="1"/>
  <c r="D163" i="1" s="1"/>
  <c r="AB139" i="1"/>
  <c r="D162" i="1" s="1"/>
  <c r="AD71" i="1"/>
  <c r="AD73" i="1" s="1"/>
  <c r="D103" i="1" s="1"/>
  <c r="G103" i="1" s="1"/>
  <c r="N122" i="1"/>
  <c r="N123" i="1" s="1"/>
  <c r="P121" i="1"/>
  <c r="D145" i="1" s="1"/>
  <c r="G145" i="1" s="1"/>
  <c r="O121" i="1"/>
  <c r="D133" i="1" s="1"/>
  <c r="G133" i="1" s="1"/>
  <c r="AD75" i="1"/>
  <c r="D105" i="1" s="1"/>
  <c r="G105" i="1" s="1"/>
  <c r="Z59" i="1"/>
  <c r="AA59" i="1" s="1"/>
  <c r="D72" i="1" s="1"/>
  <c r="G72" i="1" s="1"/>
  <c r="L54" i="1"/>
  <c r="M54" i="1" s="1"/>
  <c r="D57" i="1" s="1"/>
  <c r="G57" i="1" s="1"/>
  <c r="AD79" i="1"/>
  <c r="D107" i="1" s="1"/>
  <c r="G107" i="1" s="1"/>
  <c r="AD70" i="1"/>
  <c r="D101" i="1" s="1"/>
  <c r="G101" i="1" s="1"/>
  <c r="D123" i="1"/>
  <c r="N110" i="1"/>
  <c r="D126" i="1" s="1"/>
  <c r="G126" i="1" s="1"/>
  <c r="N109" i="1"/>
  <c r="P109" i="1" s="1"/>
  <c r="D125" i="1" s="1"/>
  <c r="G125" i="1" s="1"/>
  <c r="O22" i="1"/>
  <c r="D13" i="1" s="1"/>
  <c r="Z60" i="1"/>
  <c r="AA60" i="1" s="1"/>
  <c r="D73" i="1" s="1"/>
  <c r="G73" i="1" s="1"/>
  <c r="O60" i="1"/>
  <c r="D65" i="1" s="1"/>
  <c r="G65" i="1" s="1"/>
  <c r="N61" i="1"/>
  <c r="P60" i="1"/>
  <c r="D81" i="1" s="1"/>
  <c r="G81" i="1" s="1"/>
  <c r="G361" i="1" l="1"/>
  <c r="G325" i="1"/>
  <c r="G306" i="1"/>
  <c r="G120" i="1"/>
  <c r="G60" i="1"/>
  <c r="D393" i="1"/>
  <c r="G393" i="1" s="1"/>
  <c r="G396" i="1" s="1"/>
  <c r="D226" i="1"/>
  <c r="G226" i="1" s="1"/>
  <c r="G165" i="1"/>
  <c r="D223" i="1"/>
  <c r="G223" i="1" s="1"/>
  <c r="G162" i="1"/>
  <c r="D225" i="1"/>
  <c r="G225" i="1" s="1"/>
  <c r="G164" i="1"/>
  <c r="D224" i="1"/>
  <c r="G224" i="1" s="1"/>
  <c r="G163" i="1"/>
  <c r="D248" i="1"/>
  <c r="G187" i="1"/>
  <c r="D213" i="1"/>
  <c r="G213" i="1" s="1"/>
  <c r="G152" i="1"/>
  <c r="D231" i="1"/>
  <c r="G231" i="1" s="1"/>
  <c r="G170" i="1"/>
  <c r="D20" i="1"/>
  <c r="G20" i="1" s="1"/>
  <c r="G13" i="1"/>
  <c r="D365" i="1"/>
  <c r="G365" i="1" s="1"/>
  <c r="G364" i="1"/>
  <c r="D124" i="1"/>
  <c r="G124" i="1" s="1"/>
  <c r="G123" i="1"/>
  <c r="D230" i="1"/>
  <c r="G230" i="1" s="1"/>
  <c r="G169" i="1"/>
  <c r="D228" i="1"/>
  <c r="G228" i="1" s="1"/>
  <c r="G167" i="1"/>
  <c r="O184" i="1"/>
  <c r="D186" i="1" s="1"/>
  <c r="N241" i="1"/>
  <c r="P241" i="1" s="1"/>
  <c r="D269" i="1" s="1"/>
  <c r="G269" i="1" s="1"/>
  <c r="O240" i="1"/>
  <c r="D256" i="1" s="1"/>
  <c r="G256" i="1" s="1"/>
  <c r="D185" i="1"/>
  <c r="D245" i="1"/>
  <c r="P190" i="1"/>
  <c r="D207" i="1" s="1"/>
  <c r="G207" i="1" s="1"/>
  <c r="O190" i="1"/>
  <c r="D195" i="1" s="1"/>
  <c r="G195" i="1" s="1"/>
  <c r="N191" i="1"/>
  <c r="Q191" i="1"/>
  <c r="AA190" i="1"/>
  <c r="D201" i="1" s="1"/>
  <c r="G201" i="1" s="1"/>
  <c r="P123" i="1"/>
  <c r="D147" i="1" s="1"/>
  <c r="G147" i="1" s="1"/>
  <c r="O123" i="1"/>
  <c r="D135" i="1" s="1"/>
  <c r="G135" i="1" s="1"/>
  <c r="P122" i="1"/>
  <c r="D146" i="1" s="1"/>
  <c r="G146" i="1" s="1"/>
  <c r="O122" i="1"/>
  <c r="D134" i="1" s="1"/>
  <c r="G134" i="1" s="1"/>
  <c r="N62" i="1"/>
  <c r="N63" i="1" s="1"/>
  <c r="P61" i="1"/>
  <c r="D82" i="1" s="1"/>
  <c r="G82" i="1" s="1"/>
  <c r="O61" i="1"/>
  <c r="D66" i="1" s="1"/>
  <c r="G66" i="1" s="1"/>
  <c r="G368" i="1" l="1"/>
  <c r="G242" i="1"/>
  <c r="G127" i="1"/>
  <c r="G181" i="1"/>
  <c r="G148" i="1"/>
  <c r="G21" i="1"/>
  <c r="D309" i="1"/>
  <c r="G309" i="1" s="1"/>
  <c r="G245" i="1"/>
  <c r="D246" i="1"/>
  <c r="G185" i="1"/>
  <c r="D247" i="1"/>
  <c r="G186" i="1"/>
  <c r="D312" i="1"/>
  <c r="G312" i="1" s="1"/>
  <c r="G248" i="1"/>
  <c r="O241" i="1"/>
  <c r="D257" i="1" s="1"/>
  <c r="G257" i="1" s="1"/>
  <c r="G270" i="1" s="1"/>
  <c r="Z191" i="1"/>
  <c r="AA191" i="1" s="1"/>
  <c r="D202" i="1" s="1"/>
  <c r="P191" i="1"/>
  <c r="D208" i="1" s="1"/>
  <c r="G208" i="1" s="1"/>
  <c r="O191" i="1"/>
  <c r="D196" i="1" s="1"/>
  <c r="G196" i="1" s="1"/>
  <c r="P62" i="1"/>
  <c r="D83" i="1" s="1"/>
  <c r="G83" i="1" s="1"/>
  <c r="O62" i="1"/>
  <c r="D67" i="1" s="1"/>
  <c r="G67" i="1" s="1"/>
  <c r="G209" i="1" l="1"/>
  <c r="G188" i="1"/>
  <c r="D311" i="1"/>
  <c r="G311" i="1" s="1"/>
  <c r="G247" i="1"/>
  <c r="D310" i="1"/>
  <c r="G310" i="1" s="1"/>
  <c r="G313" i="1" s="1"/>
  <c r="G246" i="1"/>
  <c r="P63" i="1"/>
  <c r="D84" i="1" s="1"/>
  <c r="G84" i="1" s="1"/>
  <c r="O63" i="1"/>
  <c r="D68" i="1" s="1"/>
  <c r="G68" i="1" s="1"/>
  <c r="G249" i="1" l="1"/>
  <c r="P64" i="1"/>
  <c r="D85" i="1" s="1"/>
  <c r="G85" i="1" s="1"/>
  <c r="O64" i="1"/>
  <c r="D69" i="1" s="1"/>
  <c r="G69" i="1" s="1"/>
  <c r="P65" i="1" l="1"/>
  <c r="D86" i="1" s="1"/>
  <c r="G86" i="1" s="1"/>
  <c r="O65" i="1"/>
  <c r="D70" i="1" s="1"/>
  <c r="G70" i="1" s="1"/>
  <c r="G87" i="1" l="1"/>
  <c r="G413" i="1" s="1"/>
</calcChain>
</file>

<file path=xl/sharedStrings.xml><?xml version="1.0" encoding="utf-8"?>
<sst xmlns="http://schemas.openxmlformats.org/spreadsheetml/2006/main" count="1819" uniqueCount="330">
  <si>
    <t>PEKERJAAN</t>
  </si>
  <si>
    <t>VOLUME</t>
  </si>
  <si>
    <t>No.</t>
  </si>
  <si>
    <t>I</t>
  </si>
  <si>
    <t>Pekerjaan Tanah</t>
  </si>
  <si>
    <t>Galian</t>
  </si>
  <si>
    <t>Pembuangan tanah keluar</t>
  </si>
  <si>
    <t>P</t>
  </si>
  <si>
    <t>L</t>
  </si>
  <si>
    <t>D</t>
  </si>
  <si>
    <t>V</t>
  </si>
  <si>
    <t>Basement</t>
  </si>
  <si>
    <t>Ramp</t>
  </si>
  <si>
    <t>Ground tnk</t>
  </si>
  <si>
    <t>Galian ground tank tank</t>
  </si>
  <si>
    <t>Galian ramp</t>
  </si>
  <si>
    <t>A</t>
  </si>
  <si>
    <t>Plat basement</t>
  </si>
  <si>
    <t>Sloop</t>
  </si>
  <si>
    <t>Poor</t>
  </si>
  <si>
    <t>S45/70</t>
  </si>
  <si>
    <t>jml</t>
  </si>
  <si>
    <t>S40/60</t>
  </si>
  <si>
    <t>S30/45</t>
  </si>
  <si>
    <t>S35/50</t>
  </si>
  <si>
    <t>P1</t>
  </si>
  <si>
    <t>P2</t>
  </si>
  <si>
    <t>P3</t>
  </si>
  <si>
    <t>P4</t>
  </si>
  <si>
    <t>Jml</t>
  </si>
  <si>
    <t>Vol</t>
  </si>
  <si>
    <t>B</t>
  </si>
  <si>
    <t>Pemadatan tanah galian</t>
  </si>
  <si>
    <t>Luas</t>
  </si>
  <si>
    <t>C</t>
  </si>
  <si>
    <t>II</t>
  </si>
  <si>
    <t>Pekerjaan Pondasi tiang pancang</t>
  </si>
  <si>
    <t>buah</t>
  </si>
  <si>
    <t>III</t>
  </si>
  <si>
    <t>Pasang bekisting batako</t>
  </si>
  <si>
    <t>Tinggi</t>
  </si>
  <si>
    <t>Lantai kerja</t>
  </si>
  <si>
    <t>Pekerjaan besi beton</t>
  </si>
  <si>
    <t>Sloop 45/70</t>
  </si>
  <si>
    <t>Sloop 40/60</t>
  </si>
  <si>
    <t>Sloop 35/50</t>
  </si>
  <si>
    <t>Sloop 30/45</t>
  </si>
  <si>
    <t>Pnj</t>
  </si>
  <si>
    <t>D19</t>
  </si>
  <si>
    <t>D16</t>
  </si>
  <si>
    <t>d8</t>
  </si>
  <si>
    <t>d10</t>
  </si>
  <si>
    <t>D13</t>
  </si>
  <si>
    <t>D22</t>
  </si>
  <si>
    <t>Berat besi</t>
  </si>
  <si>
    <t>brt19</t>
  </si>
  <si>
    <t>brt16</t>
  </si>
  <si>
    <t>brt8</t>
  </si>
  <si>
    <t>S2*40/60</t>
  </si>
  <si>
    <t>Sloop 40/60*</t>
  </si>
  <si>
    <t>Poor P1</t>
  </si>
  <si>
    <t>Poor P2</t>
  </si>
  <si>
    <t>Poor P3</t>
  </si>
  <si>
    <t>Poor P4</t>
  </si>
  <si>
    <t>berat</t>
  </si>
  <si>
    <t>kg</t>
  </si>
  <si>
    <t>Pelat basement</t>
  </si>
  <si>
    <t>Pelat basement Wiremesh M10</t>
  </si>
  <si>
    <t>Besi ulir D13 -300</t>
  </si>
  <si>
    <t>brt13</t>
  </si>
  <si>
    <t>Beton F'c 25 Mpa.</t>
  </si>
  <si>
    <t>T</t>
  </si>
  <si>
    <t>Pekerjaan Lantai Basement</t>
  </si>
  <si>
    <t>IV</t>
  </si>
  <si>
    <t>Pekerjaan Dinding Basement</t>
  </si>
  <si>
    <t>Bekisting</t>
  </si>
  <si>
    <t>Dinding</t>
  </si>
  <si>
    <t>Tng</t>
  </si>
  <si>
    <t>Besi M10</t>
  </si>
  <si>
    <t>Pembesian wiremesh M10</t>
  </si>
  <si>
    <t>Beton</t>
  </si>
  <si>
    <t>11x.4</t>
  </si>
  <si>
    <t>10x.65</t>
  </si>
  <si>
    <t>6x.7</t>
  </si>
  <si>
    <t>1x.5</t>
  </si>
  <si>
    <t>1x.4</t>
  </si>
  <si>
    <t>tbl</t>
  </si>
  <si>
    <t>Pekerjaan Kolom Basement</t>
  </si>
  <si>
    <t>Kolom K1 70x70</t>
  </si>
  <si>
    <t>Kolom K2 65x65</t>
  </si>
  <si>
    <t>Kolom K5 50x50</t>
  </si>
  <si>
    <t>Kolom</t>
  </si>
  <si>
    <t>K1</t>
  </si>
  <si>
    <t>K2</t>
  </si>
  <si>
    <t>K5</t>
  </si>
  <si>
    <t>K6</t>
  </si>
  <si>
    <t>K7</t>
  </si>
  <si>
    <t>K8</t>
  </si>
  <si>
    <t>K8'</t>
  </si>
  <si>
    <t>Kolom K6 40x60</t>
  </si>
  <si>
    <t>Kolom K7 40x50</t>
  </si>
  <si>
    <t>Kolom K8 40x40</t>
  </si>
  <si>
    <t>Kolom K8' 40x40</t>
  </si>
  <si>
    <t>Area</t>
  </si>
  <si>
    <t>brt d16</t>
  </si>
  <si>
    <t>brt d19</t>
  </si>
  <si>
    <t>brt d10</t>
  </si>
  <si>
    <t>brt d8</t>
  </si>
  <si>
    <t>Sk</t>
  </si>
  <si>
    <t>kait</t>
  </si>
  <si>
    <t>vol/unit</t>
  </si>
  <si>
    <t>Pembesian</t>
  </si>
  <si>
    <t>VI</t>
  </si>
  <si>
    <t>Pekerjaan Pelat Lantai 1</t>
  </si>
  <si>
    <t>VII</t>
  </si>
  <si>
    <t>Pekerjaan Balok Lantai 1</t>
  </si>
  <si>
    <t>Balok  B45/65</t>
  </si>
  <si>
    <t>Balok  B35/55</t>
  </si>
  <si>
    <t>Balok  BA35/60</t>
  </si>
  <si>
    <t>Balok  B30/50</t>
  </si>
  <si>
    <t>Balok  B25/40</t>
  </si>
  <si>
    <t>Balok  B20/40</t>
  </si>
  <si>
    <t>B45/65</t>
  </si>
  <si>
    <t>B35/55</t>
  </si>
  <si>
    <t>BA35/60</t>
  </si>
  <si>
    <t>B30/50</t>
  </si>
  <si>
    <t>B25/40</t>
  </si>
  <si>
    <t>B20/40</t>
  </si>
  <si>
    <t>Bkist</t>
  </si>
  <si>
    <t>Vol sk</t>
  </si>
  <si>
    <t>Vol.tot</t>
  </si>
  <si>
    <t>brt d13</t>
  </si>
  <si>
    <t>Vol ltd</t>
  </si>
  <si>
    <t>Lantai</t>
  </si>
  <si>
    <t>t</t>
  </si>
  <si>
    <t>Void</t>
  </si>
  <si>
    <t>Pembesian d10 - 250</t>
  </si>
  <si>
    <t>Besi</t>
  </si>
  <si>
    <t>Sewa Support / steger</t>
  </si>
  <si>
    <t>VIII</t>
  </si>
  <si>
    <t>Pekerjaan Kolom Lantai 1</t>
  </si>
  <si>
    <t>IX</t>
  </si>
  <si>
    <t>Pekerjaan Balok Lantai 2</t>
  </si>
  <si>
    <t>B45/60</t>
  </si>
  <si>
    <t>B25/50</t>
  </si>
  <si>
    <t>B30/40</t>
  </si>
  <si>
    <t>Balok  B45/60</t>
  </si>
  <si>
    <t>Balok  B30/40</t>
  </si>
  <si>
    <t>Pekerjaan Pelat Lantai 2</t>
  </si>
  <si>
    <t>X</t>
  </si>
  <si>
    <t>XI</t>
  </si>
  <si>
    <t>XII</t>
  </si>
  <si>
    <t>XIII</t>
  </si>
  <si>
    <t>Pekerjaan Kolom Lantai 2</t>
  </si>
  <si>
    <t>Pekerjaan Balok Lantai 3</t>
  </si>
  <si>
    <t>Pekerjaan Pelat Lantai 3</t>
  </si>
  <si>
    <t>XIV</t>
  </si>
  <si>
    <t>Kolom K3 60x60</t>
  </si>
  <si>
    <t>Kolom K4 55x55</t>
  </si>
  <si>
    <t>Pekerjaan Kolom Lantai 3</t>
  </si>
  <si>
    <t>K3</t>
  </si>
  <si>
    <t>K4</t>
  </si>
  <si>
    <t>Pekerjaan Balok Lantai 4</t>
  </si>
  <si>
    <t>XV</t>
  </si>
  <si>
    <t>XVI</t>
  </si>
  <si>
    <t>Pekerjaan Pelat Lantai 4</t>
  </si>
  <si>
    <t>BA30/50</t>
  </si>
  <si>
    <t>Balok  BA30/50</t>
  </si>
  <si>
    <t>Balok  B40/60</t>
  </si>
  <si>
    <t>B40/60</t>
  </si>
  <si>
    <t>Balok  B30/45</t>
  </si>
  <si>
    <t>B30/45</t>
  </si>
  <si>
    <t>B30/60</t>
  </si>
  <si>
    <t>Balok  B30/60</t>
  </si>
  <si>
    <t>BA40/60</t>
  </si>
  <si>
    <t>XVII</t>
  </si>
  <si>
    <t>Pekerjaan Kolom Lantai 4</t>
  </si>
  <si>
    <t>XVIII</t>
  </si>
  <si>
    <t>Pekerjaan Balok Lantai 5</t>
  </si>
  <si>
    <t>Besi 10</t>
  </si>
  <si>
    <t>Besi 13</t>
  </si>
  <si>
    <t xml:space="preserve">brt </t>
  </si>
  <si>
    <t>Besi 16</t>
  </si>
  <si>
    <t>Pembesian d10 , d13, d16</t>
  </si>
  <si>
    <t>XIX</t>
  </si>
  <si>
    <t>Pekerjaan Pelat Lantai 5</t>
  </si>
  <si>
    <t>XX</t>
  </si>
  <si>
    <t>Pekerjaan Kolom Lantai 5</t>
  </si>
  <si>
    <t>Balok 30/45</t>
  </si>
  <si>
    <t>Balok 25/40</t>
  </si>
  <si>
    <t>XXI</t>
  </si>
  <si>
    <t>XXII</t>
  </si>
  <si>
    <t>Pekerjaan Pelat Atap Lift</t>
  </si>
  <si>
    <t>XXIII</t>
  </si>
  <si>
    <t>Pekerjaan Struktur Baja</t>
  </si>
  <si>
    <t>Kolom WF 250x125x25,7</t>
  </si>
  <si>
    <t>Kolom WF</t>
  </si>
  <si>
    <t>Pj</t>
  </si>
  <si>
    <t>brt</t>
  </si>
  <si>
    <t>Balok ring WF 250x125x25,7</t>
  </si>
  <si>
    <t>Balok WF</t>
  </si>
  <si>
    <t>Kuda2</t>
  </si>
  <si>
    <t>Jurai</t>
  </si>
  <si>
    <t>Balok nok</t>
  </si>
  <si>
    <t>Bolok pojok</t>
  </si>
  <si>
    <t>Jurai WF 250x125x25,7</t>
  </si>
  <si>
    <t>Balok nok WF 250x125x25,7</t>
  </si>
  <si>
    <t>Balok pojok WF 250x125x25,7</t>
  </si>
  <si>
    <t>Pelat pondasi dan angker</t>
  </si>
  <si>
    <t>bh.</t>
  </si>
  <si>
    <t>Penglasan</t>
  </si>
  <si>
    <t>Ls</t>
  </si>
  <si>
    <t>Gording</t>
  </si>
  <si>
    <t>Gording 125x50x20x3,2</t>
  </si>
  <si>
    <t>Usuk baja ringan C 75</t>
  </si>
  <si>
    <t>Reng baja ringan propil topi</t>
  </si>
  <si>
    <t>m</t>
  </si>
  <si>
    <t>Luas atap</t>
  </si>
  <si>
    <t>UNIT</t>
  </si>
  <si>
    <t>UNIT PRICE</t>
  </si>
  <si>
    <t>HARGA</t>
  </si>
  <si>
    <t>CATATAN:</t>
  </si>
  <si>
    <t>JANGAN MEN DELATE CELL</t>
  </si>
  <si>
    <t>ADA RUMUS DAN DATA PADA CELL YG DI HIDE</t>
  </si>
  <si>
    <r>
      <t>m</t>
    </r>
    <r>
      <rPr>
        <vertAlign val="superscript"/>
        <sz val="10"/>
        <color theme="1"/>
        <rFont val="Calibri"/>
        <family val="2"/>
        <scheme val="minor"/>
      </rPr>
      <t>3</t>
    </r>
  </si>
  <si>
    <r>
      <t>m</t>
    </r>
    <r>
      <rPr>
        <vertAlign val="superscript"/>
        <sz val="10"/>
        <color theme="1"/>
        <rFont val="Calibri"/>
        <family val="2"/>
        <scheme val="minor"/>
      </rPr>
      <t>2</t>
    </r>
  </si>
  <si>
    <r>
      <t>Balok Kuda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WF 250x125x25,7</t>
    </r>
  </si>
  <si>
    <t>Sub Total I</t>
  </si>
  <si>
    <t>Sub Total II</t>
  </si>
  <si>
    <t>Sub Total III</t>
  </si>
  <si>
    <t>Sub Total IV</t>
  </si>
  <si>
    <t>Sub Total V</t>
  </si>
  <si>
    <t>Sub Total VI</t>
  </si>
  <si>
    <t>Sub Total VII</t>
  </si>
  <si>
    <t>Sub Total VIII</t>
  </si>
  <si>
    <t>Sub Total IX</t>
  </si>
  <si>
    <t>Sub Total X</t>
  </si>
  <si>
    <t>Sub Total XI</t>
  </si>
  <si>
    <t>Sub Total XII</t>
  </si>
  <si>
    <t>Sub Total XIII</t>
  </si>
  <si>
    <t>Sub Total XIV</t>
  </si>
  <si>
    <t>Sub Total XV</t>
  </si>
  <si>
    <t>Sub Total XVI</t>
  </si>
  <si>
    <t>Sub Total XVII</t>
  </si>
  <si>
    <t>Sub Total XVIII</t>
  </si>
  <si>
    <t>Sub Total XIX</t>
  </si>
  <si>
    <t>Sub Total XX</t>
  </si>
  <si>
    <t>Sub Total XXI</t>
  </si>
  <si>
    <t>Sub Total XXII</t>
  </si>
  <si>
    <t>Sub Total XXIII</t>
  </si>
  <si>
    <t>TOTAL HARGA I ~ XXIII</t>
  </si>
  <si>
    <t>Penggalian 1 m3 tanah biasa sedalam 0 s.d. 1 m untuk volume &gt; 2.000 m3 secara Manual</t>
  </si>
  <si>
    <t>No</t>
  </si>
  <si>
    <t>Uraian</t>
  </si>
  <si>
    <t>Sat.</t>
  </si>
  <si>
    <t>Koefisien</t>
  </si>
  <si>
    <t>Harga  Satuan (Rp)</t>
  </si>
  <si>
    <t>Jumlah Harga (Rp)</t>
  </si>
  <si>
    <t>TENAGA KERJA</t>
  </si>
  <si>
    <t>Pekerja</t>
  </si>
  <si>
    <t>OH</t>
  </si>
  <si>
    <t>Mandor</t>
  </si>
  <si>
    <t>JUMLAH HARGA TENAGA KERJA</t>
  </si>
  <si>
    <t>BAHAN</t>
  </si>
  <si>
    <t>JUMLAH HARGA BAHAN</t>
  </si>
  <si>
    <t>PERALATAN</t>
  </si>
  <si>
    <t>JUMLAH HARGA ALAT</t>
  </si>
  <si>
    <t>Jumlah (A+B+C)</t>
  </si>
  <si>
    <t>E</t>
  </si>
  <si>
    <t>Biaya Umum dan Keuntungan 10%-15% x D</t>
  </si>
  <si>
    <t>F</t>
  </si>
  <si>
    <t>Harga Satuan Pekerjaan (D+E)</t>
  </si>
  <si>
    <t xml:space="preserve">1 m3 Pemadatan tanah setebal 10 cm menggunakan  mesin Stemper kuda semi mekanis  </t>
  </si>
  <si>
    <t xml:space="preserve">Stamper Kuda </t>
  </si>
  <si>
    <t xml:space="preserve">hari </t>
  </si>
  <si>
    <t>Biaya Umum dan Keuntungan 10% - 15% x D</t>
  </si>
  <si>
    <t>Mengangkut 1 m3 tanah lepas, jarak angkut &gt; 20 m s.d 30 m</t>
  </si>
  <si>
    <t xml:space="preserve">OH </t>
  </si>
  <si>
    <t>Pemasangan 1 m2 bekisting untuk sloof  (3 kali pakai)</t>
  </si>
  <si>
    <t>Tukang kayu</t>
  </si>
  <si>
    <t>Kepala tukang</t>
  </si>
  <si>
    <t>1</t>
  </si>
  <si>
    <t>Kayu papan kelas III</t>
  </si>
  <si>
    <t>2</t>
  </si>
  <si>
    <t>Paku 4 inch</t>
  </si>
  <si>
    <t>3</t>
  </si>
  <si>
    <t>Minyak Bekisting</t>
  </si>
  <si>
    <t>m3</t>
  </si>
  <si>
    <t xml:space="preserve"> 1 kg penulangan slab untuk BjTS dia. ≥ 12 mm, cara semi mekanis (untuk bangunan gedung)</t>
  </si>
  <si>
    <t>Baja Tulangan Sirip (BjTS) diameter &gt;12 mm</t>
  </si>
  <si>
    <t>Kawat beton</t>
  </si>
  <si>
    <t>Cutter baja beton</t>
  </si>
  <si>
    <t>hari</t>
  </si>
  <si>
    <t>Bender baja beton</t>
  </si>
  <si>
    <t>1 m3 beton mutu sedang f'c 25 MPa, slump (100 ± 25) mm, agregat maks 19 mm secara semi mekanis</t>
  </si>
  <si>
    <t>Tukang batu</t>
  </si>
  <si>
    <t>Kepala Tukang</t>
  </si>
  <si>
    <t>4</t>
  </si>
  <si>
    <t>Semen Portland (PC)</t>
  </si>
  <si>
    <t>Pasir beton</t>
  </si>
  <si>
    <t>Batu split 2/3</t>
  </si>
  <si>
    <t>Air</t>
  </si>
  <si>
    <t>liter</t>
  </si>
  <si>
    <t>Molen beton mixer 350 liter</t>
  </si>
  <si>
    <t>Pemasangan 1 m2 bekisting untuk dinding shearwall (3 kali pakai)</t>
  </si>
  <si>
    <t>Minyak bekisting</t>
  </si>
  <si>
    <t>Kayu balok 6/12 kelas II</t>
  </si>
  <si>
    <t>Plywood 12 mm</t>
  </si>
  <si>
    <t>lembar</t>
  </si>
  <si>
    <t>5</t>
  </si>
  <si>
    <t>Dolken kayu φ 8-10 panjang 400 cm</t>
  </si>
  <si>
    <t>batang</t>
  </si>
  <si>
    <t>6</t>
  </si>
  <si>
    <t>Formtie/penjaga jarak bekesting/spacer</t>
  </si>
  <si>
    <t>1 kg penulangan wiremesh M6-M10 untuk slab atau dinding atau ferrocement, secara manual (untuk bangunan gedung)</t>
  </si>
  <si>
    <t>Wiremesh M6</t>
  </si>
  <si>
    <t>Pemasangan 1 m2 bekisting untuk kolom (3 kali pakai)</t>
  </si>
  <si>
    <t>Paku 12 cm</t>
  </si>
  <si>
    <t>Pemasangan 1 m2 bekisting untuk balok (3 kali pakai)</t>
  </si>
  <si>
    <t xml:space="preserve"> 1 kg penulangan slab untuk  BjTS atau BjTS dia. &lt; 12 mm, cara manual (untuk bangunan gedung)</t>
  </si>
  <si>
    <t>Tukang besi</t>
  </si>
  <si>
    <t>Baja Tulangan Sirip (BjTS) diameter &lt; 12 mm</t>
  </si>
  <si>
    <t>5a</t>
  </si>
  <si>
    <t>Pemasangan 1 m2 bekisting untuk plat lantai (3 kali pakai)</t>
  </si>
  <si>
    <t xml:space="preserve">1 kg Pabrikasi dan Ereksi Baja Profil </t>
  </si>
  <si>
    <t xml:space="preserve">Baja Profil </t>
  </si>
  <si>
    <t>Kawat las</t>
  </si>
  <si>
    <t xml:space="preserve">Alat Las Listrik </t>
  </si>
  <si>
    <t xml:space="preserve">jam </t>
  </si>
  <si>
    <t>Sewa mobil 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</si>
</sst>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0.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/>
    <xf numFmtId="41" fontId="7" fillId="0" borderId="0" applyFont="0" applyFill="0" applyBorder="0" applyAlignment="0" applyProtection="0"/>
  </cellStyleXfs>
  <cellXfs count="2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/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43" fontId="8" fillId="0" borderId="0" xfId="0" applyNumberFormat="1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1" fontId="8" fillId="0" borderId="0" xfId="0" applyNumberFormat="1" applyFont="1" applyAlignment="1">
      <alignment horizontal="center" vertical="center"/>
    </xf>
    <xf numFmtId="41" fontId="8" fillId="0" borderId="8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43" fontId="9" fillId="0" borderId="0" xfId="0" applyNumberFormat="1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41" fontId="9" fillId="0" borderId="0" xfId="0" applyNumberFormat="1" applyFont="1" applyAlignment="1">
      <alignment horizontal="center" vertical="center"/>
    </xf>
    <xf numFmtId="41" fontId="9" fillId="0" borderId="8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5" xfId="0" applyFont="1" applyBorder="1" applyAlignment="1">
      <alignment horizontal="right" vertical="center"/>
    </xf>
    <xf numFmtId="41" fontId="12" fillId="0" borderId="1" xfId="0" applyNumberFormat="1" applyFont="1" applyBorder="1" applyAlignment="1">
      <alignment horizontal="center" vertical="center"/>
    </xf>
    <xf numFmtId="41" fontId="12" fillId="0" borderId="6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41" fontId="12" fillId="0" borderId="0" xfId="0" applyNumberFormat="1" applyFont="1" applyAlignment="1">
      <alignment horizontal="center" vertical="center"/>
    </xf>
    <xf numFmtId="41" fontId="12" fillId="0" borderId="8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41" fontId="9" fillId="0" borderId="4" xfId="0" applyNumberFormat="1" applyFont="1" applyBorder="1" applyAlignment="1">
      <alignment horizontal="center" vertical="center"/>
    </xf>
    <xf numFmtId="41" fontId="9" fillId="0" borderId="7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43" fontId="9" fillId="0" borderId="4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43" fontId="9" fillId="0" borderId="9" xfId="0" applyNumberFormat="1" applyFont="1" applyBorder="1" applyAlignment="1">
      <alignment horizontal="center" vertical="center"/>
    </xf>
    <xf numFmtId="41" fontId="9" fillId="0" borderId="9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43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1" fontId="9" fillId="0" borderId="2" xfId="0" applyNumberFormat="1" applyFont="1" applyBorder="1" applyAlignment="1">
      <alignment horizontal="center" vertical="center"/>
    </xf>
    <xf numFmtId="41" fontId="9" fillId="0" borderId="10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41" fontId="9" fillId="0" borderId="1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41" fontId="8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14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1" fontId="15" fillId="2" borderId="0" xfId="0" applyNumberFormat="1" applyFont="1" applyFill="1" applyAlignment="1">
      <alignment vertical="center" shrinkToFi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left" vertical="center" wrapText="1"/>
    </xf>
    <xf numFmtId="0" fontId="17" fillId="2" borderId="19" xfId="0" applyFont="1" applyFill="1" applyBorder="1" applyAlignment="1">
      <alignment horizontal="left" vertical="center" wrapText="1"/>
    </xf>
    <xf numFmtId="1" fontId="17" fillId="2" borderId="18" xfId="0" applyNumberFormat="1" applyFont="1" applyFill="1" applyBorder="1" applyAlignment="1">
      <alignment horizontal="center" vertical="center" shrinkToFit="1"/>
    </xf>
    <xf numFmtId="0" fontId="16" fillId="2" borderId="19" xfId="0" applyFont="1" applyFill="1" applyBorder="1" applyAlignment="1">
      <alignment horizontal="center" vertical="center" wrapText="1"/>
    </xf>
    <xf numFmtId="165" fontId="17" fillId="2" borderId="19" xfId="0" applyNumberFormat="1" applyFont="1" applyFill="1" applyBorder="1" applyAlignment="1">
      <alignment horizontal="right" vertical="center" shrinkToFit="1"/>
    </xf>
    <xf numFmtId="0" fontId="16" fillId="2" borderId="21" xfId="0" applyFont="1" applyFill="1" applyBorder="1" applyAlignment="1">
      <alignment horizontal="centerContinuous" vertical="center"/>
    </xf>
    <xf numFmtId="0" fontId="16" fillId="2" borderId="22" xfId="0" applyFont="1" applyFill="1" applyBorder="1" applyAlignment="1">
      <alignment horizontal="centerContinuous" vertical="center"/>
    </xf>
    <xf numFmtId="0" fontId="17" fillId="2" borderId="18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vertical="center"/>
    </xf>
    <xf numFmtId="0" fontId="17" fillId="2" borderId="22" xfId="0" applyFont="1" applyFill="1" applyBorder="1" applyAlignment="1">
      <alignment vertical="center"/>
    </xf>
    <xf numFmtId="0" fontId="17" fillId="2" borderId="23" xfId="0" applyFont="1" applyFill="1" applyBorder="1" applyAlignment="1">
      <alignment vertical="center"/>
    </xf>
    <xf numFmtId="0" fontId="17" fillId="2" borderId="25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vertical="center"/>
    </xf>
    <xf numFmtId="0" fontId="17" fillId="2" borderId="27" xfId="0" applyFont="1" applyFill="1" applyBorder="1" applyAlignment="1">
      <alignment vertical="center"/>
    </xf>
    <xf numFmtId="41" fontId="15" fillId="2" borderId="0" xfId="0" applyNumberFormat="1" applyFont="1" applyFill="1" applyAlignment="1">
      <alignment vertical="center" shrinkToFit="1"/>
    </xf>
    <xf numFmtId="41" fontId="15" fillId="2" borderId="0" xfId="0" applyNumberFormat="1" applyFont="1" applyFill="1" applyAlignment="1">
      <alignment horizontal="left" vertical="center"/>
    </xf>
    <xf numFmtId="41" fontId="16" fillId="2" borderId="16" xfId="0" applyNumberFormat="1" applyFont="1" applyFill="1" applyBorder="1" applyAlignment="1">
      <alignment horizontal="center" vertical="center" wrapText="1"/>
    </xf>
    <xf numFmtId="41" fontId="16" fillId="2" borderId="17" xfId="0" applyNumberFormat="1" applyFont="1" applyFill="1" applyBorder="1" applyAlignment="1">
      <alignment horizontal="center" vertical="center" wrapText="1"/>
    </xf>
    <xf numFmtId="41" fontId="15" fillId="2" borderId="0" xfId="0" applyNumberFormat="1" applyFont="1" applyFill="1" applyAlignment="1">
      <alignment horizontal="center" vertical="center" wrapText="1"/>
    </xf>
    <xf numFmtId="41" fontId="0" fillId="0" borderId="0" xfId="0" applyNumberFormat="1"/>
    <xf numFmtId="41" fontId="17" fillId="2" borderId="19" xfId="0" applyNumberFormat="1" applyFont="1" applyFill="1" applyBorder="1" applyAlignment="1">
      <alignment horizontal="left" vertical="center" wrapText="1"/>
    </xf>
    <xf numFmtId="41" fontId="17" fillId="2" borderId="20" xfId="0" applyNumberFormat="1" applyFont="1" applyFill="1" applyBorder="1" applyAlignment="1">
      <alignment horizontal="left" vertical="center" wrapText="1"/>
    </xf>
    <xf numFmtId="41" fontId="17" fillId="2" borderId="19" xfId="0" applyNumberFormat="1" applyFont="1" applyFill="1" applyBorder="1" applyAlignment="1">
      <alignment horizontal="right" vertical="center" shrinkToFit="1"/>
    </xf>
    <xf numFmtId="41" fontId="17" fillId="2" borderId="20" xfId="0" applyNumberFormat="1" applyFont="1" applyFill="1" applyBorder="1" applyAlignment="1">
      <alignment horizontal="right" vertical="center" shrinkToFit="1"/>
    </xf>
    <xf numFmtId="41" fontId="16" fillId="2" borderId="23" xfId="0" applyNumberFormat="1" applyFont="1" applyFill="1" applyBorder="1" applyAlignment="1">
      <alignment horizontal="centerContinuous" vertical="center"/>
    </xf>
    <xf numFmtId="41" fontId="16" fillId="2" borderId="20" xfId="0" applyNumberFormat="1" applyFont="1" applyFill="1" applyBorder="1" applyAlignment="1">
      <alignment horizontal="right" vertical="center" wrapText="1"/>
    </xf>
    <xf numFmtId="41" fontId="17" fillId="2" borderId="23" xfId="0" applyNumberFormat="1" applyFont="1" applyFill="1" applyBorder="1" applyAlignment="1">
      <alignment vertical="center"/>
    </xf>
    <xf numFmtId="41" fontId="17" fillId="2" borderId="19" xfId="0" applyNumberFormat="1" applyFont="1" applyFill="1" applyBorder="1" applyAlignment="1">
      <alignment vertical="center"/>
    </xf>
    <xf numFmtId="41" fontId="17" fillId="2" borderId="28" xfId="0" applyNumberFormat="1" applyFont="1" applyFill="1" applyBorder="1" applyAlignment="1">
      <alignment vertical="center"/>
    </xf>
    <xf numFmtId="41" fontId="15" fillId="2" borderId="29" xfId="0" applyNumberFormat="1" applyFont="1" applyFill="1" applyBorder="1" applyAlignment="1">
      <alignment vertical="center"/>
    </xf>
    <xf numFmtId="0" fontId="18" fillId="2" borderId="0" xfId="0" applyFont="1" applyFill="1" applyAlignment="1">
      <alignment horizontal="left" vertical="center"/>
    </xf>
    <xf numFmtId="1" fontId="19" fillId="2" borderId="0" xfId="0" applyNumberFormat="1" applyFont="1" applyFill="1" applyAlignment="1">
      <alignment horizontal="left" vertical="center"/>
    </xf>
    <xf numFmtId="1" fontId="18" fillId="2" borderId="0" xfId="0" applyNumberFormat="1" applyFont="1" applyFill="1" applyAlignment="1">
      <alignment horizontal="center" vertical="center" shrinkToFit="1"/>
    </xf>
    <xf numFmtId="1" fontId="18" fillId="2" borderId="0" xfId="0" applyNumberFormat="1" applyFont="1" applyFill="1" applyAlignment="1">
      <alignment vertical="center" shrinkToFi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left" vertical="center" wrapText="1"/>
    </xf>
    <xf numFmtId="0" fontId="21" fillId="2" borderId="19" xfId="0" applyFont="1" applyFill="1" applyBorder="1" applyAlignment="1">
      <alignment horizontal="left" vertical="center" wrapText="1"/>
    </xf>
    <xf numFmtId="0" fontId="20" fillId="2" borderId="21" xfId="0" applyFont="1" applyFill="1" applyBorder="1" applyAlignment="1">
      <alignment horizontal="centerContinuous" vertical="center"/>
    </xf>
    <xf numFmtId="0" fontId="20" fillId="2" borderId="22" xfId="0" applyFont="1" applyFill="1" applyBorder="1" applyAlignment="1">
      <alignment horizontal="centerContinuous" vertical="center"/>
    </xf>
    <xf numFmtId="0" fontId="20" fillId="2" borderId="19" xfId="0" applyFont="1" applyFill="1" applyBorder="1" applyAlignment="1">
      <alignment horizontal="right" vertical="center" wrapText="1"/>
    </xf>
    <xf numFmtId="0" fontId="19" fillId="2" borderId="0" xfId="0" applyFont="1" applyFill="1" applyAlignment="1">
      <alignment horizontal="left" vertical="center"/>
    </xf>
    <xf numFmtId="0" fontId="21" fillId="2" borderId="18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vertical="center"/>
    </xf>
    <xf numFmtId="0" fontId="21" fillId="2" borderId="22" xfId="0" applyFont="1" applyFill="1" applyBorder="1" applyAlignment="1">
      <alignment vertical="center"/>
    </xf>
    <xf numFmtId="0" fontId="21" fillId="2" borderId="23" xfId="0" applyFont="1" applyFill="1" applyBorder="1" applyAlignment="1">
      <alignment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vertical="center"/>
    </xf>
    <xf numFmtId="0" fontId="21" fillId="2" borderId="27" xfId="0" applyFont="1" applyFill="1" applyBorder="1" applyAlignment="1">
      <alignment vertical="center"/>
    </xf>
    <xf numFmtId="41" fontId="18" fillId="2" borderId="0" xfId="0" applyNumberFormat="1" applyFont="1" applyFill="1" applyAlignment="1">
      <alignment vertical="center" shrinkToFit="1"/>
    </xf>
    <xf numFmtId="41" fontId="18" fillId="2" borderId="0" xfId="0" applyNumberFormat="1" applyFont="1" applyFill="1" applyAlignment="1">
      <alignment horizontal="left" vertical="center"/>
    </xf>
    <xf numFmtId="41" fontId="20" fillId="2" borderId="16" xfId="0" applyNumberFormat="1" applyFont="1" applyFill="1" applyBorder="1" applyAlignment="1">
      <alignment horizontal="center" vertical="center" wrapText="1"/>
    </xf>
    <xf numFmtId="41" fontId="20" fillId="2" borderId="17" xfId="0" applyNumberFormat="1" applyFont="1" applyFill="1" applyBorder="1" applyAlignment="1">
      <alignment horizontal="center" vertical="center" wrapText="1"/>
    </xf>
    <xf numFmtId="41" fontId="18" fillId="2" borderId="0" xfId="0" applyNumberFormat="1" applyFont="1" applyFill="1" applyAlignment="1">
      <alignment horizontal="center" vertical="center" wrapText="1"/>
    </xf>
    <xf numFmtId="41" fontId="21" fillId="2" borderId="19" xfId="0" applyNumberFormat="1" applyFont="1" applyFill="1" applyBorder="1" applyAlignment="1">
      <alignment horizontal="left" vertical="center" wrapText="1"/>
    </xf>
    <xf numFmtId="41" fontId="21" fillId="2" borderId="20" xfId="0" applyNumberFormat="1" applyFont="1" applyFill="1" applyBorder="1" applyAlignment="1">
      <alignment horizontal="left" vertical="center" wrapText="1"/>
    </xf>
    <xf numFmtId="41" fontId="20" fillId="2" borderId="23" xfId="0" applyNumberFormat="1" applyFont="1" applyFill="1" applyBorder="1" applyAlignment="1">
      <alignment horizontal="centerContinuous" vertical="center"/>
    </xf>
    <xf numFmtId="41" fontId="21" fillId="2" borderId="20" xfId="0" applyNumberFormat="1" applyFont="1" applyFill="1" applyBorder="1" applyAlignment="1">
      <alignment horizontal="right" vertical="center" shrinkToFit="1"/>
    </xf>
    <xf numFmtId="41" fontId="20" fillId="2" borderId="19" xfId="0" applyNumberFormat="1" applyFont="1" applyFill="1" applyBorder="1" applyAlignment="1">
      <alignment horizontal="right" vertical="center" shrinkToFit="1"/>
    </xf>
    <xf numFmtId="41" fontId="20" fillId="2" borderId="20" xfId="0" applyNumberFormat="1" applyFont="1" applyFill="1" applyBorder="1" applyAlignment="1">
      <alignment horizontal="right" vertical="center" shrinkToFit="1"/>
    </xf>
    <xf numFmtId="41" fontId="19" fillId="2" borderId="0" xfId="0" applyNumberFormat="1" applyFont="1" applyFill="1" applyAlignment="1">
      <alignment horizontal="left" vertical="center"/>
    </xf>
    <xf numFmtId="41" fontId="20" fillId="2" borderId="20" xfId="0" applyNumberFormat="1" applyFont="1" applyFill="1" applyBorder="1" applyAlignment="1">
      <alignment horizontal="right" vertical="center" wrapText="1"/>
    </xf>
    <xf numFmtId="41" fontId="21" fillId="2" borderId="23" xfId="0" applyNumberFormat="1" applyFont="1" applyFill="1" applyBorder="1" applyAlignment="1">
      <alignment vertical="center"/>
    </xf>
    <xf numFmtId="41" fontId="21" fillId="2" borderId="19" xfId="0" applyNumberFormat="1" applyFont="1" applyFill="1" applyBorder="1" applyAlignment="1">
      <alignment vertical="center"/>
    </xf>
    <xf numFmtId="41" fontId="21" fillId="2" borderId="28" xfId="0" applyNumberFormat="1" applyFont="1" applyFill="1" applyBorder="1" applyAlignment="1">
      <alignment vertical="center"/>
    </xf>
    <xf numFmtId="41" fontId="18" fillId="2" borderId="29" xfId="0" applyNumberFormat="1" applyFont="1" applyFill="1" applyBorder="1" applyAlignment="1">
      <alignment vertical="center"/>
    </xf>
    <xf numFmtId="0" fontId="18" fillId="2" borderId="0" xfId="0" applyFont="1" applyFill="1" applyAlignment="1">
      <alignment horizontal="left" vertical="top"/>
    </xf>
    <xf numFmtId="1" fontId="19" fillId="2" borderId="30" xfId="0" applyNumberFormat="1" applyFont="1" applyFill="1" applyBorder="1" applyAlignment="1">
      <alignment vertical="top"/>
    </xf>
    <xf numFmtId="0" fontId="20" fillId="2" borderId="18" xfId="0" applyFont="1" applyFill="1" applyBorder="1" applyAlignment="1">
      <alignment horizontal="center" vertical="top" wrapText="1"/>
    </xf>
    <xf numFmtId="0" fontId="20" fillId="2" borderId="19" xfId="0" applyFont="1" applyFill="1" applyBorder="1" applyAlignment="1">
      <alignment horizontal="left" vertical="top" wrapText="1"/>
    </xf>
    <xf numFmtId="0" fontId="21" fillId="2" borderId="19" xfId="0" applyFont="1" applyFill="1" applyBorder="1" applyAlignment="1">
      <alignment horizontal="left" wrapText="1"/>
    </xf>
    <xf numFmtId="0" fontId="20" fillId="2" borderId="21" xfId="0" applyFont="1" applyFill="1" applyBorder="1" applyAlignment="1">
      <alignment horizontal="center" vertical="top" wrapText="1"/>
    </xf>
    <xf numFmtId="0" fontId="21" fillId="2" borderId="19" xfId="0" applyFont="1" applyFill="1" applyBorder="1" applyAlignment="1">
      <alignment horizontal="center" wrapText="1"/>
    </xf>
    <xf numFmtId="165" fontId="21" fillId="2" borderId="19" xfId="0" applyNumberFormat="1" applyFont="1" applyFill="1" applyBorder="1" applyAlignment="1">
      <alignment horizontal="right" wrapText="1"/>
    </xf>
    <xf numFmtId="0" fontId="21" fillId="2" borderId="18" xfId="0" applyFont="1" applyFill="1" applyBorder="1" applyAlignment="1">
      <alignment horizontal="center" vertical="top"/>
    </xf>
    <xf numFmtId="0" fontId="21" fillId="2" borderId="24" xfId="0" applyFont="1" applyFill="1" applyBorder="1" applyAlignment="1">
      <alignment vertical="top"/>
    </xf>
    <xf numFmtId="0" fontId="21" fillId="2" borderId="22" xfId="0" applyFont="1" applyFill="1" applyBorder="1" applyAlignment="1">
      <alignment vertical="top"/>
    </xf>
    <xf numFmtId="0" fontId="21" fillId="2" borderId="23" xfId="0" applyFont="1" applyFill="1" applyBorder="1" applyAlignment="1">
      <alignment vertical="top"/>
    </xf>
    <xf numFmtId="0" fontId="21" fillId="2" borderId="25" xfId="0" applyFont="1" applyFill="1" applyBorder="1" applyAlignment="1">
      <alignment horizontal="center" vertical="top"/>
    </xf>
    <xf numFmtId="0" fontId="21" fillId="2" borderId="26" xfId="0" applyFont="1" applyFill="1" applyBorder="1" applyAlignment="1">
      <alignment vertical="top"/>
    </xf>
    <xf numFmtId="0" fontId="21" fillId="2" borderId="27" xfId="0" applyFont="1" applyFill="1" applyBorder="1" applyAlignment="1">
      <alignment vertical="top"/>
    </xf>
    <xf numFmtId="41" fontId="19" fillId="2" borderId="30" xfId="0" applyNumberFormat="1" applyFont="1" applyFill="1" applyBorder="1" applyAlignment="1">
      <alignment vertical="top"/>
    </xf>
    <xf numFmtId="41" fontId="18" fillId="2" borderId="0" xfId="0" applyNumberFormat="1" applyFont="1" applyFill="1" applyAlignment="1">
      <alignment horizontal="left" vertical="top"/>
    </xf>
    <xf numFmtId="41" fontId="18" fillId="2" borderId="0" xfId="0" applyNumberFormat="1" applyFont="1" applyFill="1" applyAlignment="1">
      <alignment horizontal="center" vertical="top" wrapText="1"/>
    </xf>
    <xf numFmtId="41" fontId="21" fillId="2" borderId="19" xfId="0" applyNumberFormat="1" applyFont="1" applyFill="1" applyBorder="1" applyAlignment="1">
      <alignment horizontal="left" wrapText="1"/>
    </xf>
    <xf numFmtId="41" fontId="21" fillId="2" borderId="20" xfId="0" applyNumberFormat="1" applyFont="1" applyFill="1" applyBorder="1" applyAlignment="1">
      <alignment horizontal="left" wrapText="1"/>
    </xf>
    <xf numFmtId="41" fontId="21" fillId="2" borderId="19" xfId="0" applyNumberFormat="1" applyFont="1" applyFill="1" applyBorder="1" applyAlignment="1">
      <alignment horizontal="right" vertical="top" shrinkToFit="1"/>
    </xf>
    <xf numFmtId="41" fontId="21" fillId="2" borderId="20" xfId="0" applyNumberFormat="1" applyFont="1" applyFill="1" applyBorder="1" applyAlignment="1">
      <alignment horizontal="right" vertical="top" shrinkToFit="1"/>
    </xf>
    <xf numFmtId="41" fontId="20" fillId="2" borderId="20" xfId="0" applyNumberFormat="1" applyFont="1" applyFill="1" applyBorder="1" applyAlignment="1">
      <alignment horizontal="right" vertical="top" wrapText="1" indent="1"/>
    </xf>
    <xf numFmtId="41" fontId="21" fillId="2" borderId="23" xfId="0" applyNumberFormat="1" applyFont="1" applyFill="1" applyBorder="1" applyAlignment="1">
      <alignment vertical="top"/>
    </xf>
    <xf numFmtId="41" fontId="21" fillId="2" borderId="19" xfId="0" applyNumberFormat="1" applyFont="1" applyFill="1" applyBorder="1" applyAlignment="1">
      <alignment vertical="top"/>
    </xf>
    <xf numFmtId="41" fontId="21" fillId="2" borderId="28" xfId="0" applyNumberFormat="1" applyFont="1" applyFill="1" applyBorder="1" applyAlignment="1">
      <alignment vertical="top"/>
    </xf>
    <xf numFmtId="41" fontId="18" fillId="2" borderId="29" xfId="0" applyNumberFormat="1" applyFont="1" applyFill="1" applyBorder="1" applyAlignment="1">
      <alignment vertical="top"/>
    </xf>
    <xf numFmtId="0" fontId="8" fillId="3" borderId="13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43" fontId="8" fillId="3" borderId="14" xfId="0" applyNumberFormat="1" applyFont="1" applyFill="1" applyBorder="1" applyAlignment="1">
      <alignment horizontal="center" vertical="center"/>
    </xf>
    <xf numFmtId="41" fontId="8" fillId="3" borderId="14" xfId="0" applyNumberFormat="1" applyFont="1" applyFill="1" applyBorder="1" applyAlignment="1">
      <alignment horizontal="center" vertical="center"/>
    </xf>
    <xf numFmtId="41" fontId="8" fillId="3" borderId="9" xfId="0" applyNumberFormat="1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1" fontId="21" fillId="2" borderId="18" xfId="0" applyNumberFormat="1" applyFont="1" applyFill="1" applyBorder="1" applyAlignment="1">
      <alignment horizontal="center" vertical="center" shrinkToFit="1"/>
    </xf>
    <xf numFmtId="0" fontId="20" fillId="2" borderId="19" xfId="0" applyFont="1" applyFill="1" applyBorder="1" applyAlignment="1">
      <alignment horizontal="center" vertical="center" wrapText="1"/>
    </xf>
    <xf numFmtId="164" fontId="21" fillId="2" borderId="19" xfId="0" applyNumberFormat="1" applyFont="1" applyFill="1" applyBorder="1" applyAlignment="1">
      <alignment horizontal="right" vertical="center" shrinkToFit="1"/>
    </xf>
    <xf numFmtId="164" fontId="20" fillId="2" borderId="22" xfId="0" applyNumberFormat="1" applyFont="1" applyFill="1" applyBorder="1" applyAlignment="1">
      <alignment horizontal="centerContinuous" vertical="center"/>
    </xf>
    <xf numFmtId="1" fontId="21" fillId="2" borderId="18" xfId="0" quotePrefix="1" applyNumberFormat="1" applyFont="1" applyFill="1" applyBorder="1" applyAlignment="1">
      <alignment horizontal="center" vertical="center" shrinkToFit="1"/>
    </xf>
    <xf numFmtId="0" fontId="20" fillId="2" borderId="19" xfId="0" applyFont="1" applyFill="1" applyBorder="1" applyAlignment="1">
      <alignment horizontal="left" vertical="center"/>
    </xf>
    <xf numFmtId="41" fontId="18" fillId="2" borderId="0" xfId="0" applyNumberFormat="1" applyFont="1" applyFill="1" applyAlignment="1">
      <alignment horizontal="center" vertical="center"/>
    </xf>
    <xf numFmtId="41" fontId="21" fillId="2" borderId="19" xfId="0" applyNumberFormat="1" applyFont="1" applyFill="1" applyBorder="1" applyAlignment="1">
      <alignment horizontal="right" vertical="center" shrinkToFit="1"/>
    </xf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vertical="center" wrapText="1"/>
    </xf>
    <xf numFmtId="166" fontId="21" fillId="2" borderId="19" xfId="0" applyNumberFormat="1" applyFont="1" applyFill="1" applyBorder="1" applyAlignment="1">
      <alignment horizontal="right" vertical="center" shrinkToFit="1"/>
    </xf>
    <xf numFmtId="0" fontId="20" fillId="2" borderId="18" xfId="0" quotePrefix="1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 wrapText="1"/>
    </xf>
    <xf numFmtId="165" fontId="21" fillId="2" borderId="19" xfId="0" applyNumberFormat="1" applyFont="1" applyFill="1" applyBorder="1" applyAlignment="1">
      <alignment horizontal="right" vertical="center" wrapText="1"/>
    </xf>
    <xf numFmtId="41" fontId="19" fillId="2" borderId="0" xfId="0" applyNumberFormat="1" applyFont="1" applyFill="1" applyAlignment="1">
      <alignment vertical="center" wrapText="1"/>
    </xf>
    <xf numFmtId="164" fontId="21" fillId="2" borderId="19" xfId="0" applyNumberFormat="1" applyFont="1" applyFill="1" applyBorder="1" applyAlignment="1">
      <alignment horizontal="right" vertical="center" wrapText="1"/>
    </xf>
    <xf numFmtId="0" fontId="21" fillId="2" borderId="19" xfId="0" applyFont="1" applyFill="1" applyBorder="1" applyAlignment="1">
      <alignment horizontal="right" vertical="center" wrapText="1"/>
    </xf>
    <xf numFmtId="41" fontId="9" fillId="4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center"/>
    </xf>
    <xf numFmtId="165" fontId="21" fillId="2" borderId="19" xfId="0" applyNumberFormat="1" applyFont="1" applyFill="1" applyBorder="1" applyAlignment="1">
      <alignment horizontal="right" vertical="center" shrinkToFit="1"/>
    </xf>
    <xf numFmtId="0" fontId="20" fillId="2" borderId="18" xfId="0" applyFont="1" applyFill="1" applyBorder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vertical="center"/>
    </xf>
    <xf numFmtId="41" fontId="21" fillId="2" borderId="20" xfId="1" applyFont="1" applyFill="1" applyBorder="1" applyAlignment="1">
      <alignment horizontal="right" wrapText="1"/>
    </xf>
    <xf numFmtId="41" fontId="18" fillId="2" borderId="0" xfId="0" applyNumberFormat="1" applyFont="1" applyFill="1" applyAlignment="1">
      <alignment horizontal="left" vertical="center" wrapText="1"/>
    </xf>
    <xf numFmtId="41" fontId="21" fillId="2" borderId="0" xfId="0" applyNumberFormat="1" applyFont="1" applyFill="1" applyAlignment="1">
      <alignment vertical="center"/>
    </xf>
    <xf numFmtId="41" fontId="18" fillId="2" borderId="0" xfId="0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 wrapText="1"/>
    </xf>
    <xf numFmtId="165" fontId="21" fillId="2" borderId="19" xfId="0" applyNumberFormat="1" applyFont="1" applyFill="1" applyBorder="1" applyAlignment="1">
      <alignment horizontal="center" vertical="center" shrinkToFit="1"/>
    </xf>
    <xf numFmtId="164" fontId="20" fillId="2" borderId="22" xfId="0" applyNumberFormat="1" applyFont="1" applyFill="1" applyBorder="1" applyAlignment="1">
      <alignment horizontal="center" vertical="center"/>
    </xf>
    <xf numFmtId="1" fontId="22" fillId="2" borderId="18" xfId="0" applyNumberFormat="1" applyFont="1" applyFill="1" applyBorder="1" applyAlignment="1">
      <alignment horizontal="center" vertical="center" shrinkToFit="1"/>
    </xf>
    <xf numFmtId="0" fontId="22" fillId="2" borderId="19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center" vertical="center"/>
    </xf>
    <xf numFmtId="164" fontId="22" fillId="2" borderId="19" xfId="0" applyNumberFormat="1" applyFont="1" applyFill="1" applyBorder="1" applyAlignment="1">
      <alignment horizontal="center" vertical="center" shrinkToFit="1"/>
    </xf>
    <xf numFmtId="0" fontId="20" fillId="2" borderId="19" xfId="0" applyFont="1" applyFill="1" applyBorder="1" applyAlignment="1">
      <alignment horizontal="center" vertical="center"/>
    </xf>
    <xf numFmtId="164" fontId="21" fillId="2" borderId="19" xfId="0" applyNumberFormat="1" applyFont="1" applyFill="1" applyBorder="1" applyAlignment="1">
      <alignment horizontal="center" vertical="center" shrinkToFit="1"/>
    </xf>
    <xf numFmtId="0" fontId="20" fillId="2" borderId="22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left" vertical="center" wrapText="1"/>
    </xf>
    <xf numFmtId="0" fontId="22" fillId="2" borderId="19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41" fontId="21" fillId="2" borderId="0" xfId="0" applyNumberFormat="1" applyFont="1" applyFill="1" applyAlignment="1">
      <alignment horizontal="left" vertical="center" wrapText="1"/>
    </xf>
    <xf numFmtId="41" fontId="22" fillId="2" borderId="19" xfId="0" applyNumberFormat="1" applyFont="1" applyFill="1" applyBorder="1" applyAlignment="1">
      <alignment horizontal="right" vertical="center" shrinkToFit="1"/>
    </xf>
    <xf numFmtId="41" fontId="22" fillId="2" borderId="20" xfId="0" applyNumberFormat="1" applyFont="1" applyFill="1" applyBorder="1" applyAlignment="1">
      <alignment horizontal="right" vertical="center" shrinkToFit="1"/>
    </xf>
    <xf numFmtId="41" fontId="8" fillId="0" borderId="0" xfId="0" applyNumberFormat="1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USAT\AHSP%20CIPTA%20KARYA%20SE%20BINA%20KONSTRUKSI%20NO%2030%20TAHUN%202025.xlsx" TargetMode="External"/><Relationship Id="rId1" Type="http://schemas.openxmlformats.org/officeDocument/2006/relationships/externalLinkPath" Target="/DATA%20PUSAT/AHSP%20CIPTA%20KARYA%20SE%20BINA%20KONSTRUKSI%20NO%2030%20TAHU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ah Bahan"/>
      <sheetName val="Daftar Harga Satuan Pekerjaan"/>
      <sheetName val="Persiapan"/>
      <sheetName val="Galian Tanah"/>
      <sheetName val="Timbunan Pemadatan"/>
      <sheetName val="Angkut Material"/>
      <sheetName val="Geotekstil &amp; Geomembran "/>
      <sheetName val="Pembongkaran"/>
      <sheetName val="Rangka Atap"/>
      <sheetName val="Beton"/>
      <sheetName val="Pondasi"/>
      <sheetName val="BAJA"/>
      <sheetName val="Beton Pracetak"/>
      <sheetName val="Beton Prategang "/>
      <sheetName val="Struktur Kayu"/>
      <sheetName val="Dinding Penahan Tanah "/>
      <sheetName val="Penutup Atap"/>
      <sheetName val="Plafon"/>
      <sheetName val="Pasangan Dinding"/>
      <sheetName val="Plesteran Dan Acian"/>
      <sheetName val="Pengecatan dan Pelituran"/>
      <sheetName val="Penutup Lantai dan Dinding"/>
      <sheetName val="Pintu dan Jendela"/>
      <sheetName val="Kaca"/>
      <sheetName val="Besi dan Aluminium"/>
      <sheetName val="Kayu"/>
      <sheetName val="Ornamen"/>
      <sheetName val="Signage"/>
      <sheetName val="Sanitair"/>
      <sheetName val="Lansekap"/>
      <sheetName val="Jaringan Listrik"/>
      <sheetName val="Perpipaan dan proteksi kebakar "/>
      <sheetName val="Sistem Air Minum"/>
      <sheetName val="Sistem Air Limbah"/>
      <sheetName val="Bak Kontrol"/>
      <sheetName val="Perpipaan dalam Gedung "/>
      <sheetName val="Sistem Air Hujan"/>
      <sheetName val="Jalan Pada Pemukiman"/>
      <sheetName val="Drainase"/>
      <sheetName val="Jaringan Pipa Luar Gedung"/>
      <sheetName val="Strutur Risha "/>
      <sheetName val="Sheet1"/>
    </sheetNames>
    <sheetDataSet>
      <sheetData sheetId="0">
        <row r="9">
          <cell r="F9" t="str">
            <v>Pekerja</v>
          </cell>
          <cell r="G9" t="str">
            <v>OH</v>
          </cell>
          <cell r="H9">
            <v>100000</v>
          </cell>
        </row>
        <row r="10">
          <cell r="F10" t="str">
            <v>Tukang batu</v>
          </cell>
          <cell r="G10" t="str">
            <v>OH</v>
          </cell>
          <cell r="H10">
            <v>145000</v>
          </cell>
        </row>
        <row r="11">
          <cell r="F11" t="str">
            <v>Tukang kayu</v>
          </cell>
          <cell r="G11" t="str">
            <v>OH</v>
          </cell>
          <cell r="H11">
            <v>145000</v>
          </cell>
        </row>
        <row r="12">
          <cell r="F12" t="str">
            <v>Tukang besi</v>
          </cell>
          <cell r="G12" t="str">
            <v>OH</v>
          </cell>
          <cell r="H12">
            <v>145000</v>
          </cell>
        </row>
        <row r="13">
          <cell r="F13" t="str">
            <v>Tukang cat</v>
          </cell>
          <cell r="G13" t="str">
            <v>OH</v>
          </cell>
          <cell r="H13">
            <v>145000</v>
          </cell>
        </row>
        <row r="14">
          <cell r="F14" t="str">
            <v>Tukang pelitur</v>
          </cell>
          <cell r="G14" t="str">
            <v>OH</v>
          </cell>
          <cell r="H14">
            <v>145000</v>
          </cell>
        </row>
        <row r="15">
          <cell r="F15" t="str">
            <v>Tukang pipa</v>
          </cell>
          <cell r="G15" t="str">
            <v>OH</v>
          </cell>
          <cell r="H15">
            <v>145000</v>
          </cell>
        </row>
        <row r="16">
          <cell r="F16" t="str">
            <v>Tukang penganyam bronjong</v>
          </cell>
          <cell r="G16" t="str">
            <v>OH</v>
          </cell>
          <cell r="H16">
            <v>145000</v>
          </cell>
        </row>
        <row r="17">
          <cell r="F17" t="str">
            <v>Tukang tebas</v>
          </cell>
          <cell r="G17" t="str">
            <v>OH</v>
          </cell>
          <cell r="H17">
            <v>145000</v>
          </cell>
        </row>
        <row r="18">
          <cell r="F18" t="str">
            <v>Tukang las</v>
          </cell>
          <cell r="G18" t="str">
            <v>OH</v>
          </cell>
          <cell r="H18">
            <v>145000</v>
          </cell>
        </row>
        <row r="19">
          <cell r="F19" t="str">
            <v>Tukang las geotextile</v>
          </cell>
          <cell r="G19" t="str">
            <v>OH</v>
          </cell>
          <cell r="H19">
            <v>145000</v>
          </cell>
        </row>
        <row r="20">
          <cell r="F20" t="str">
            <v>Tukang listrik</v>
          </cell>
          <cell r="G20" t="str">
            <v>OH</v>
          </cell>
          <cell r="H20">
            <v>145000</v>
          </cell>
        </row>
        <row r="21">
          <cell r="F21" t="str">
            <v>Tukang alumunium</v>
          </cell>
          <cell r="G21" t="str">
            <v>OH</v>
          </cell>
          <cell r="H21">
            <v>145000</v>
          </cell>
        </row>
        <row r="22">
          <cell r="F22" t="str">
            <v>Tukang kaca</v>
          </cell>
          <cell r="G22" t="str">
            <v>OH</v>
          </cell>
        </row>
        <row r="23">
          <cell r="F23" t="str">
            <v>Tukang erection</v>
          </cell>
          <cell r="G23" t="str">
            <v>OH</v>
          </cell>
          <cell r="H23">
            <v>145000</v>
          </cell>
        </row>
        <row r="24">
          <cell r="F24" t="str">
            <v>Tukang tanam</v>
          </cell>
          <cell r="G24" t="str">
            <v>OH</v>
          </cell>
          <cell r="H24">
            <v>145000</v>
          </cell>
        </row>
        <row r="25">
          <cell r="F25" t="str">
            <v xml:space="preserve">Tukang Tanam </v>
          </cell>
          <cell r="G25" t="str">
            <v xml:space="preserve">OH </v>
          </cell>
          <cell r="H25">
            <v>181250</v>
          </cell>
        </row>
        <row r="26">
          <cell r="F26" t="str">
            <v xml:space="preserve">Kepala Tukang Tanam </v>
          </cell>
          <cell r="G26" t="str">
            <v xml:space="preserve">OH </v>
          </cell>
          <cell r="H26">
            <v>218750</v>
          </cell>
        </row>
        <row r="27">
          <cell r="F27" t="str">
            <v>Tukang pemelihara taman</v>
          </cell>
          <cell r="G27" t="str">
            <v xml:space="preserve">OH </v>
          </cell>
          <cell r="H27">
            <v>145000</v>
          </cell>
        </row>
        <row r="28">
          <cell r="F28" t="str">
            <v>Tukang pemelihara taman (115% Pekerja)</v>
          </cell>
          <cell r="G28" t="str">
            <v xml:space="preserve">OH </v>
          </cell>
          <cell r="H28">
            <v>114999.99999999999</v>
          </cell>
        </row>
        <row r="29">
          <cell r="F29" t="str">
            <v>Tukang gali</v>
          </cell>
          <cell r="G29" t="str">
            <v>OH</v>
          </cell>
          <cell r="H29">
            <v>120000</v>
          </cell>
        </row>
        <row r="30">
          <cell r="F30" t="str">
            <v>Tukang aspal</v>
          </cell>
          <cell r="G30" t="str">
            <v>OH</v>
          </cell>
          <cell r="H30">
            <v>120000</v>
          </cell>
        </row>
        <row r="31">
          <cell r="F31" t="str">
            <v>Kepala tukang</v>
          </cell>
          <cell r="G31" t="str">
            <v>OH</v>
          </cell>
          <cell r="H31">
            <v>175000</v>
          </cell>
        </row>
        <row r="32">
          <cell r="F32" t="str">
            <v>Mandor</v>
          </cell>
          <cell r="G32" t="str">
            <v>OH</v>
          </cell>
          <cell r="H32">
            <v>200000</v>
          </cell>
        </row>
        <row r="33">
          <cell r="F33" t="str">
            <v>Juru ukur</v>
          </cell>
          <cell r="G33" t="str">
            <v>OH</v>
          </cell>
          <cell r="H33">
            <v>175000</v>
          </cell>
        </row>
        <row r="34">
          <cell r="F34" t="str">
            <v>Pembantu juru ukur</v>
          </cell>
          <cell r="G34" t="str">
            <v>OH</v>
          </cell>
          <cell r="H34">
            <v>150000</v>
          </cell>
        </row>
        <row r="35">
          <cell r="F35" t="str">
            <v>Mekanik alat berat</v>
          </cell>
          <cell r="G35" t="str">
            <v>OH</v>
          </cell>
          <cell r="H35">
            <v>220000</v>
          </cell>
        </row>
        <row r="36">
          <cell r="F36" t="str">
            <v>Operator alat berat</v>
          </cell>
          <cell r="G36" t="str">
            <v>OH</v>
          </cell>
          <cell r="H36">
            <v>250000</v>
          </cell>
        </row>
        <row r="37">
          <cell r="F37" t="str">
            <v>Pembantu operator alat berat</v>
          </cell>
          <cell r="G37" t="str">
            <v>OH</v>
          </cell>
          <cell r="H37">
            <v>130000</v>
          </cell>
        </row>
        <row r="38">
          <cell r="F38" t="str">
            <v>Sopir</v>
          </cell>
          <cell r="G38" t="str">
            <v>OH</v>
          </cell>
          <cell r="H38">
            <v>200000</v>
          </cell>
        </row>
        <row r="39">
          <cell r="F39" t="str">
            <v>Kenek</v>
          </cell>
          <cell r="G39" t="str">
            <v>OH</v>
          </cell>
          <cell r="H39">
            <v>135000</v>
          </cell>
        </row>
        <row r="40">
          <cell r="F40" t="str">
            <v>Administrasi bor</v>
          </cell>
          <cell r="G40" t="str">
            <v>OH</v>
          </cell>
          <cell r="H40">
            <v>110000</v>
          </cell>
        </row>
        <row r="41">
          <cell r="F41" t="str">
            <v>Ahli geologist</v>
          </cell>
          <cell r="G41" t="str">
            <v>OH</v>
          </cell>
          <cell r="H41">
            <v>400000</v>
          </cell>
        </row>
        <row r="42">
          <cell r="F42" t="str">
            <v>Ahli topografi</v>
          </cell>
          <cell r="G42" t="str">
            <v>OH</v>
          </cell>
          <cell r="H42">
            <v>400000</v>
          </cell>
        </row>
        <row r="43">
          <cell r="F43" t="str">
            <v>Crew driller</v>
          </cell>
          <cell r="G43" t="str">
            <v>OH</v>
          </cell>
          <cell r="H43">
            <v>125000</v>
          </cell>
        </row>
        <row r="44">
          <cell r="F44" t="str">
            <v>Driller</v>
          </cell>
          <cell r="G44" t="str">
            <v>OH</v>
          </cell>
          <cell r="H44">
            <v>140000</v>
          </cell>
        </row>
        <row r="45">
          <cell r="F45" t="str">
            <v>Juru gambar</v>
          </cell>
          <cell r="G45" t="str">
            <v>OH</v>
          </cell>
          <cell r="H45">
            <v>150000</v>
          </cell>
        </row>
        <row r="46">
          <cell r="F46" t="str">
            <v>Koordinator driller</v>
          </cell>
          <cell r="G46" t="str">
            <v>OH</v>
          </cell>
          <cell r="H46">
            <v>155000</v>
          </cell>
        </row>
        <row r="47">
          <cell r="F47" t="str">
            <v>Operator pompa</v>
          </cell>
          <cell r="G47" t="str">
            <v>OH</v>
          </cell>
          <cell r="H47">
            <v>130000</v>
          </cell>
        </row>
        <row r="48">
          <cell r="F48" t="str">
            <v>Pembantu driller</v>
          </cell>
          <cell r="G48" t="str">
            <v>OH</v>
          </cell>
          <cell r="H48">
            <v>130000</v>
          </cell>
        </row>
        <row r="49">
          <cell r="F49" t="str">
            <v>Pembantu mekanik alat berat</v>
          </cell>
          <cell r="G49" t="str">
            <v>OH</v>
          </cell>
          <cell r="H49">
            <v>130000</v>
          </cell>
        </row>
        <row r="50">
          <cell r="F50" t="str">
            <v>Supir kendaraan &lt;  2 ton (termasuk sedan)</v>
          </cell>
          <cell r="G50" t="str">
            <v>OH</v>
          </cell>
          <cell r="H50">
            <v>160000</v>
          </cell>
        </row>
        <row r="51">
          <cell r="F51" t="str">
            <v xml:space="preserve">Tenaga Terampil Operator </v>
          </cell>
          <cell r="G51" t="str">
            <v xml:space="preserve">OH </v>
          </cell>
          <cell r="H51">
            <v>145000</v>
          </cell>
        </row>
        <row r="52">
          <cell r="F52" t="str">
            <v xml:space="preserve">Tenaga Ahli Muda </v>
          </cell>
          <cell r="G52" t="str">
            <v xml:space="preserve">OH </v>
          </cell>
          <cell r="H52">
            <v>145000</v>
          </cell>
        </row>
        <row r="56">
          <cell r="F56" t="str">
            <v>Agregat kasar</v>
          </cell>
          <cell r="G56" t="str">
            <v>m3</v>
          </cell>
          <cell r="H56">
            <v>385000</v>
          </cell>
        </row>
        <row r="57">
          <cell r="F57" t="str">
            <v xml:space="preserve">Agregar Kasar </v>
          </cell>
          <cell r="G57" t="str">
            <v xml:space="preserve">kg </v>
          </cell>
          <cell r="H57">
            <v>226.47058823529412</v>
          </cell>
        </row>
        <row r="58">
          <cell r="F58" t="str">
            <v>Agg Pokok</v>
          </cell>
          <cell r="G58" t="str">
            <v>m3</v>
          </cell>
          <cell r="H58">
            <v>350000</v>
          </cell>
        </row>
        <row r="59">
          <cell r="F59" t="str">
            <v>Agg Pengunci</v>
          </cell>
          <cell r="G59" t="str">
            <v>m3</v>
          </cell>
          <cell r="H59">
            <v>360000</v>
          </cell>
        </row>
        <row r="60">
          <cell r="F60" t="str">
            <v>Agg Penutup</v>
          </cell>
          <cell r="G60" t="str">
            <v>m3</v>
          </cell>
          <cell r="H60">
            <v>370000</v>
          </cell>
        </row>
        <row r="61">
          <cell r="F61" t="str">
            <v>Bata merah</v>
          </cell>
          <cell r="G61" t="str">
            <v>buah</v>
          </cell>
          <cell r="H61">
            <v>700</v>
          </cell>
        </row>
        <row r="62">
          <cell r="F62" t="str">
            <v>Bata merah 5 x  11 x  22 cm (per m3)</v>
          </cell>
          <cell r="G62" t="str">
            <v>m3</v>
          </cell>
          <cell r="H62">
            <v>590000</v>
          </cell>
        </row>
        <row r="63">
          <cell r="F63" t="str">
            <v>Bata ringan</v>
          </cell>
          <cell r="G63" t="str">
            <v>m3</v>
          </cell>
          <cell r="H63">
            <v>703500</v>
          </cell>
        </row>
        <row r="64">
          <cell r="F64" t="str">
            <v>Bata ringan t=10 cm</v>
          </cell>
          <cell r="G64" t="str">
            <v>m3</v>
          </cell>
          <cell r="H64">
            <v>685800</v>
          </cell>
        </row>
        <row r="65">
          <cell r="F65" t="str">
            <v>Bata ringan tebal 10 cm</v>
          </cell>
          <cell r="G65" t="str">
            <v>buah</v>
          </cell>
          <cell r="H65">
            <v>11000</v>
          </cell>
        </row>
        <row r="66">
          <cell r="F66" t="str">
            <v>Bata ringan tebal 20 cm</v>
          </cell>
          <cell r="G66" t="str">
            <v>buah</v>
          </cell>
          <cell r="H66">
            <v>20000</v>
          </cell>
        </row>
        <row r="67">
          <cell r="F67" t="str">
            <v>Bata ringan tebal 7,5 cm</v>
          </cell>
          <cell r="G67" t="str">
            <v>buah</v>
          </cell>
          <cell r="H67">
            <v>8500</v>
          </cell>
        </row>
        <row r="68">
          <cell r="F68" t="str">
            <v>Bata rooster</v>
          </cell>
          <cell r="G68" t="str">
            <v>buah</v>
          </cell>
          <cell r="H68">
            <v>15000</v>
          </cell>
        </row>
        <row r="69">
          <cell r="F69" t="str">
            <v xml:space="preserve">Bata Berongga Uk. 12x11x24 </v>
          </cell>
          <cell r="G69" t="str">
            <v xml:space="preserve">buah </v>
          </cell>
          <cell r="H69">
            <v>15000</v>
          </cell>
        </row>
        <row r="70">
          <cell r="F70" t="str">
            <v>Batu alam andesit  bakar</v>
          </cell>
          <cell r="G70" t="str">
            <v>m²</v>
          </cell>
          <cell r="H70">
            <v>179300</v>
          </cell>
        </row>
        <row r="71">
          <cell r="F71" t="str">
            <v>Batu alam andesit  non bakar</v>
          </cell>
          <cell r="G71" t="str">
            <v>m²</v>
          </cell>
          <cell r="H71">
            <v>177500</v>
          </cell>
        </row>
        <row r="72">
          <cell r="F72" t="str">
            <v>Batu belah (base camp - lokasi pekerjaan)</v>
          </cell>
          <cell r="G72" t="str">
            <v>m3</v>
          </cell>
          <cell r="H72">
            <v>339861</v>
          </cell>
        </row>
        <row r="73">
          <cell r="F73" t="str">
            <v>Batu belah (quarry - base camp)</v>
          </cell>
          <cell r="G73" t="str">
            <v>m3</v>
          </cell>
          <cell r="H73">
            <v>235000</v>
          </cell>
        </row>
        <row r="74">
          <cell r="F74" t="str">
            <v>Batu belah (quarry - lokasi pekerjaan)</v>
          </cell>
          <cell r="G74" t="str">
            <v>m3</v>
          </cell>
          <cell r="H74">
            <v>286500</v>
          </cell>
        </row>
        <row r="75">
          <cell r="F75" t="str">
            <v>Pasangan batu ukuran 20/50 t=40cm</v>
          </cell>
          <cell r="G75" t="str">
            <v>m3</v>
          </cell>
          <cell r="H75">
            <v>286500</v>
          </cell>
        </row>
        <row r="76">
          <cell r="F76" t="str">
            <v>Fondasi pasangan batu</v>
          </cell>
          <cell r="G76" t="str">
            <v>m3</v>
          </cell>
          <cell r="H76">
            <v>286500</v>
          </cell>
        </row>
        <row r="77">
          <cell r="F77" t="str">
            <v>Batu belah (quarry)</v>
          </cell>
          <cell r="G77" t="str">
            <v>m3</v>
          </cell>
          <cell r="H77">
            <v>127500</v>
          </cell>
        </row>
        <row r="78">
          <cell r="F78" t="str">
            <v>Batu candi</v>
          </cell>
          <cell r="G78" t="str">
            <v>m²</v>
          </cell>
          <cell r="H78">
            <v>152000</v>
          </cell>
        </row>
        <row r="79">
          <cell r="F79" t="str">
            <v>Batu kali (quarry - base camp)</v>
          </cell>
          <cell r="G79" t="str">
            <v>m3</v>
          </cell>
          <cell r="H79">
            <v>187400</v>
          </cell>
        </row>
        <row r="80">
          <cell r="F80" t="str">
            <v>Batu kali (quarry)</v>
          </cell>
          <cell r="G80" t="str">
            <v>m3</v>
          </cell>
          <cell r="H80">
            <v>142500</v>
          </cell>
        </row>
        <row r="81">
          <cell r="F81" t="str">
            <v>Batu Muka ukuran 12x18 cm</v>
          </cell>
          <cell r="G81" t="str">
            <v>m2</v>
          </cell>
          <cell r="H81">
            <v>97500</v>
          </cell>
        </row>
        <row r="82">
          <cell r="F82" t="str">
            <v xml:space="preserve">Batu </v>
          </cell>
          <cell r="G82" t="str">
            <v>m3</v>
          </cell>
          <cell r="H82">
            <v>97500</v>
          </cell>
        </row>
        <row r="83">
          <cell r="F83" t="str">
            <v>Batu paras</v>
          </cell>
          <cell r="G83" t="str">
            <v>m3</v>
          </cell>
          <cell r="H83">
            <v>125000</v>
          </cell>
        </row>
        <row r="84">
          <cell r="F84" t="str">
            <v>Batu pecah</v>
          </cell>
          <cell r="G84" t="str">
            <v>kg</v>
          </cell>
          <cell r="H84">
            <v>210</v>
          </cell>
        </row>
        <row r="85">
          <cell r="F85" t="str">
            <v>Batu pecah 3/5</v>
          </cell>
          <cell r="G85" t="str">
            <v>m3</v>
          </cell>
          <cell r="H85">
            <v>363800</v>
          </cell>
        </row>
        <row r="86">
          <cell r="F86" t="str">
            <v>Batu pecah 5/7</v>
          </cell>
          <cell r="G86" t="str">
            <v>m3</v>
          </cell>
          <cell r="H86">
            <v>351800</v>
          </cell>
        </row>
        <row r="87">
          <cell r="F87" t="str">
            <v>Batu putih</v>
          </cell>
          <cell r="G87" t="str">
            <v>m²</v>
          </cell>
          <cell r="H87">
            <v>123000</v>
          </cell>
        </row>
        <row r="88">
          <cell r="F88" t="str">
            <v>Batu putih breksi</v>
          </cell>
          <cell r="G88" t="str">
            <v>m²</v>
          </cell>
          <cell r="H88">
            <v>117700</v>
          </cell>
        </row>
        <row r="89">
          <cell r="F89" t="str">
            <v>Batu sikat</v>
          </cell>
          <cell r="G89" t="str">
            <v>kg</v>
          </cell>
          <cell r="H89">
            <v>6000</v>
          </cell>
        </row>
        <row r="90">
          <cell r="F90" t="str">
            <v>Batu split 1/2</v>
          </cell>
          <cell r="G90" t="str">
            <v>m3</v>
          </cell>
          <cell r="H90">
            <v>370200</v>
          </cell>
        </row>
        <row r="91">
          <cell r="F91" t="str">
            <v>Batu split 2/3</v>
          </cell>
          <cell r="G91" t="str">
            <v>m3</v>
          </cell>
          <cell r="H91">
            <v>352300</v>
          </cell>
        </row>
        <row r="92">
          <cell r="F92" t="str">
            <v>Koral Beton</v>
          </cell>
          <cell r="G92" t="str">
            <v>m3</v>
          </cell>
          <cell r="H92">
            <v>352300</v>
          </cell>
        </row>
        <row r="93">
          <cell r="F93" t="str">
            <v>Batu tempel hitam</v>
          </cell>
          <cell r="G93" t="str">
            <v>m3</v>
          </cell>
          <cell r="H93">
            <v>121600</v>
          </cell>
        </row>
        <row r="94">
          <cell r="F94" t="str">
            <v>Fly ash</v>
          </cell>
          <cell r="G94" t="str">
            <v>kg</v>
          </cell>
          <cell r="H94">
            <v>600</v>
          </cell>
        </row>
        <row r="95">
          <cell r="F95" t="str">
            <v>HB-10</v>
          </cell>
          <cell r="G95" t="str">
            <v>buah</v>
          </cell>
          <cell r="H95">
            <v>12000</v>
          </cell>
        </row>
        <row r="96">
          <cell r="F96" t="str">
            <v>HB-15</v>
          </cell>
          <cell r="G96" t="str">
            <v>buah</v>
          </cell>
          <cell r="H96">
            <v>12000</v>
          </cell>
        </row>
        <row r="97">
          <cell r="F97" t="str">
            <v>HB-20</v>
          </cell>
          <cell r="G97" t="str">
            <v>buah</v>
          </cell>
          <cell r="H97">
            <v>13000</v>
          </cell>
        </row>
        <row r="98">
          <cell r="F98" t="str">
            <v>Kerikil</v>
          </cell>
          <cell r="G98" t="str">
            <v>kg</v>
          </cell>
          <cell r="H98">
            <v>210</v>
          </cell>
        </row>
        <row r="99">
          <cell r="F99" t="str">
            <v xml:space="preserve">Kerikil </v>
          </cell>
          <cell r="G99" t="str">
            <v>m3</v>
          </cell>
          <cell r="H99">
            <v>352300</v>
          </cell>
        </row>
        <row r="100">
          <cell r="F100" t="str">
            <v>Koral bulat</v>
          </cell>
          <cell r="G100" t="str">
            <v>m3</v>
          </cell>
          <cell r="H100">
            <v>225000</v>
          </cell>
        </row>
        <row r="101">
          <cell r="F101" t="str">
            <v>Pasir Beton</v>
          </cell>
          <cell r="G101" t="str">
            <v>kg</v>
          </cell>
          <cell r="H101">
            <v>300</v>
          </cell>
        </row>
        <row r="102">
          <cell r="F102" t="str">
            <v>Pasir Beton</v>
          </cell>
          <cell r="G102" t="str">
            <v>m3</v>
          </cell>
          <cell r="H102">
            <v>370200</v>
          </cell>
        </row>
        <row r="103">
          <cell r="F103" t="str">
            <v>Pasir beton (Base camp - lokasi pekerjaan)</v>
          </cell>
          <cell r="G103" t="str">
            <v>m3</v>
          </cell>
          <cell r="H103">
            <v>422600</v>
          </cell>
        </row>
        <row r="104">
          <cell r="F104" t="str">
            <v>Pasir beton (quarry - Base camp)</v>
          </cell>
          <cell r="G104" t="str">
            <v>m3</v>
          </cell>
          <cell r="H104">
            <v>325200</v>
          </cell>
        </row>
        <row r="105">
          <cell r="F105" t="str">
            <v>Pasir beton (quarry - lokasi pekerjaan)</v>
          </cell>
          <cell r="G105" t="str">
            <v>m3</v>
          </cell>
          <cell r="H105">
            <v>370200</v>
          </cell>
        </row>
        <row r="106">
          <cell r="F106" t="str">
            <v>Pasir beton (quarry)</v>
          </cell>
          <cell r="G106" t="str">
            <v>m3</v>
          </cell>
          <cell r="H106">
            <v>170000</v>
          </cell>
        </row>
        <row r="107">
          <cell r="F107" t="str">
            <v>Pasir pasang</v>
          </cell>
          <cell r="G107" t="str">
            <v>m3</v>
          </cell>
          <cell r="H107">
            <v>200000</v>
          </cell>
        </row>
        <row r="108">
          <cell r="F108" t="str">
            <v>Pasir pasang (quarry - base camp)</v>
          </cell>
          <cell r="G108" t="str">
            <v>m3</v>
          </cell>
          <cell r="H108">
            <v>200000</v>
          </cell>
        </row>
        <row r="109">
          <cell r="F109" t="str">
            <v>Pasir pasang (quarry - lokasi pekerjaan)</v>
          </cell>
          <cell r="G109" t="str">
            <v>m3</v>
          </cell>
          <cell r="H109">
            <v>275000</v>
          </cell>
        </row>
        <row r="110">
          <cell r="F110" t="str">
            <v>Pasir pasang (quarry)</v>
          </cell>
          <cell r="G110" t="str">
            <v>m3</v>
          </cell>
          <cell r="H110">
            <v>150000</v>
          </cell>
        </row>
        <row r="111">
          <cell r="F111" t="str">
            <v>Pasir urug (quarry - base camp)</v>
          </cell>
          <cell r="G111" t="str">
            <v>m3</v>
          </cell>
          <cell r="H111">
            <v>165500</v>
          </cell>
        </row>
        <row r="112">
          <cell r="F112" t="str">
            <v>Pasir urug (quarry - lokasi pekerjaan)</v>
          </cell>
          <cell r="G112" t="str">
            <v>m3</v>
          </cell>
          <cell r="H112">
            <v>254700</v>
          </cell>
        </row>
        <row r="113">
          <cell r="F113" t="str">
            <v>Pasir Urug (quarry)</v>
          </cell>
          <cell r="G113" t="str">
            <v>m3</v>
          </cell>
          <cell r="H113">
            <v>120000</v>
          </cell>
        </row>
        <row r="114">
          <cell r="F114" t="str">
            <v>Urukan Pasir Uruk</v>
          </cell>
          <cell r="G114" t="str">
            <v>m3</v>
          </cell>
          <cell r="H114">
            <v>488180</v>
          </cell>
        </row>
        <row r="115">
          <cell r="F115" t="str">
            <v>Serbuk batu granit</v>
          </cell>
          <cell r="G115" t="str">
            <v>kg</v>
          </cell>
          <cell r="H115">
            <v>12000</v>
          </cell>
        </row>
        <row r="116">
          <cell r="F116" t="str">
            <v>Serbuk batu traso</v>
          </cell>
          <cell r="G116" t="str">
            <v>kg</v>
          </cell>
          <cell r="H116">
            <v>13000</v>
          </cell>
        </row>
        <row r="117">
          <cell r="F117" t="str">
            <v>Sirtu (base camp - lokasi pekerjaan)</v>
          </cell>
          <cell r="G117" t="str">
            <v>m3</v>
          </cell>
          <cell r="H117">
            <v>288700</v>
          </cell>
        </row>
        <row r="118">
          <cell r="F118" t="str">
            <v>Sirtu (quarry - base camp)</v>
          </cell>
          <cell r="G118" t="str">
            <v>m3</v>
          </cell>
          <cell r="H118">
            <v>184400</v>
          </cell>
        </row>
        <row r="119">
          <cell r="F119" t="str">
            <v>Sirtu (quarry - lokasi pekerjaan)</v>
          </cell>
          <cell r="G119" t="str">
            <v>m3</v>
          </cell>
          <cell r="H119">
            <v>261800</v>
          </cell>
        </row>
        <row r="120">
          <cell r="F120" t="str">
            <v>Sirtu (quarry)</v>
          </cell>
          <cell r="G120" t="str">
            <v>m3</v>
          </cell>
          <cell r="H120">
            <v>120000</v>
          </cell>
        </row>
        <row r="121">
          <cell r="F121" t="str">
            <v>Tanah biasa (quarry - lokasi pekerjaan)</v>
          </cell>
          <cell r="G121" t="str">
            <v>m3</v>
          </cell>
          <cell r="H121">
            <v>146900</v>
          </cell>
        </row>
        <row r="122">
          <cell r="F122" t="str">
            <v>Tanah biasa (quarry)</v>
          </cell>
          <cell r="G122" t="str">
            <v>m3</v>
          </cell>
          <cell r="H122">
            <v>44000</v>
          </cell>
        </row>
        <row r="123">
          <cell r="F123" t="str">
            <v>Tanah liat  (quarry)</v>
          </cell>
          <cell r="G123" t="str">
            <v>m3</v>
          </cell>
          <cell r="H123">
            <v>64500</v>
          </cell>
        </row>
        <row r="124">
          <cell r="F124" t="str">
            <v>Tanah liat (quarry-lokasi pekerjaan)</v>
          </cell>
          <cell r="G124" t="str">
            <v>m3</v>
          </cell>
          <cell r="H124">
            <v>160000</v>
          </cell>
        </row>
        <row r="125">
          <cell r="F125" t="str">
            <v>Tanah padas  (quarry - lokasi pekerjaan)</v>
          </cell>
          <cell r="G125" t="str">
            <v>m3</v>
          </cell>
          <cell r="H125">
            <v>163600</v>
          </cell>
        </row>
        <row r="126">
          <cell r="F126" t="str">
            <v>Tanah padas  (quarry)</v>
          </cell>
          <cell r="G126" t="str">
            <v>m3</v>
          </cell>
          <cell r="H126">
            <v>47500</v>
          </cell>
        </row>
        <row r="127">
          <cell r="F127" t="str">
            <v>Tanah Pilihan (quarry - lokasi pekerjaan)</v>
          </cell>
          <cell r="G127" t="str">
            <v>m3</v>
          </cell>
          <cell r="H127">
            <v>146900</v>
          </cell>
        </row>
        <row r="128">
          <cell r="F128" t="str">
            <v>Tanah Pilihan (quarry)</v>
          </cell>
          <cell r="G128" t="str">
            <v>m3</v>
          </cell>
          <cell r="H128">
            <v>48000</v>
          </cell>
        </row>
        <row r="129">
          <cell r="F129" t="str">
            <v>Tanah Subur</v>
          </cell>
          <cell r="G129" t="str">
            <v>m3</v>
          </cell>
          <cell r="H129">
            <v>165000</v>
          </cell>
        </row>
        <row r="131">
          <cell r="F131" t="str">
            <v>Bambu cerucuk Ø 10 cm panjang 600 cm</v>
          </cell>
          <cell r="G131" t="str">
            <v>batang</v>
          </cell>
          <cell r="H131">
            <v>17800</v>
          </cell>
        </row>
        <row r="132">
          <cell r="F132" t="str">
            <v>Bambu cerucuk Ø 15 cm panjang 600 cm</v>
          </cell>
          <cell r="G132" t="str">
            <v>batang</v>
          </cell>
          <cell r="H132">
            <v>22600</v>
          </cell>
        </row>
        <row r="133">
          <cell r="F133" t="str">
            <v>Bambu Ø 10 cm panjang 600 cm</v>
          </cell>
          <cell r="G133" t="str">
            <v>batang</v>
          </cell>
          <cell r="H133">
            <v>14800</v>
          </cell>
        </row>
        <row r="134">
          <cell r="F134" t="str">
            <v>Bambu Ø 6 - 8 cm, pjg 6m</v>
          </cell>
          <cell r="G134" t="str">
            <v>batang</v>
          </cell>
          <cell r="H134">
            <v>12900</v>
          </cell>
        </row>
        <row r="135">
          <cell r="F135" t="str">
            <v>Bambu panjang 4,5 m</v>
          </cell>
          <cell r="G135" t="str">
            <v>batang</v>
          </cell>
          <cell r="H135">
            <v>14500</v>
          </cell>
        </row>
        <row r="136">
          <cell r="F136" t="str">
            <v>bambu panjang 2 meter</v>
          </cell>
          <cell r="G136" t="str">
            <v>batang</v>
          </cell>
          <cell r="H136">
            <v>7000</v>
          </cell>
        </row>
        <row r="137">
          <cell r="F137" t="str">
            <v xml:space="preserve">Anyaman Bambu </v>
          </cell>
          <cell r="G137" t="str">
            <v xml:space="preserve">lembar </v>
          </cell>
          <cell r="H137">
            <v>50000</v>
          </cell>
        </row>
        <row r="138">
          <cell r="F138" t="str">
            <v>Bilik bambu</v>
          </cell>
          <cell r="G138" t="str">
            <v>m2</v>
          </cell>
          <cell r="H138">
            <v>21000</v>
          </cell>
        </row>
        <row r="139">
          <cell r="F139" t="str">
            <v>Blockboard tebal 18 mm</v>
          </cell>
          <cell r="G139" t="str">
            <v>m2</v>
          </cell>
          <cell r="H139">
            <v>410600</v>
          </cell>
        </row>
        <row r="140">
          <cell r="F140" t="str">
            <v>Dolken kayu φ 8-10 panjang 400 cm</v>
          </cell>
          <cell r="G140" t="str">
            <v>m'</v>
          </cell>
          <cell r="H140">
            <v>5000</v>
          </cell>
        </row>
        <row r="141">
          <cell r="F141" t="str">
            <v>Dolken kayu φ 8-10 panjang 400 cm</v>
          </cell>
          <cell r="G141" t="str">
            <v>batang</v>
          </cell>
          <cell r="H141">
            <v>20000</v>
          </cell>
        </row>
        <row r="142">
          <cell r="F142" t="str">
            <v>Kayu</v>
          </cell>
          <cell r="G142" t="str">
            <v>m3</v>
          </cell>
          <cell r="H142">
            <v>11950000</v>
          </cell>
        </row>
        <row r="143">
          <cell r="F143" t="str">
            <v>Kayu Balok Borneo</v>
          </cell>
          <cell r="G143" t="str">
            <v>M3</v>
          </cell>
          <cell r="H143">
            <v>2700000</v>
          </cell>
        </row>
        <row r="144">
          <cell r="F144" t="str">
            <v>Kayu balok 6/12 kelas I</v>
          </cell>
          <cell r="G144" t="str">
            <v>m3</v>
          </cell>
          <cell r="H144">
            <v>25000000</v>
          </cell>
        </row>
        <row r="145">
          <cell r="F145" t="str">
            <v>Kayu balok 6/12 kelas II</v>
          </cell>
          <cell r="G145" t="str">
            <v>m3</v>
          </cell>
          <cell r="H145">
            <v>11950000</v>
          </cell>
        </row>
        <row r="146">
          <cell r="F146" t="str">
            <v xml:space="preserve">Kayu balok kelas II </v>
          </cell>
          <cell r="G146" t="str">
            <v>M3</v>
          </cell>
          <cell r="H146">
            <v>20000000</v>
          </cell>
        </row>
        <row r="147">
          <cell r="F147" t="str">
            <v>Kayu balok 6/15 kelas I</v>
          </cell>
          <cell r="G147" t="str">
            <v>m3</v>
          </cell>
          <cell r="H147">
            <v>25000000</v>
          </cell>
        </row>
        <row r="148">
          <cell r="F148" t="str">
            <v>Kayu balok 6/15 kelas II</v>
          </cell>
          <cell r="G148" t="str">
            <v>m3</v>
          </cell>
          <cell r="H148">
            <v>11950000</v>
          </cell>
        </row>
        <row r="149">
          <cell r="F149" t="str">
            <v>Kayu balok 6/15 kelas II (batang)</v>
          </cell>
          <cell r="G149" t="str">
            <v>batang</v>
          </cell>
          <cell r="H149">
            <v>414000</v>
          </cell>
        </row>
        <row r="150">
          <cell r="F150" t="str">
            <v>Tiang kayu 8/12 kelas II tinggi 4m</v>
          </cell>
          <cell r="G150" t="str">
            <v>m3</v>
          </cell>
          <cell r="H150">
            <v>11950000</v>
          </cell>
        </row>
        <row r="151">
          <cell r="F151" t="str">
            <v>Tiang kayu 5/7 kelas II tinggi 3m</v>
          </cell>
          <cell r="G151" t="str">
            <v>m3</v>
          </cell>
          <cell r="H151">
            <v>11950000</v>
          </cell>
        </row>
        <row r="152">
          <cell r="F152" t="str">
            <v>Kaso 5/7</v>
          </cell>
          <cell r="G152" t="str">
            <v>m3</v>
          </cell>
          <cell r="H152">
            <v>10214200</v>
          </cell>
        </row>
        <row r="153">
          <cell r="F153" t="str">
            <v>Kaso 5/7 kayu kelas II</v>
          </cell>
          <cell r="G153" t="str">
            <v>m3</v>
          </cell>
          <cell r="H153">
            <v>10214200</v>
          </cell>
        </row>
        <row r="154">
          <cell r="F154" t="str">
            <v>Kayu kaso 5/7 kelas III</v>
          </cell>
          <cell r="G154" t="str">
            <v>m3</v>
          </cell>
          <cell r="H154">
            <v>3500000</v>
          </cell>
        </row>
        <row r="155">
          <cell r="F155" t="str">
            <v>Kayu Meranti (papan)</v>
          </cell>
          <cell r="G155" t="str">
            <v>m³</v>
          </cell>
          <cell r="H155">
            <v>6966600</v>
          </cell>
        </row>
        <row r="156">
          <cell r="F156" t="str">
            <v>Papan Kayu ukuran 2/20 cm</v>
          </cell>
          <cell r="G156" t="str">
            <v>m3</v>
          </cell>
          <cell r="H156">
            <v>2500000</v>
          </cell>
        </row>
        <row r="157">
          <cell r="F157" t="str">
            <v xml:space="preserve">Papan Cor </v>
          </cell>
          <cell r="G157" t="str">
            <v>m3</v>
          </cell>
          <cell r="H157">
            <v>2500000</v>
          </cell>
        </row>
        <row r="158">
          <cell r="F158" t="str">
            <v>Kayu papan 3/20 cm</v>
          </cell>
          <cell r="G158" t="str">
            <v>m3</v>
          </cell>
          <cell r="H158">
            <v>2825000</v>
          </cell>
        </row>
        <row r="159">
          <cell r="F159" t="str">
            <v>Kayu papan kelas I</v>
          </cell>
          <cell r="G159" t="str">
            <v>m3</v>
          </cell>
          <cell r="H159">
            <v>26000000</v>
          </cell>
        </row>
        <row r="160">
          <cell r="F160" t="str">
            <v>Kayu papan kelas II</v>
          </cell>
          <cell r="G160" t="str">
            <v>m3</v>
          </cell>
          <cell r="H160">
            <v>14000000</v>
          </cell>
        </row>
        <row r="161">
          <cell r="F161" t="str">
            <v>Kayu papan kelas III</v>
          </cell>
          <cell r="G161" t="str">
            <v>m3</v>
          </cell>
          <cell r="H161">
            <v>8000000</v>
          </cell>
        </row>
        <row r="162">
          <cell r="F162" t="str">
            <v>Kayu Papan tebal 9 mm</v>
          </cell>
          <cell r="G162" t="str">
            <v>M3</v>
          </cell>
          <cell r="H162">
            <v>4750000</v>
          </cell>
        </row>
        <row r="163">
          <cell r="F163" t="str">
            <v>Kayu papan kelas III (m2)</v>
          </cell>
          <cell r="G163" t="str">
            <v>m2</v>
          </cell>
          <cell r="H163">
            <v>160000</v>
          </cell>
        </row>
        <row r="164">
          <cell r="F164" t="str">
            <v>Kayu sengon (balok)</v>
          </cell>
          <cell r="G164" t="str">
            <v>m3</v>
          </cell>
          <cell r="H164">
            <v>4000000</v>
          </cell>
        </row>
        <row r="165">
          <cell r="F165" t="str">
            <v>Kayu Sengon (papan)</v>
          </cell>
          <cell r="G165" t="str">
            <v>m³</v>
          </cell>
          <cell r="H165">
            <v>3573600</v>
          </cell>
        </row>
        <row r="166">
          <cell r="F166" t="str">
            <v>List kayu 2x4 cm</v>
          </cell>
          <cell r="G166" t="str">
            <v>m3</v>
          </cell>
          <cell r="H166">
            <v>6000000</v>
          </cell>
        </row>
        <row r="167">
          <cell r="F167" t="str">
            <v>List kayu profil</v>
          </cell>
          <cell r="G167" t="str">
            <v>m'</v>
          </cell>
          <cell r="H167">
            <v>5000</v>
          </cell>
        </row>
        <row r="168">
          <cell r="F168" t="str">
            <v>List kayu profil kelas II</v>
          </cell>
          <cell r="G168" t="str">
            <v>M</v>
          </cell>
          <cell r="H168">
            <v>5500</v>
          </cell>
        </row>
        <row r="169">
          <cell r="F169" t="str">
            <v>Multiplek tebal 4 mm</v>
          </cell>
          <cell r="G169" t="str">
            <v>lembar</v>
          </cell>
          <cell r="H169">
            <v>116700</v>
          </cell>
        </row>
        <row r="170">
          <cell r="F170" t="str">
            <v>Multiplek tebal 9 mm</v>
          </cell>
          <cell r="G170" t="str">
            <v>lembar</v>
          </cell>
          <cell r="H170">
            <v>116700</v>
          </cell>
        </row>
        <row r="171">
          <cell r="F171" t="str">
            <v>Multiplek tebal 12 mm</v>
          </cell>
          <cell r="G171" t="str">
            <v>lembar</v>
          </cell>
          <cell r="H171">
            <v>152600</v>
          </cell>
        </row>
        <row r="172">
          <cell r="F172" t="str">
            <v>Multiplek tebal 18 mm</v>
          </cell>
          <cell r="G172" t="str">
            <v>lembar</v>
          </cell>
          <cell r="H172">
            <v>226600</v>
          </cell>
        </row>
        <row r="173">
          <cell r="F173" t="str">
            <v>Perancah kayu</v>
          </cell>
          <cell r="G173" t="str">
            <v>m3</v>
          </cell>
          <cell r="H173">
            <v>2500000</v>
          </cell>
        </row>
        <row r="174">
          <cell r="F174" t="str">
            <v>Phenol film 12mm</v>
          </cell>
          <cell r="G174" t="str">
            <v>lembar</v>
          </cell>
          <cell r="H174">
            <v>230000</v>
          </cell>
        </row>
        <row r="175">
          <cell r="F175" t="str">
            <v>Pintu Double teakwood rangka kayu</v>
          </cell>
          <cell r="G175" t="str">
            <v>m2</v>
          </cell>
          <cell r="H175">
            <v>150000</v>
          </cell>
        </row>
        <row r="176">
          <cell r="F176" t="str">
            <v>Pintu panel kayu lapis timbal uk. 1x2 m</v>
          </cell>
          <cell r="G176" t="str">
            <v>unit</v>
          </cell>
          <cell r="H176">
            <v>10000000</v>
          </cell>
        </row>
        <row r="177">
          <cell r="F177" t="str">
            <v>Plywood 12 mm</v>
          </cell>
          <cell r="G177" t="str">
            <v>lembar</v>
          </cell>
          <cell r="H177">
            <v>167300</v>
          </cell>
        </row>
        <row r="178">
          <cell r="F178" t="str">
            <v>Plywood 4 mm m3</v>
          </cell>
          <cell r="G178" t="str">
            <v>m3</v>
          </cell>
          <cell r="H178">
            <v>6298700</v>
          </cell>
        </row>
        <row r="179">
          <cell r="F179" t="str">
            <v>Plywood 3 mm</v>
          </cell>
          <cell r="G179" t="str">
            <v>lembar</v>
          </cell>
          <cell r="H179">
            <v>62500</v>
          </cell>
        </row>
        <row r="180">
          <cell r="F180" t="str">
            <v>Plywood 4 mm</v>
          </cell>
          <cell r="G180" t="str">
            <v>lembar</v>
          </cell>
          <cell r="H180">
            <v>75000</v>
          </cell>
        </row>
        <row r="181">
          <cell r="F181" t="str">
            <v>Plywood 6 mm</v>
          </cell>
          <cell r="G181" t="str">
            <v>lembar</v>
          </cell>
          <cell r="H181">
            <v>84200</v>
          </cell>
        </row>
        <row r="182">
          <cell r="F182" t="str">
            <v>Plywood 9 mm (120x240)</v>
          </cell>
          <cell r="G182" t="str">
            <v>lembar</v>
          </cell>
          <cell r="H182">
            <v>127000</v>
          </cell>
        </row>
        <row r="183">
          <cell r="F183" t="str">
            <v>Reng 2x3 cm</v>
          </cell>
          <cell r="G183" t="str">
            <v>m3</v>
          </cell>
          <cell r="H183">
            <v>8750000</v>
          </cell>
        </row>
        <row r="184">
          <cell r="F184" t="str">
            <v>Reng 3x4 cm</v>
          </cell>
          <cell r="G184" t="str">
            <v>m3</v>
          </cell>
          <cell r="H184">
            <v>9302000</v>
          </cell>
        </row>
        <row r="185">
          <cell r="F185" t="str">
            <v>Teakwood 4 mm (120x240)</v>
          </cell>
          <cell r="G185" t="str">
            <v>lembar</v>
          </cell>
          <cell r="H185">
            <v>76300</v>
          </cell>
        </row>
        <row r="186">
          <cell r="F186" t="str">
            <v>Teakwood 4 mm (90x210)</v>
          </cell>
          <cell r="G186" t="str">
            <v>lembar</v>
          </cell>
          <cell r="H186">
            <v>65600</v>
          </cell>
        </row>
        <row r="187">
          <cell r="F187" t="str">
            <v>Teakwood 9 mm (90x210)</v>
          </cell>
          <cell r="G187" t="str">
            <v>lembar</v>
          </cell>
          <cell r="H187">
            <v>114000</v>
          </cell>
        </row>
        <row r="188">
          <cell r="F188" t="str">
            <v>Tripleks  t=9mm</v>
          </cell>
          <cell r="G188" t="str">
            <v>lembar</v>
          </cell>
          <cell r="H188">
            <v>101200</v>
          </cell>
        </row>
        <row r="189">
          <cell r="F189" t="str">
            <v>Veeneer tebal 2 mm</v>
          </cell>
          <cell r="G189" t="str">
            <v>m2</v>
          </cell>
          <cell r="H189">
            <v>150000</v>
          </cell>
        </row>
        <row r="191">
          <cell r="F191" t="str">
            <v>Assesoris  PVC</v>
          </cell>
          <cell r="G191" t="str">
            <v>m'</v>
          </cell>
          <cell r="H191">
            <v>5700</v>
          </cell>
        </row>
        <row r="192">
          <cell r="F192" t="str">
            <v>Pipa HDPE 40/33 mm</v>
          </cell>
          <cell r="G192" t="str">
            <v>m'</v>
          </cell>
          <cell r="H192">
            <v>13300</v>
          </cell>
        </row>
        <row r="193">
          <cell r="F193" t="str">
            <v>Pipa PVC  tipe D Ø 2"</v>
          </cell>
          <cell r="G193" t="str">
            <v>m'</v>
          </cell>
          <cell r="H193">
            <v>23500</v>
          </cell>
        </row>
        <row r="194">
          <cell r="F194" t="str">
            <v>Pipa PVC AW Ø 1"</v>
          </cell>
          <cell r="G194" t="str">
            <v>m'</v>
          </cell>
          <cell r="H194">
            <v>11250</v>
          </cell>
        </row>
        <row r="195">
          <cell r="F195" t="str">
            <v>PIPA PVC AW ; DN. 1"
(25 mm) dan
aksesoris</v>
          </cell>
          <cell r="G195" t="str">
            <v>m'</v>
          </cell>
          <cell r="H195">
            <v>11500</v>
          </cell>
        </row>
        <row r="196">
          <cell r="F196" t="str">
            <v>Pipa PVC AW ; DN. 1"
(25 mm) + fitting &amp;
aksesoris</v>
          </cell>
          <cell r="G196" t="str">
            <v>m'</v>
          </cell>
          <cell r="H196">
            <v>11700</v>
          </cell>
        </row>
        <row r="197">
          <cell r="F197" t="str">
            <v>Pipa PVC AW Ø 1/2"</v>
          </cell>
          <cell r="G197" t="str">
            <v>batang</v>
          </cell>
          <cell r="H197">
            <v>27500</v>
          </cell>
        </row>
        <row r="198">
          <cell r="F198" t="str">
            <v>Pipa PVC AW Ø 1/2" (m)</v>
          </cell>
          <cell r="G198" t="str">
            <v>m'</v>
          </cell>
          <cell r="H198">
            <v>6875</v>
          </cell>
        </row>
        <row r="199">
          <cell r="F199" t="str">
            <v>PIPA PVC AW ; DN.
1/2" (15 mm) dan
aksesoris</v>
          </cell>
          <cell r="G199" t="str">
            <v>m'</v>
          </cell>
          <cell r="H199">
            <v>6900</v>
          </cell>
        </row>
        <row r="200">
          <cell r="F200" t="str">
            <v>Pipa PVC AW ; DN.
1/2" (15 mm) +
fitting &amp; aksesoris</v>
          </cell>
          <cell r="G200" t="str">
            <v>m'</v>
          </cell>
          <cell r="H200">
            <v>7100</v>
          </cell>
        </row>
        <row r="201">
          <cell r="F201" t="str">
            <v>Pipa PVC AW Ø 10"</v>
          </cell>
          <cell r="G201" t="str">
            <v>m'</v>
          </cell>
          <cell r="H201">
            <v>150000</v>
          </cell>
        </row>
        <row r="202">
          <cell r="F202" t="str">
            <v>Pipa PVC AW Ø 1-1/2"</v>
          </cell>
          <cell r="G202" t="str">
            <v>m'</v>
          </cell>
          <cell r="H202">
            <v>20000</v>
          </cell>
        </row>
        <row r="203">
          <cell r="F203" t="str">
            <v>PIPA PVC AW ; DN. 1-
1/2" (40 mm) dan
aksesoris</v>
          </cell>
          <cell r="G203" t="str">
            <v>m'</v>
          </cell>
          <cell r="H203">
            <v>20500</v>
          </cell>
        </row>
        <row r="204">
          <cell r="F204" t="str">
            <v>Pipa PVC AW ; DN. 1-
1/2" (40 mm) +
fitting &amp; aksesoris</v>
          </cell>
          <cell r="G204" t="str">
            <v>m'</v>
          </cell>
          <cell r="H204">
            <v>22000</v>
          </cell>
        </row>
        <row r="205">
          <cell r="F205" t="str">
            <v>Pipa PVC AW Ø 1-1/4"</v>
          </cell>
          <cell r="G205" t="str">
            <v>m'</v>
          </cell>
          <cell r="H205">
            <v>18500</v>
          </cell>
        </row>
        <row r="206">
          <cell r="F206" t="str">
            <v>PIPA PVC AW ; DN. 1-
1/4" (32 mm) dan
aksesoris</v>
          </cell>
          <cell r="G206" t="str">
            <v>m'</v>
          </cell>
          <cell r="H206">
            <v>18900</v>
          </cell>
        </row>
        <row r="207">
          <cell r="F207" t="str">
            <v>Pipa PVC AW ; DN. 1-
1/4" (32 mm) +
fitting &amp; aksesoris</v>
          </cell>
          <cell r="G207" t="str">
            <v>m'</v>
          </cell>
          <cell r="H207">
            <v>19000</v>
          </cell>
        </row>
        <row r="208">
          <cell r="F208" t="str">
            <v>Pipa PVC AW Ø 12"</v>
          </cell>
          <cell r="G208" t="str">
            <v>m'</v>
          </cell>
          <cell r="H208">
            <v>177500</v>
          </cell>
        </row>
        <row r="209">
          <cell r="F209" t="str">
            <v>Pipa PVC AW ; DN. 12" (300 mm) + fitting &amp; aksesoris</v>
          </cell>
          <cell r="G209" t="str">
            <v>m'</v>
          </cell>
          <cell r="H209">
            <v>179000</v>
          </cell>
        </row>
        <row r="210">
          <cell r="F210" t="str">
            <v>Pipa PVC AW Ø 14"</v>
          </cell>
          <cell r="G210" t="str">
            <v>m'</v>
          </cell>
          <cell r="H210">
            <v>200000</v>
          </cell>
        </row>
        <row r="211">
          <cell r="F211" t="str">
            <v>Pipa PVC AW ; DN. 14" (350 mm) + fitting &amp; aksesoris</v>
          </cell>
          <cell r="G211" t="str">
            <v>m'</v>
          </cell>
          <cell r="H211">
            <v>201000</v>
          </cell>
        </row>
        <row r="212">
          <cell r="F212" t="str">
            <v>Pipa PVC AW Ø 16"</v>
          </cell>
          <cell r="G212" t="str">
            <v>m'</v>
          </cell>
          <cell r="H212">
            <v>233750</v>
          </cell>
        </row>
        <row r="213">
          <cell r="F213" t="str">
            <v>Pipa PVC AW ; DN. 16" (400 mm) + fitting &amp; aksesoris</v>
          </cell>
          <cell r="G213" t="str">
            <v>m'</v>
          </cell>
          <cell r="H213">
            <v>234000</v>
          </cell>
        </row>
        <row r="214">
          <cell r="F214" t="str">
            <v>Pipa PVC AW Ø 2"</v>
          </cell>
          <cell r="G214" t="str">
            <v>m'</v>
          </cell>
          <cell r="H214">
            <v>26000</v>
          </cell>
        </row>
        <row r="215">
          <cell r="F215" t="str">
            <v>PIPA PVC AW ; DN. 2"
(50 mm) dan
aksesoris</v>
          </cell>
          <cell r="G215" t="str">
            <v>m'</v>
          </cell>
          <cell r="H215">
            <v>26500</v>
          </cell>
        </row>
        <row r="216">
          <cell r="F216" t="str">
            <v>Pipa PVC AW ; DN. 2" (50 mm) + fitting &amp; aksesoris</v>
          </cell>
          <cell r="G216" t="str">
            <v>m'</v>
          </cell>
          <cell r="H216">
            <v>28000</v>
          </cell>
        </row>
        <row r="217">
          <cell r="F217" t="str">
            <v>Pipa PVC AW Ø 2-1/2"</v>
          </cell>
          <cell r="G217" t="str">
            <v>m'</v>
          </cell>
          <cell r="H217">
            <v>33625</v>
          </cell>
        </row>
        <row r="218">
          <cell r="F218" t="str">
            <v>PIPA PVC AW ; DN. 2-
1/2" (65 mm) dan
aksesoris</v>
          </cell>
          <cell r="G218" t="str">
            <v>m'</v>
          </cell>
          <cell r="H218">
            <v>33900</v>
          </cell>
        </row>
        <row r="219">
          <cell r="F219" t="str">
            <v>Pipa PVC AW ; DN. 2-1/2" (65 mm) + fitting &amp; aksesoris</v>
          </cell>
          <cell r="G219" t="str">
            <v>m'</v>
          </cell>
          <cell r="H219">
            <v>40000</v>
          </cell>
        </row>
        <row r="220">
          <cell r="F220" t="str">
            <v>Pipa PVC AW Ø 3"</v>
          </cell>
          <cell r="G220" t="str">
            <v>m'</v>
          </cell>
          <cell r="H220">
            <v>51075</v>
          </cell>
        </row>
        <row r="221">
          <cell r="F221" t="str">
            <v>PIPA PVC AW ; DN. 3"
(80 mm) dan
aksesoris</v>
          </cell>
          <cell r="G221" t="str">
            <v>m'</v>
          </cell>
          <cell r="H221">
            <v>51500</v>
          </cell>
        </row>
        <row r="222">
          <cell r="F222" t="str">
            <v>Pipa PVC AW ; DN. 3"
(80 mm) + fitting &amp;
aksesoris</v>
          </cell>
          <cell r="G222" t="str">
            <v>m'</v>
          </cell>
          <cell r="H222">
            <v>53000</v>
          </cell>
        </row>
        <row r="223">
          <cell r="F223" t="str">
            <v>Pipa PVC AW Ø 3/4"</v>
          </cell>
          <cell r="G223" t="str">
            <v>batang</v>
          </cell>
          <cell r="H223">
            <v>35000</v>
          </cell>
        </row>
        <row r="224">
          <cell r="F224" t="str">
            <v>Pipa PVC AW Ø 3/4" (m)</v>
          </cell>
          <cell r="G224" t="str">
            <v>m'</v>
          </cell>
          <cell r="H224">
            <v>8750</v>
          </cell>
        </row>
        <row r="225">
          <cell r="F225" t="str">
            <v>PIPA PVC AW ; DN.
3/4" (20 mm) dan
aksesoris</v>
          </cell>
          <cell r="G225" t="str">
            <v>m'</v>
          </cell>
          <cell r="H225">
            <v>8900</v>
          </cell>
        </row>
        <row r="226">
          <cell r="F226" t="str">
            <v>Pipa PVC AW ; DN.
3/4" (20 mm) +
fitting &amp; aksesoris</v>
          </cell>
          <cell r="G226" t="str">
            <v>m'</v>
          </cell>
          <cell r="H226">
            <v>9300</v>
          </cell>
        </row>
        <row r="227">
          <cell r="F227" t="str">
            <v>Pipa PVC AW Ø 4"</v>
          </cell>
          <cell r="G227" t="str">
            <v>m'</v>
          </cell>
          <cell r="H227">
            <v>72375</v>
          </cell>
        </row>
        <row r="228">
          <cell r="F228" t="str">
            <v>PIPA PVC AW ; DN. 4"
(100 mm) dan
aksesoris</v>
          </cell>
          <cell r="G228" t="str">
            <v>m'</v>
          </cell>
          <cell r="H228">
            <v>72700</v>
          </cell>
        </row>
        <row r="229">
          <cell r="F229" t="str">
            <v>Pipa PVC AW ; DN. 4"
(100 mm) + fitting &amp;
aksesoris</v>
          </cell>
          <cell r="G229" t="str">
            <v>m'</v>
          </cell>
          <cell r="H229">
            <v>74000</v>
          </cell>
        </row>
        <row r="230">
          <cell r="F230" t="str">
            <v>Pipa PVC AW Ø 5"</v>
          </cell>
          <cell r="G230" t="str">
            <v>m'</v>
          </cell>
          <cell r="H230">
            <v>100000</v>
          </cell>
        </row>
        <row r="231">
          <cell r="F231" t="str">
            <v>Pipa PVC AW ; DN. 5"
(125 mm) + fitting &amp;
aksesoris</v>
          </cell>
          <cell r="G231" t="str">
            <v>m'</v>
          </cell>
          <cell r="H231">
            <v>101000</v>
          </cell>
        </row>
        <row r="232">
          <cell r="F232" t="str">
            <v>Pipa PVC AW Ø 6"</v>
          </cell>
          <cell r="G232" t="str">
            <v>m'</v>
          </cell>
          <cell r="H232">
            <v>107500</v>
          </cell>
        </row>
        <row r="233">
          <cell r="F233" t="str">
            <v>Pemasangan 1 m pipa PVC AW, DN. 6" (150 mm)</v>
          </cell>
          <cell r="G233" t="str">
            <v>m'</v>
          </cell>
          <cell r="H233">
            <v>108000</v>
          </cell>
        </row>
        <row r="234">
          <cell r="F234" t="str">
            <v>Pipa PVC AW Ø 8"</v>
          </cell>
          <cell r="G234" t="str">
            <v>m'</v>
          </cell>
          <cell r="H234">
            <v>132500</v>
          </cell>
        </row>
        <row r="235">
          <cell r="F235" t="str">
            <v>Pipa PVC AW ; DN. 8"
(200 mm) + fitting &amp;
aksesoris</v>
          </cell>
          <cell r="G235" t="str">
            <v>m'</v>
          </cell>
          <cell r="H235">
            <v>133000</v>
          </cell>
        </row>
        <row r="236">
          <cell r="F236" t="str">
            <v>Pipa PVC D Ø 10"</v>
          </cell>
          <cell r="G236" t="str">
            <v>m'</v>
          </cell>
          <cell r="H236">
            <v>232900</v>
          </cell>
        </row>
        <row r="237">
          <cell r="F237" t="str">
            <v>Pipa PVC D ; DN.
10" (250 mm) +
fitting &amp; aksesoris</v>
          </cell>
          <cell r="G237" t="str">
            <v>m'</v>
          </cell>
          <cell r="H237">
            <v>233000</v>
          </cell>
        </row>
        <row r="238">
          <cell r="F238" t="str">
            <v>Pipa PVC AW ; DN.
10" (250 mm) +
fitting &amp; aksesoris</v>
          </cell>
          <cell r="G238" t="str">
            <v>m'</v>
          </cell>
          <cell r="H238">
            <v>232000</v>
          </cell>
        </row>
        <row r="239">
          <cell r="F239" t="str">
            <v>Pipa PVC D Ø 1-1/2"</v>
          </cell>
          <cell r="G239" t="str">
            <v>m'</v>
          </cell>
          <cell r="H239">
            <v>11175</v>
          </cell>
        </row>
        <row r="240">
          <cell r="F240" t="str">
            <v>Pipa PVC D ; DN. 1-1/2" (40 mm) + fitting &amp; aksesoris</v>
          </cell>
          <cell r="G240" t="str">
            <v>m'</v>
          </cell>
          <cell r="H240">
            <v>12000</v>
          </cell>
        </row>
        <row r="241">
          <cell r="F241" t="str">
            <v>Pipa PVC D Ø 1-1/4"</v>
          </cell>
          <cell r="G241" t="str">
            <v>m'</v>
          </cell>
          <cell r="H241">
            <v>10000</v>
          </cell>
        </row>
        <row r="242">
          <cell r="F242" t="str">
            <v>Pipa PVC D ; DN. 1-1/4" (32 mm) + fitting &amp; aksesoris</v>
          </cell>
          <cell r="G242" t="str">
            <v>m'</v>
          </cell>
          <cell r="H242">
            <v>11000</v>
          </cell>
        </row>
        <row r="243">
          <cell r="F243" t="str">
            <v>Pipa PVC D Ø 12"</v>
          </cell>
          <cell r="G243" t="str">
            <v>m'</v>
          </cell>
          <cell r="H243">
            <v>319750</v>
          </cell>
        </row>
        <row r="244">
          <cell r="F244" t="str">
            <v>Pipa PVC D ; DN.
12" (300 mm) +
fitting &amp; aksesoris</v>
          </cell>
          <cell r="G244" t="str">
            <v>m'</v>
          </cell>
          <cell r="H244">
            <v>320000</v>
          </cell>
        </row>
        <row r="245">
          <cell r="F245" t="str">
            <v>Pipa PVC D Ø 14"</v>
          </cell>
          <cell r="G245" t="str">
            <v>m'</v>
          </cell>
          <cell r="H245">
            <v>325000</v>
          </cell>
        </row>
        <row r="246">
          <cell r="F246" t="str">
            <v>Pipa PVC D ; DN.
14" (350 mm) +
fitting &amp; aksesoris</v>
          </cell>
          <cell r="G246" t="str">
            <v>m'</v>
          </cell>
          <cell r="H246">
            <v>323000</v>
          </cell>
        </row>
        <row r="247">
          <cell r="F247" t="str">
            <v>Pipa PVC D Ø 16"</v>
          </cell>
          <cell r="G247" t="str">
            <v>m'</v>
          </cell>
          <cell r="H247">
            <v>362500</v>
          </cell>
        </row>
        <row r="248">
          <cell r="F248" t="str">
            <v>Pipa PVC D ; DN.
16" (400 mm) +
fitting &amp; aksesoris</v>
          </cell>
          <cell r="G248" t="str">
            <v>m'</v>
          </cell>
          <cell r="H248">
            <v>363000</v>
          </cell>
        </row>
        <row r="249">
          <cell r="F249" t="str">
            <v>Pipa PVC D Ø 2"</v>
          </cell>
          <cell r="G249" t="str">
            <v>m'</v>
          </cell>
          <cell r="H249">
            <v>14750</v>
          </cell>
        </row>
        <row r="250">
          <cell r="F250" t="str">
            <v>Pipa PVC D ; DN. 2" (50 mm) + fitting &amp; aksesoris</v>
          </cell>
          <cell r="G250" t="str">
            <v>m'</v>
          </cell>
          <cell r="H250">
            <v>15000</v>
          </cell>
        </row>
        <row r="251">
          <cell r="F251" t="str">
            <v>Pipa PVC D Ø 2-1/2"</v>
          </cell>
          <cell r="G251" t="str">
            <v>m'</v>
          </cell>
          <cell r="H251">
            <v>20625</v>
          </cell>
        </row>
        <row r="252">
          <cell r="F252" t="str">
            <v>Pipa PVC D ; DN.
2-1/2" (65 mm) +
fitting &amp; aksesoris</v>
          </cell>
          <cell r="G252" t="str">
            <v>m'</v>
          </cell>
          <cell r="H252">
            <v>21000</v>
          </cell>
        </row>
        <row r="253">
          <cell r="F253" t="str">
            <v>Pipa PVC D Ø 3"</v>
          </cell>
          <cell r="G253" t="str">
            <v>m'</v>
          </cell>
          <cell r="H253">
            <v>28600</v>
          </cell>
        </row>
        <row r="254">
          <cell r="F254" t="str">
            <v>Pipa PVC D ; DN.
3" (80 mm) + fitting &amp;
aksesoris</v>
          </cell>
          <cell r="G254" t="str">
            <v>m'</v>
          </cell>
          <cell r="H254">
            <v>29000</v>
          </cell>
        </row>
        <row r="255">
          <cell r="F255" t="str">
            <v>Pipa PVC D Ø 4"</v>
          </cell>
          <cell r="G255" t="str">
            <v>m'</v>
          </cell>
          <cell r="H255">
            <v>39575</v>
          </cell>
        </row>
        <row r="256">
          <cell r="F256" t="str">
            <v>Pipa PVC D ; DN. 4" (100 mm) + fitting &amp; aksesoris</v>
          </cell>
          <cell r="G256" t="str">
            <v>m'</v>
          </cell>
          <cell r="H256">
            <v>40000</v>
          </cell>
        </row>
        <row r="257">
          <cell r="F257" t="str">
            <v>Pipa PVC D Ø 5"</v>
          </cell>
          <cell r="G257" t="str">
            <v>m'</v>
          </cell>
          <cell r="H257">
            <v>63200</v>
          </cell>
        </row>
        <row r="258">
          <cell r="F258" t="str">
            <v>Pipa PVC D ; DN. 5" (125 mm) + fitting &amp; aksesoris</v>
          </cell>
          <cell r="G258" t="str">
            <v>m'</v>
          </cell>
          <cell r="H258">
            <v>64000</v>
          </cell>
        </row>
        <row r="259">
          <cell r="F259" t="str">
            <v>Pipa PVC D Ø 6"</v>
          </cell>
          <cell r="G259" t="str">
            <v>m'</v>
          </cell>
          <cell r="H259">
            <v>79775</v>
          </cell>
        </row>
        <row r="260">
          <cell r="F260" t="str">
            <v>Pipa PVC D ; DN. 6" (150 mm) + fitting &amp; aksesoris</v>
          </cell>
          <cell r="G260" t="str">
            <v>m'</v>
          </cell>
          <cell r="H260">
            <v>80000</v>
          </cell>
        </row>
        <row r="261">
          <cell r="F261" t="str">
            <v>Pipa PVC D Ø 8"</v>
          </cell>
          <cell r="G261" t="str">
            <v>m'</v>
          </cell>
          <cell r="H261">
            <v>139575</v>
          </cell>
        </row>
        <row r="262">
          <cell r="F262" t="str">
            <v>Pipa PVC D ; DN. 8" (200 mm) + fitting &amp; aksesoris</v>
          </cell>
          <cell r="G262" t="str">
            <v>m'</v>
          </cell>
          <cell r="H262">
            <v>140000</v>
          </cell>
        </row>
        <row r="263">
          <cell r="F263" t="str">
            <v>Pipa PVC dia. 1"</v>
          </cell>
          <cell r="G263" t="str">
            <v>m'</v>
          </cell>
          <cell r="H263">
            <v>11250</v>
          </cell>
        </row>
        <row r="264">
          <cell r="F264" t="str">
            <v>Pipa PVC dia. 2"</v>
          </cell>
          <cell r="G264" t="str">
            <v>m'</v>
          </cell>
          <cell r="H264">
            <v>26000</v>
          </cell>
        </row>
        <row r="265">
          <cell r="F265" t="str">
            <v>Pipa Tembaga B280 1/4"</v>
          </cell>
          <cell r="G265" t="str">
            <v>m'</v>
          </cell>
          <cell r="H265">
            <v>34300</v>
          </cell>
        </row>
        <row r="266">
          <cell r="F266" t="str">
            <v xml:space="preserve">Duct Tape </v>
          </cell>
          <cell r="G266" t="str">
            <v xml:space="preserve">gulung </v>
          </cell>
          <cell r="H266">
            <v>9050</v>
          </cell>
        </row>
        <row r="267">
          <cell r="F267" t="str">
            <v>Pipa Tembaga B280 3/8"</v>
          </cell>
          <cell r="G267" t="str">
            <v>m'</v>
          </cell>
          <cell r="H267">
            <v>45300</v>
          </cell>
        </row>
        <row r="268">
          <cell r="F268" t="str">
            <v>Pipa Tembaga B280 1/2"</v>
          </cell>
          <cell r="G268" t="str">
            <v>m'</v>
          </cell>
          <cell r="H268">
            <v>46400</v>
          </cell>
        </row>
        <row r="269">
          <cell r="F269" t="str">
            <v>Pipa Tembaga B280 5/8"</v>
          </cell>
          <cell r="G269" t="str">
            <v>m'</v>
          </cell>
          <cell r="H269">
            <v>101600</v>
          </cell>
        </row>
        <row r="270">
          <cell r="F270" t="str">
            <v>Pipa Tembaga B280 3/4"</v>
          </cell>
          <cell r="G270" t="str">
            <v>m'</v>
          </cell>
          <cell r="H270">
            <v>122700</v>
          </cell>
        </row>
        <row r="271">
          <cell r="F271" t="str">
            <v>Pipa Tembaga B280 7/8"</v>
          </cell>
          <cell r="G271" t="str">
            <v>m'</v>
          </cell>
          <cell r="H271">
            <v>351600</v>
          </cell>
        </row>
        <row r="272">
          <cell r="F272" t="str">
            <v>Pipa Tembaga B280 1"</v>
          </cell>
          <cell r="G272" t="str">
            <v>m'</v>
          </cell>
          <cell r="H272">
            <v>370000</v>
          </cell>
        </row>
        <row r="273">
          <cell r="F273" t="str">
            <v>Pipa Tembaga B280 1-1/8"</v>
          </cell>
          <cell r="G273" t="str">
            <v>m'</v>
          </cell>
          <cell r="H273">
            <v>375000</v>
          </cell>
        </row>
        <row r="274">
          <cell r="F274" t="str">
            <v>Pipa Tembaga B280 1-3/8"</v>
          </cell>
          <cell r="G274" t="str">
            <v>m'</v>
          </cell>
          <cell r="H274">
            <v>380000</v>
          </cell>
        </row>
        <row r="275">
          <cell r="F275" t="str">
            <v>Pipa Tembaga B280 1-5/8"</v>
          </cell>
          <cell r="G275" t="str">
            <v>m'</v>
          </cell>
          <cell r="H275">
            <v>290000</v>
          </cell>
        </row>
        <row r="276">
          <cell r="F276" t="str">
            <v>PRV SET dia. 50 mm dan aksesoris</v>
          </cell>
          <cell r="G276" t="str">
            <v xml:space="preserve">unit </v>
          </cell>
          <cell r="H276">
            <v>6131000</v>
          </cell>
        </row>
        <row r="277">
          <cell r="F277" t="str">
            <v>PRV SET dia. 65 mm dan aksesoris</v>
          </cell>
          <cell r="G277" t="str">
            <v xml:space="preserve">unit </v>
          </cell>
          <cell r="H277">
            <v>8397000</v>
          </cell>
        </row>
        <row r="278">
          <cell r="F278" t="str">
            <v>PRV SET dia. 80 mm dan aksesoris</v>
          </cell>
          <cell r="G278" t="str">
            <v xml:space="preserve">unit </v>
          </cell>
          <cell r="H278">
            <v>8550000</v>
          </cell>
        </row>
        <row r="279">
          <cell r="F279" t="str">
            <v>PRV SET dia. 100 mm dan aksesoris</v>
          </cell>
          <cell r="G279" t="str">
            <v xml:space="preserve">unit </v>
          </cell>
          <cell r="H279">
            <v>14250000</v>
          </cell>
        </row>
        <row r="280">
          <cell r="F280" t="str">
            <v>PRV SET dia. 150 mm dan aksesoris</v>
          </cell>
          <cell r="G280" t="str">
            <v xml:space="preserve">unit </v>
          </cell>
          <cell r="H280">
            <v>14500000</v>
          </cell>
        </row>
        <row r="281">
          <cell r="F281" t="str">
            <v>PRV SET dia. 200 mm dan aksesoris</v>
          </cell>
          <cell r="G281" t="str">
            <v xml:space="preserve">unit </v>
          </cell>
          <cell r="H281">
            <v>15500000</v>
          </cell>
        </row>
        <row r="282">
          <cell r="F282" t="str">
            <v>MCV Set dia. 80 mm</v>
          </cell>
          <cell r="G282" t="str">
            <v xml:space="preserve">unit </v>
          </cell>
          <cell r="H282">
            <v>20500000</v>
          </cell>
        </row>
        <row r="283">
          <cell r="F283" t="str">
            <v>MCV Set dia. 100 mm</v>
          </cell>
          <cell r="G283" t="str">
            <v xml:space="preserve">unit </v>
          </cell>
          <cell r="H283">
            <v>20900000</v>
          </cell>
        </row>
        <row r="284">
          <cell r="F284" t="str">
            <v>MCV Set dia. 150 mm</v>
          </cell>
          <cell r="G284" t="str">
            <v xml:space="preserve">unit </v>
          </cell>
          <cell r="H284">
            <v>30300000</v>
          </cell>
        </row>
        <row r="285">
          <cell r="F285" t="str">
            <v>BCV Set dia. 50 mm</v>
          </cell>
          <cell r="G285" t="str">
            <v xml:space="preserve">set </v>
          </cell>
          <cell r="H285">
            <v>1700000</v>
          </cell>
        </row>
        <row r="286">
          <cell r="F286" t="str">
            <v>Flow Switch dia. 50 mm</v>
          </cell>
          <cell r="G286" t="str">
            <v xml:space="preserve">buah </v>
          </cell>
          <cell r="H286">
            <v>83000</v>
          </cell>
        </row>
        <row r="287">
          <cell r="F287" t="str">
            <v xml:space="preserve">Sigh Glass </v>
          </cell>
          <cell r="G287" t="str">
            <v xml:space="preserve">buah </v>
          </cell>
          <cell r="H287">
            <v>85000</v>
          </cell>
        </row>
        <row r="288">
          <cell r="F288" t="str">
            <v xml:space="preserve">Flow Switch </v>
          </cell>
          <cell r="G288" t="str">
            <v xml:space="preserve">buah </v>
          </cell>
          <cell r="H288">
            <v>104000</v>
          </cell>
        </row>
        <row r="289">
          <cell r="F289" t="str">
            <v xml:space="preserve">Test Drain Valve </v>
          </cell>
          <cell r="G289" t="str">
            <v xml:space="preserve">buah </v>
          </cell>
          <cell r="H289">
            <v>750000</v>
          </cell>
        </row>
        <row r="290">
          <cell r="F290" t="str">
            <v xml:space="preserve">Coupling 1 set </v>
          </cell>
          <cell r="G290" t="str">
            <v xml:space="preserve">set </v>
          </cell>
          <cell r="H290">
            <v>115000</v>
          </cell>
        </row>
        <row r="291">
          <cell r="F291" t="str">
            <v xml:space="preserve">Temper Switch </v>
          </cell>
          <cell r="G291" t="str">
            <v xml:space="preserve">buah </v>
          </cell>
          <cell r="H291">
            <v>700000</v>
          </cell>
        </row>
        <row r="292">
          <cell r="F292" t="str">
            <v>BCV Set dia. 65 mm</v>
          </cell>
          <cell r="G292" t="str">
            <v xml:space="preserve">set </v>
          </cell>
          <cell r="H292">
            <v>1900000</v>
          </cell>
        </row>
        <row r="293">
          <cell r="F293" t="str">
            <v>BCV Set dia. 80 mm</v>
          </cell>
          <cell r="G293" t="str">
            <v xml:space="preserve">set </v>
          </cell>
          <cell r="H293">
            <v>2100000</v>
          </cell>
        </row>
        <row r="294">
          <cell r="F294" t="str">
            <v>BCV Set dia. 100 mm</v>
          </cell>
          <cell r="G294" t="str">
            <v xml:space="preserve">set </v>
          </cell>
          <cell r="H294">
            <v>2400000</v>
          </cell>
        </row>
        <row r="295">
          <cell r="F295" t="str">
            <v>BCV Set dia. 150 mm</v>
          </cell>
          <cell r="G295" t="str">
            <v xml:space="preserve">set </v>
          </cell>
          <cell r="H295">
            <v>2600000</v>
          </cell>
        </row>
        <row r="296">
          <cell r="F296" t="str">
            <v>Automatic Air Vent  dia. 50 mm</v>
          </cell>
          <cell r="G296" t="str">
            <v xml:space="preserve">unit </v>
          </cell>
          <cell r="H296">
            <v>635000</v>
          </cell>
        </row>
        <row r="297">
          <cell r="F297" t="str">
            <v>Automatic Air Vent  dia. 80 mm</v>
          </cell>
          <cell r="G297" t="str">
            <v>unit</v>
          </cell>
          <cell r="H297">
            <v>766500</v>
          </cell>
        </row>
        <row r="298">
          <cell r="F298" t="str">
            <v>Automatic Air Vent  dia. 100 mm</v>
          </cell>
          <cell r="G298" t="str">
            <v xml:space="preserve">unit </v>
          </cell>
          <cell r="H298">
            <v>980000</v>
          </cell>
        </row>
        <row r="299">
          <cell r="F299" t="str">
            <v>Automatic Air Vent  dia. 150 mm</v>
          </cell>
          <cell r="G299" t="str">
            <v>unit</v>
          </cell>
          <cell r="H299">
            <v>1150000</v>
          </cell>
        </row>
        <row r="300">
          <cell r="F300" t="str">
            <v>Flow Meter Analog dia. 100 mm</v>
          </cell>
          <cell r="G300" t="str">
            <v xml:space="preserve">unit </v>
          </cell>
          <cell r="H300">
            <v>1300000</v>
          </cell>
        </row>
        <row r="301">
          <cell r="F301" t="str">
            <v>Flow Meter Analog dia. 200 mm</v>
          </cell>
          <cell r="G301" t="str">
            <v xml:space="preserve">unit </v>
          </cell>
          <cell r="H301">
            <v>1500000</v>
          </cell>
        </row>
        <row r="302">
          <cell r="F302" t="str">
            <v>Landing Velve 2,5"</v>
          </cell>
          <cell r="G302" t="str">
            <v xml:space="preserve">unit </v>
          </cell>
          <cell r="H302">
            <v>1259000</v>
          </cell>
        </row>
        <row r="303">
          <cell r="F303" t="str">
            <v>Orifice Plate dia. 25 mm</v>
          </cell>
          <cell r="G303" t="str">
            <v xml:space="preserve">unit </v>
          </cell>
          <cell r="H303">
            <v>1500000</v>
          </cell>
        </row>
        <row r="304">
          <cell r="F304" t="str">
            <v xml:space="preserve">Sprinkler Head Pendant dan Aksesoris </v>
          </cell>
          <cell r="G304" t="str">
            <v xml:space="preserve">unit </v>
          </cell>
          <cell r="H304">
            <v>85000</v>
          </cell>
        </row>
        <row r="305">
          <cell r="F305" t="str">
            <v xml:space="preserve">Sprinkler Head Upright dan Aksesoris </v>
          </cell>
          <cell r="G305" t="str">
            <v xml:space="preserve">unit </v>
          </cell>
          <cell r="H305">
            <v>82900</v>
          </cell>
        </row>
        <row r="306">
          <cell r="F306" t="str">
            <v xml:space="preserve">Hydrant Pillar dan Aksesoris </v>
          </cell>
          <cell r="G306" t="str">
            <v xml:space="preserve">unit </v>
          </cell>
          <cell r="H306">
            <v>3750000</v>
          </cell>
        </row>
        <row r="307">
          <cell r="F307" t="str">
            <v xml:space="preserve">Indoor Hydrant Box dan Aksesoris </v>
          </cell>
          <cell r="G307" t="str">
            <v xml:space="preserve">unit </v>
          </cell>
          <cell r="H307">
            <v>1200000</v>
          </cell>
        </row>
        <row r="308">
          <cell r="F308" t="str">
            <v xml:space="preserve">Outdoor Hydrant Box dan Aksesoris </v>
          </cell>
          <cell r="G308" t="str">
            <v xml:space="preserve">unit </v>
          </cell>
          <cell r="H308">
            <v>1700000</v>
          </cell>
        </row>
        <row r="309">
          <cell r="F309" t="str">
            <v xml:space="preserve">Siamesse Connection dan Aksesoris </v>
          </cell>
          <cell r="G309" t="str">
            <v xml:space="preserve">unit </v>
          </cell>
          <cell r="H309">
            <v>2200000</v>
          </cell>
        </row>
        <row r="310">
          <cell r="F310" t="str">
            <v xml:space="preserve">Fire Extinguisher 3 kg  dan Aksesoris </v>
          </cell>
          <cell r="G310" t="str">
            <v xml:space="preserve">Unit </v>
          </cell>
          <cell r="H310">
            <v>171500</v>
          </cell>
        </row>
        <row r="311">
          <cell r="F311" t="str">
            <v xml:space="preserve">Fire Extinguisher 5 kg  dan Aksesoris </v>
          </cell>
          <cell r="G311" t="str">
            <v>unit</v>
          </cell>
          <cell r="H311">
            <v>227900</v>
          </cell>
        </row>
        <row r="312">
          <cell r="F312" t="str">
            <v xml:space="preserve">Fire Extinguisher 25 kg  dan Aksesoris </v>
          </cell>
          <cell r="G312" t="str">
            <v xml:space="preserve">unit </v>
          </cell>
          <cell r="H312">
            <v>1900000</v>
          </cell>
        </row>
        <row r="313">
          <cell r="F313" t="str">
            <v xml:space="preserve">Jockey Fire Pump Vertical Multi Stage 25 USGPM </v>
          </cell>
          <cell r="G313" t="str">
            <v xml:space="preserve">unit </v>
          </cell>
          <cell r="H313">
            <v>7400000</v>
          </cell>
        </row>
        <row r="314">
          <cell r="F314" t="str">
            <v xml:space="preserve">Main Fire Pump Centrifugal  End Suction 1.000 USGPM </v>
          </cell>
          <cell r="G314" t="str">
            <v xml:space="preserve">unit </v>
          </cell>
          <cell r="H314">
            <v>10000000</v>
          </cell>
        </row>
        <row r="315">
          <cell r="F315" t="str">
            <v xml:space="preserve">Diesel Fire Pump Centrifugal End Suction dan Aksesoris </v>
          </cell>
          <cell r="G315" t="str">
            <v xml:space="preserve">unit </v>
          </cell>
          <cell r="H315">
            <v>12000000</v>
          </cell>
        </row>
        <row r="316">
          <cell r="F316" t="str">
            <v xml:space="preserve">Main Fire Pump Centrifugal End Suction dan Aksesoris </v>
          </cell>
          <cell r="G316" t="str">
            <v xml:space="preserve">Unit </v>
          </cell>
          <cell r="H316">
            <v>14000000</v>
          </cell>
        </row>
        <row r="317">
          <cell r="F317" t="str">
            <v>Diesel Fire Pump Centrifugal End Suction dan Aksesoris</v>
          </cell>
          <cell r="G317" t="str">
            <v xml:space="preserve">unit </v>
          </cell>
          <cell r="H317">
            <v>12000000</v>
          </cell>
        </row>
        <row r="318">
          <cell r="F318" t="str">
            <v>Pipa PVC dia. 63 mm</v>
          </cell>
          <cell r="G318" t="str">
            <v>m'</v>
          </cell>
          <cell r="H318">
            <v>14750</v>
          </cell>
        </row>
        <row r="319">
          <cell r="F319" t="str">
            <v>Pipa PVC, DN. 2-1/2"
(65 mm)</v>
          </cell>
          <cell r="G319" t="str">
            <v>m'</v>
          </cell>
          <cell r="H319">
            <v>15000</v>
          </cell>
        </row>
        <row r="320">
          <cell r="F320" t="str">
            <v>Pipa PVC dia. 90 mm</v>
          </cell>
          <cell r="G320" t="str">
            <v>m'</v>
          </cell>
          <cell r="H320">
            <v>28600</v>
          </cell>
        </row>
        <row r="321">
          <cell r="F321" t="str">
            <v>Pipa PVC, DN. 3" (80
mm)</v>
          </cell>
          <cell r="G321" t="str">
            <v>m'</v>
          </cell>
          <cell r="H321">
            <v>29000</v>
          </cell>
        </row>
        <row r="322">
          <cell r="F322" t="str">
            <v>Pipa PVC dia. 110 mm</v>
          </cell>
          <cell r="G322" t="str">
            <v>m'</v>
          </cell>
          <cell r="H322">
            <v>39575</v>
          </cell>
        </row>
        <row r="323">
          <cell r="F323" t="str">
            <v>Pipa PVC, DN. 4" (100
mm)</v>
          </cell>
          <cell r="G323" t="str">
            <v>m'</v>
          </cell>
          <cell r="H323">
            <v>40000</v>
          </cell>
        </row>
        <row r="324">
          <cell r="F324" t="str">
            <v>Pipa PVC dia. 150 mm</v>
          </cell>
          <cell r="G324" t="str">
            <v>m'</v>
          </cell>
          <cell r="H324">
            <v>63200</v>
          </cell>
        </row>
        <row r="325">
          <cell r="F325" t="str">
            <v>Pipa PVC, DN. 6" (150
mm)</v>
          </cell>
          <cell r="G325" t="str">
            <v>m'</v>
          </cell>
          <cell r="H325">
            <v>64000</v>
          </cell>
        </row>
        <row r="326">
          <cell r="F326" t="str">
            <v>Pipa PVC dia. 200 mm</v>
          </cell>
          <cell r="G326" t="str">
            <v>m'</v>
          </cell>
          <cell r="H326">
            <v>139575</v>
          </cell>
        </row>
        <row r="327">
          <cell r="F327" t="str">
            <v>Pipa PVC, DN. 8" (200
mm)</v>
          </cell>
          <cell r="G327" t="str">
            <v>m'</v>
          </cell>
          <cell r="H327">
            <v>140000</v>
          </cell>
        </row>
        <row r="328">
          <cell r="F328" t="str">
            <v>Pipa PVC dia. 250 mm</v>
          </cell>
          <cell r="G328" t="str">
            <v>m'</v>
          </cell>
          <cell r="H328">
            <v>287500</v>
          </cell>
        </row>
        <row r="329">
          <cell r="F329" t="str">
            <v>Pipa PVC, DN. 10"
(250 mm)</v>
          </cell>
          <cell r="G329" t="str">
            <v>m'</v>
          </cell>
          <cell r="H329">
            <v>288000</v>
          </cell>
        </row>
        <row r="330">
          <cell r="F330" t="str">
            <v>Sewa Tripot</v>
          </cell>
          <cell r="G330" t="str">
            <v xml:space="preserve">hari </v>
          </cell>
          <cell r="H330">
            <v>108000</v>
          </cell>
        </row>
        <row r="331">
          <cell r="F331" t="str">
            <v>Pipa PVC dia. 300 mm</v>
          </cell>
          <cell r="G331" t="str">
            <v>m'</v>
          </cell>
          <cell r="H331">
            <v>305000</v>
          </cell>
        </row>
        <row r="332">
          <cell r="F332" t="str">
            <v>Pipa PVC, DN. 12"
(300 mm)</v>
          </cell>
          <cell r="G332" t="str">
            <v>m'</v>
          </cell>
          <cell r="H332">
            <v>306000</v>
          </cell>
        </row>
        <row r="333">
          <cell r="F333" t="str">
            <v>Pipa PVC dia. 400 mm</v>
          </cell>
          <cell r="G333" t="str">
            <v>m'</v>
          </cell>
          <cell r="H333">
            <v>336700</v>
          </cell>
        </row>
        <row r="334">
          <cell r="F334" t="str">
            <v>Pipa PVC, DN. 16"
(400 mm)</v>
          </cell>
          <cell r="G334" t="str">
            <v>m'</v>
          </cell>
          <cell r="H334">
            <v>337000</v>
          </cell>
        </row>
        <row r="335">
          <cell r="F335" t="str">
            <v>Pipa PVC dia. 450 mm</v>
          </cell>
          <cell r="G335" t="str">
            <v>m'</v>
          </cell>
          <cell r="H335">
            <v>368000</v>
          </cell>
        </row>
        <row r="336">
          <cell r="F336" t="str">
            <v>Pipa PVC, DN. 18"
(450 mm)</v>
          </cell>
          <cell r="G336" t="str">
            <v>m'</v>
          </cell>
          <cell r="H336">
            <v>369000</v>
          </cell>
        </row>
        <row r="337">
          <cell r="F337" t="str">
            <v>Pipa PVC dia. 500 mm</v>
          </cell>
          <cell r="G337" t="str">
            <v>m'</v>
          </cell>
          <cell r="H337">
            <v>398500</v>
          </cell>
        </row>
        <row r="338">
          <cell r="F338" t="str">
            <v>Pipa PVC, DN. 20"
(500 mm)</v>
          </cell>
          <cell r="G338" t="str">
            <v>m'</v>
          </cell>
          <cell r="H338">
            <v>399000</v>
          </cell>
        </row>
        <row r="339">
          <cell r="F339" t="str">
            <v>Pipa PVC dia. 600 mm</v>
          </cell>
          <cell r="G339" t="str">
            <v>m'</v>
          </cell>
          <cell r="H339">
            <v>425000</v>
          </cell>
        </row>
        <row r="340">
          <cell r="F340" t="str">
            <v>Pipa PVC, DN. 24"
(600 mm)</v>
          </cell>
          <cell r="G340" t="str">
            <v>m'</v>
          </cell>
          <cell r="H340">
            <v>426000</v>
          </cell>
        </row>
        <row r="341">
          <cell r="F341" t="str">
            <v>Pipa PVC dia. 800 mm</v>
          </cell>
          <cell r="G341" t="str">
            <v>m'</v>
          </cell>
          <cell r="H341">
            <v>487000</v>
          </cell>
        </row>
        <row r="342">
          <cell r="F342" t="str">
            <v>Pipa PVC, DN. 32"
(800 mm</v>
          </cell>
          <cell r="G342" t="str">
            <v>m'</v>
          </cell>
          <cell r="H342">
            <v>488000</v>
          </cell>
        </row>
        <row r="343">
          <cell r="F343" t="str">
            <v>Pipa PVC dia. 900 mm</v>
          </cell>
          <cell r="G343" t="str">
            <v>m'</v>
          </cell>
          <cell r="H343">
            <v>515000</v>
          </cell>
        </row>
        <row r="344">
          <cell r="F344" t="str">
            <v>Pipa PVC, DN. 36"
(900 mm</v>
          </cell>
          <cell r="G344" t="str">
            <v>m'</v>
          </cell>
          <cell r="H344">
            <v>516000</v>
          </cell>
        </row>
        <row r="345">
          <cell r="F345" t="str">
            <v>Pipa PVC dia. 1000 mm</v>
          </cell>
          <cell r="G345" t="str">
            <v>m'</v>
          </cell>
          <cell r="H345">
            <v>547000</v>
          </cell>
        </row>
        <row r="346">
          <cell r="F346" t="str">
            <v>Pipa PVC, DN. 40"
(1000 mm)</v>
          </cell>
          <cell r="G346" t="str">
            <v>m'</v>
          </cell>
          <cell r="H346">
            <v>548000</v>
          </cell>
        </row>
        <row r="347">
          <cell r="F347" t="str">
            <v>Pipa PVC dia. 1100 mm</v>
          </cell>
          <cell r="G347" t="str">
            <v>m'</v>
          </cell>
          <cell r="H347">
            <v>589000</v>
          </cell>
        </row>
        <row r="348">
          <cell r="F348" t="str">
            <v>Pipa PVC, DN. 44"
(1100 mm)</v>
          </cell>
          <cell r="G348" t="str">
            <v>m'</v>
          </cell>
          <cell r="H348">
            <v>590000</v>
          </cell>
        </row>
        <row r="349">
          <cell r="F349" t="str">
            <v>Pipa PVC dia. 1200 mm</v>
          </cell>
          <cell r="G349" t="str">
            <v>m'</v>
          </cell>
          <cell r="H349">
            <v>617000</v>
          </cell>
        </row>
        <row r="350">
          <cell r="F350" t="str">
            <v>Pipa PVC, DN. 48"
(1200 mm)</v>
          </cell>
          <cell r="G350" t="str">
            <v>m'</v>
          </cell>
          <cell r="H350">
            <v>618000</v>
          </cell>
        </row>
        <row r="351">
          <cell r="F351" t="str">
            <v>Pipa PVC dia. 15 mm</v>
          </cell>
          <cell r="G351" t="str">
            <v>m'</v>
          </cell>
          <cell r="H351">
            <v>5200</v>
          </cell>
        </row>
        <row r="352">
          <cell r="F352" t="str">
            <v>Pipa PVC, DN. 1/2"
(15 mm)</v>
          </cell>
          <cell r="G352" t="str">
            <v>m'</v>
          </cell>
          <cell r="H352">
            <v>5300</v>
          </cell>
        </row>
        <row r="353">
          <cell r="F353" t="str">
            <v>Pipa PVC dia. 20 mm</v>
          </cell>
          <cell r="G353" t="str">
            <v>m'</v>
          </cell>
          <cell r="H353">
            <v>7500</v>
          </cell>
        </row>
        <row r="354">
          <cell r="F354" t="str">
            <v>Pipa PVC, DN. 3/4"
(20 mm)</v>
          </cell>
          <cell r="G354" t="str">
            <v>m'</v>
          </cell>
          <cell r="H354">
            <v>7600</v>
          </cell>
        </row>
        <row r="355">
          <cell r="F355" t="str">
            <v>Pipa PVC dia. 25 mm</v>
          </cell>
          <cell r="G355" t="str">
            <v>m'</v>
          </cell>
          <cell r="H355">
            <v>8300</v>
          </cell>
        </row>
        <row r="356">
          <cell r="F356" t="str">
            <v>Pipa PVC, DN. 1" (25 mm)</v>
          </cell>
          <cell r="G356" t="str">
            <v>m'</v>
          </cell>
          <cell r="H356">
            <v>8400</v>
          </cell>
        </row>
        <row r="357">
          <cell r="F357" t="str">
            <v>Pipa PVC dia. 32 mm</v>
          </cell>
          <cell r="G357" t="str">
            <v>m'</v>
          </cell>
          <cell r="H357">
            <v>9700</v>
          </cell>
        </row>
        <row r="358">
          <cell r="F358" t="str">
            <v>Pipa PVC, DN. 1-1/4"
(32 mm</v>
          </cell>
          <cell r="G358" t="str">
            <v>m'</v>
          </cell>
          <cell r="H358">
            <v>10000</v>
          </cell>
        </row>
        <row r="359">
          <cell r="F359" t="str">
            <v>Pipa PVC dia. 40 mm</v>
          </cell>
          <cell r="G359" t="str">
            <v>m'</v>
          </cell>
          <cell r="H359">
            <v>10500</v>
          </cell>
        </row>
        <row r="360">
          <cell r="F360" t="str">
            <v>Pipa PVC, DN. 1-1/2"
(40 mm)</v>
          </cell>
          <cell r="G360" t="str">
            <v>m'</v>
          </cell>
          <cell r="H360">
            <v>10600</v>
          </cell>
        </row>
        <row r="361">
          <cell r="F361" t="str">
            <v>Pipa PVC dia. 50 mm</v>
          </cell>
          <cell r="G361" t="str">
            <v>m'</v>
          </cell>
          <cell r="H361">
            <v>13700</v>
          </cell>
        </row>
        <row r="362">
          <cell r="F362" t="str">
            <v>Pipa PVC, DN. 2" (50 mm)</v>
          </cell>
          <cell r="G362" t="str">
            <v>m'</v>
          </cell>
          <cell r="H362">
            <v>13800</v>
          </cell>
        </row>
        <row r="363">
          <cell r="F363" t="str">
            <v>Gergaji Pipa</v>
          </cell>
          <cell r="G363" t="str">
            <v xml:space="preserve">hari </v>
          </cell>
          <cell r="H363">
            <v>32500</v>
          </cell>
        </row>
        <row r="364">
          <cell r="F364" t="str">
            <v>Peralatan potong pipa
T1/manual (gergaji) /
saw</v>
          </cell>
          <cell r="G364" t="str">
            <v xml:space="preserve">hari </v>
          </cell>
          <cell r="H364">
            <v>35000</v>
          </cell>
        </row>
        <row r="365">
          <cell r="F365" t="str">
            <v>Pipa Galvanis dia. 63 mm</v>
          </cell>
          <cell r="G365" t="str">
            <v>m'</v>
          </cell>
          <cell r="H365">
            <v>183333.33333333334</v>
          </cell>
        </row>
        <row r="366">
          <cell r="F366" t="str">
            <v>Pipa Galvanis, DN. 2-
1/2" (65 mm)</v>
          </cell>
          <cell r="G366" t="str">
            <v>m'</v>
          </cell>
          <cell r="H366">
            <v>185000</v>
          </cell>
        </row>
        <row r="367">
          <cell r="F367" t="str">
            <v>Pipa Galvanis dia. 100 mm</v>
          </cell>
          <cell r="G367" t="str">
            <v>m'</v>
          </cell>
          <cell r="H367">
            <v>309000</v>
          </cell>
        </row>
        <row r="368">
          <cell r="F368" t="str">
            <v>Pipa Galvanis, DN. 4"
(100 mm)</v>
          </cell>
          <cell r="G368" t="str">
            <v>m'</v>
          </cell>
          <cell r="H368">
            <v>310000</v>
          </cell>
        </row>
        <row r="369">
          <cell r="F369" t="str">
            <v>Pipa Galvanis dia. 125 mm</v>
          </cell>
          <cell r="G369" t="str">
            <v>m'</v>
          </cell>
          <cell r="H369">
            <v>435000</v>
          </cell>
        </row>
        <row r="370">
          <cell r="F370" t="str">
            <v>Pipa Galvanis, DN. 5"
(125 mm)</v>
          </cell>
          <cell r="G370" t="str">
            <v>m'</v>
          </cell>
          <cell r="H370">
            <v>436000</v>
          </cell>
        </row>
        <row r="371">
          <cell r="F371" t="str">
            <v>Pipa Galvanis dia. 150 mm</v>
          </cell>
          <cell r="G371" t="str">
            <v>m'</v>
          </cell>
          <cell r="H371">
            <v>395000</v>
          </cell>
        </row>
        <row r="372">
          <cell r="F372" t="str">
            <v>Pipa Galvanis, DN. 6"
(150 mm)</v>
          </cell>
          <cell r="G372" t="str">
            <v>m'</v>
          </cell>
          <cell r="H372">
            <v>396000</v>
          </cell>
        </row>
        <row r="373">
          <cell r="F373" t="str">
            <v>Pipa Galvanis dia. 200 mm</v>
          </cell>
          <cell r="G373" t="str">
            <v>m'</v>
          </cell>
          <cell r="H373">
            <v>417000</v>
          </cell>
        </row>
        <row r="374">
          <cell r="F374" t="str">
            <v>Pipa Galvanis, DN. 8"
(200 mm)</v>
          </cell>
          <cell r="G374" t="str">
            <v>m'</v>
          </cell>
          <cell r="H374">
            <v>418000</v>
          </cell>
        </row>
        <row r="375">
          <cell r="F375" t="str">
            <v>Pipa Galvanis dia. 250 mm</v>
          </cell>
          <cell r="G375" t="str">
            <v>m'</v>
          </cell>
          <cell r="H375">
            <v>467000</v>
          </cell>
        </row>
        <row r="376">
          <cell r="F376" t="str">
            <v>Pipa Galvanis,
DN.10" (250 mm)</v>
          </cell>
          <cell r="G376" t="str">
            <v>m'</v>
          </cell>
          <cell r="H376">
            <v>468000</v>
          </cell>
        </row>
        <row r="377">
          <cell r="F377" t="str">
            <v>Pipa Galvanis dia. 300 mm</v>
          </cell>
          <cell r="G377" t="str">
            <v>m'</v>
          </cell>
          <cell r="H377">
            <v>512000</v>
          </cell>
        </row>
        <row r="378">
          <cell r="F378" t="str">
            <v>Pipa Galvanis, DN. 12"
(300 mm</v>
          </cell>
          <cell r="G378" t="str">
            <v>m'</v>
          </cell>
          <cell r="H378">
            <v>513000</v>
          </cell>
        </row>
        <row r="379">
          <cell r="F379" t="str">
            <v>Pipa Galvanis dia. 400 mm</v>
          </cell>
          <cell r="G379" t="str">
            <v>m'</v>
          </cell>
          <cell r="H379">
            <v>593000</v>
          </cell>
        </row>
        <row r="380">
          <cell r="F380" t="str">
            <v>Pipa Galvanis, DN. 16"
(400 mm)</v>
          </cell>
          <cell r="G380" t="str">
            <v>m'</v>
          </cell>
          <cell r="H380">
            <v>594000</v>
          </cell>
        </row>
        <row r="381">
          <cell r="F381" t="str">
            <v>Pipa Galvanis dia. 450 mm</v>
          </cell>
          <cell r="G381" t="str">
            <v>m'</v>
          </cell>
          <cell r="H381">
            <v>612000</v>
          </cell>
        </row>
        <row r="382">
          <cell r="F382" t="str">
            <v>Pipa Galvanis, DN. 18"
(450 mm</v>
          </cell>
          <cell r="G382" t="str">
            <v>m'</v>
          </cell>
          <cell r="H382">
            <v>61300</v>
          </cell>
        </row>
        <row r="383">
          <cell r="F383" t="str">
            <v>Pipa Galvanis dia. 500 mm</v>
          </cell>
          <cell r="G383" t="str">
            <v>m'</v>
          </cell>
          <cell r="H383">
            <v>655000</v>
          </cell>
        </row>
        <row r="384">
          <cell r="F384" t="str">
            <v>Pipa Galvanis, DN. 20"
(500 mm)</v>
          </cell>
          <cell r="G384" t="str">
            <v>m'</v>
          </cell>
          <cell r="H384">
            <v>656000</v>
          </cell>
        </row>
        <row r="385">
          <cell r="F385" t="str">
            <v>Pipa Galvanis dia. 600 mm</v>
          </cell>
          <cell r="G385" t="str">
            <v>m'</v>
          </cell>
          <cell r="H385">
            <v>697000</v>
          </cell>
        </row>
        <row r="386">
          <cell r="F386" t="str">
            <v>Pipa Galvanis, DN. 24" (600 mm)</v>
          </cell>
          <cell r="G386" t="str">
            <v>m'</v>
          </cell>
          <cell r="H386">
            <v>698000</v>
          </cell>
        </row>
        <row r="387">
          <cell r="F387" t="str">
            <v>Pipa Galvanis dia. 800 mm</v>
          </cell>
          <cell r="G387" t="str">
            <v>m'</v>
          </cell>
          <cell r="H387">
            <v>715000</v>
          </cell>
        </row>
        <row r="388">
          <cell r="F388" t="str">
            <v>Pipa Galvanis, DN. 32" (800 mm)</v>
          </cell>
          <cell r="G388" t="str">
            <v>m'</v>
          </cell>
          <cell r="H388">
            <v>716000</v>
          </cell>
        </row>
        <row r="389">
          <cell r="F389" t="str">
            <v>Pipa Galvanis dia. 900 mm</v>
          </cell>
          <cell r="G389" t="str">
            <v>m'</v>
          </cell>
          <cell r="H389">
            <v>756000</v>
          </cell>
        </row>
        <row r="390">
          <cell r="F390" t="str">
            <v>Pipa Galvanis, DN. 36" (900 mm)</v>
          </cell>
          <cell r="G390" t="str">
            <v>m'</v>
          </cell>
          <cell r="H390">
            <v>757000</v>
          </cell>
        </row>
        <row r="391">
          <cell r="F391" t="str">
            <v>Pipa Galvanis dia. 1000 mm</v>
          </cell>
          <cell r="G391" t="str">
            <v>m'</v>
          </cell>
          <cell r="H391">
            <v>799000</v>
          </cell>
        </row>
        <row r="392">
          <cell r="F392" t="str">
            <v>Pipa Galvanis,
DN. 40" (1000 mm)</v>
          </cell>
          <cell r="G392" t="str">
            <v>m'</v>
          </cell>
          <cell r="H392">
            <v>780000</v>
          </cell>
        </row>
        <row r="393">
          <cell r="F393" t="str">
            <v>Pipa Galvanis dia. 1100 mm</v>
          </cell>
          <cell r="G393" t="str">
            <v>m'</v>
          </cell>
          <cell r="H393">
            <v>830000</v>
          </cell>
        </row>
        <row r="394">
          <cell r="F394" t="str">
            <v>Pipa Galvanis,
DN. 44" (1100 mm)</v>
          </cell>
          <cell r="G394" t="str">
            <v>m'</v>
          </cell>
          <cell r="H394">
            <v>831000</v>
          </cell>
        </row>
        <row r="395">
          <cell r="F395" t="str">
            <v>Pipa Galvanis dia. 1200 mm</v>
          </cell>
          <cell r="G395" t="str">
            <v>m'</v>
          </cell>
          <cell r="H395">
            <v>867000</v>
          </cell>
        </row>
        <row r="396">
          <cell r="F396" t="str">
            <v>Pipa Galvanis,
DN. 48" (1200 mm</v>
          </cell>
          <cell r="G396" t="str">
            <v>m'</v>
          </cell>
          <cell r="H396">
            <v>868000</v>
          </cell>
        </row>
        <row r="397">
          <cell r="F397" t="str">
            <v>Pipa Galvanis dia. 15 mm</v>
          </cell>
          <cell r="G397" t="str">
            <v>m'</v>
          </cell>
          <cell r="H397">
            <v>51000</v>
          </cell>
        </row>
        <row r="398">
          <cell r="F398" t="str">
            <v>Pipa Galvanis,
DN. 1/2" (15 mm)</v>
          </cell>
          <cell r="G398" t="str">
            <v>m'</v>
          </cell>
          <cell r="H398">
            <v>52000</v>
          </cell>
        </row>
        <row r="399">
          <cell r="F399" t="str">
            <v>Pipa Galvanis dia. 20 mm</v>
          </cell>
          <cell r="G399" t="str">
            <v>m'</v>
          </cell>
          <cell r="H399">
            <v>67000</v>
          </cell>
        </row>
        <row r="400">
          <cell r="F400" t="str">
            <v>Pipa Galvanis,
DN. 3/4" (20 mm)</v>
          </cell>
          <cell r="G400" t="str">
            <v>m'</v>
          </cell>
          <cell r="H400">
            <v>68000</v>
          </cell>
        </row>
        <row r="401">
          <cell r="F401" t="str">
            <v>Pipa Galvanis dia. 25 mm</v>
          </cell>
          <cell r="G401" t="str">
            <v>m'</v>
          </cell>
          <cell r="H401">
            <v>71000</v>
          </cell>
        </row>
        <row r="402">
          <cell r="F402" t="str">
            <v>Pipa Galvanis, DN. 1"
(25 mm)</v>
          </cell>
          <cell r="G402" t="str">
            <v>m'</v>
          </cell>
          <cell r="H402">
            <v>72000</v>
          </cell>
        </row>
        <row r="403">
          <cell r="F403" t="str">
            <v>Pipa Galvanis dia. 32 mm</v>
          </cell>
          <cell r="G403" t="str">
            <v>m'</v>
          </cell>
          <cell r="H403">
            <v>79000</v>
          </cell>
        </row>
        <row r="404">
          <cell r="F404" t="str">
            <v>Pipa Galvanis,
DN. 1-1/4" (32 mm)</v>
          </cell>
          <cell r="G404" t="str">
            <v>m'</v>
          </cell>
          <cell r="H404">
            <v>80000</v>
          </cell>
        </row>
        <row r="405">
          <cell r="F405" t="str">
            <v>Pipa Galvanis dia. 40 mm</v>
          </cell>
          <cell r="G405" t="str">
            <v>m'</v>
          </cell>
          <cell r="H405">
            <v>86000</v>
          </cell>
        </row>
        <row r="406">
          <cell r="F406" t="str">
            <v>Pipa Galvanis,
DN. 1-1/2" (40 mm)</v>
          </cell>
          <cell r="G406" t="str">
            <v>m'</v>
          </cell>
          <cell r="H406">
            <v>87000</v>
          </cell>
        </row>
        <row r="407">
          <cell r="F407" t="str">
            <v>Pipa Galvanis dia. 50 mm</v>
          </cell>
          <cell r="G407" t="str">
            <v>m'</v>
          </cell>
          <cell r="H407">
            <v>94000</v>
          </cell>
        </row>
        <row r="408">
          <cell r="F408" t="str">
            <v>Pipa Galvanis, DN. 2"
(50 mm</v>
          </cell>
          <cell r="G408" t="str">
            <v>m'</v>
          </cell>
          <cell r="H408">
            <v>95000</v>
          </cell>
        </row>
        <row r="409">
          <cell r="F409" t="str">
            <v>Cilinder Saw</v>
          </cell>
          <cell r="G409" t="str">
            <v xml:space="preserve">hari </v>
          </cell>
          <cell r="H409">
            <v>75000</v>
          </cell>
        </row>
        <row r="410">
          <cell r="F410" t="str">
            <v>Peralatan potong pipa
T2/mekanik / cilinder saw</v>
          </cell>
          <cell r="G410" t="str">
            <v xml:space="preserve">hari </v>
          </cell>
          <cell r="H410">
            <v>75000</v>
          </cell>
        </row>
        <row r="411">
          <cell r="F411" t="str">
            <v>Pipa HDPE dia. 63 mm</v>
          </cell>
          <cell r="G411" t="str">
            <v>m'</v>
          </cell>
          <cell r="H411">
            <v>24700</v>
          </cell>
        </row>
        <row r="412">
          <cell r="F412" t="str">
            <v>Pipa HDPE, DN. 2-1/2"
(65 mm)</v>
          </cell>
          <cell r="G412" t="str">
            <v>m'</v>
          </cell>
          <cell r="H412">
            <v>25000</v>
          </cell>
        </row>
        <row r="413">
          <cell r="F413" t="str">
            <v>Pipa HDPE dia. 100 mm</v>
          </cell>
          <cell r="G413" t="str">
            <v>m'</v>
          </cell>
          <cell r="H413">
            <v>49000</v>
          </cell>
        </row>
        <row r="414">
          <cell r="F414" t="str">
            <v>Pipa HDPE, DN. 4"
(100 mm)</v>
          </cell>
          <cell r="G414" t="str">
            <v>m'</v>
          </cell>
          <cell r="H414">
            <v>50000</v>
          </cell>
        </row>
        <row r="415">
          <cell r="F415" t="str">
            <v>Pipa HDPE dia. 125 mm</v>
          </cell>
          <cell r="G415" t="str">
            <v>m'</v>
          </cell>
          <cell r="H415">
            <v>57000</v>
          </cell>
        </row>
        <row r="416">
          <cell r="F416" t="str">
            <v>Pipa HDPE, DN. 5"
(125 mm)</v>
          </cell>
          <cell r="G416" t="str">
            <v>m'</v>
          </cell>
          <cell r="H416">
            <v>58000</v>
          </cell>
        </row>
        <row r="417">
          <cell r="F417" t="str">
            <v>Pipa HDPE dia. 150 mm</v>
          </cell>
          <cell r="G417" t="str">
            <v>m'</v>
          </cell>
          <cell r="H417">
            <v>63000</v>
          </cell>
        </row>
        <row r="418">
          <cell r="F418" t="str">
            <v>Pipa HDPE, DN. 6"
(150 mm</v>
          </cell>
          <cell r="G418" t="str">
            <v>m'</v>
          </cell>
          <cell r="H418">
            <v>64000</v>
          </cell>
        </row>
        <row r="419">
          <cell r="F419" t="str">
            <v>Pipa HDPE dia. 200 mm</v>
          </cell>
          <cell r="G419" t="str">
            <v>m'</v>
          </cell>
          <cell r="H419">
            <v>74000</v>
          </cell>
        </row>
        <row r="420">
          <cell r="F420" t="str">
            <v>Pipa HDPE, DN. 8"
(200 mm)</v>
          </cell>
          <cell r="G420" t="str">
            <v>m'</v>
          </cell>
          <cell r="H420">
            <v>75000</v>
          </cell>
        </row>
        <row r="421">
          <cell r="F421" t="str">
            <v>Pipa HDPE dia. 250 mm</v>
          </cell>
          <cell r="G421" t="str">
            <v>m'</v>
          </cell>
          <cell r="H421">
            <v>81000</v>
          </cell>
        </row>
        <row r="422">
          <cell r="F422" t="str">
            <v>Pipa HDPE, DN.10"
(250 mm)</v>
          </cell>
          <cell r="G422" t="str">
            <v>m'</v>
          </cell>
          <cell r="H422">
            <v>82000</v>
          </cell>
        </row>
        <row r="423">
          <cell r="F423" t="str">
            <v>Pipa HDPE dia. 300 mm</v>
          </cell>
          <cell r="G423" t="str">
            <v>m'</v>
          </cell>
          <cell r="H423">
            <v>93000</v>
          </cell>
        </row>
        <row r="424">
          <cell r="F424" t="str">
            <v>Pipa HDPE, DN. 12"
(300 mm</v>
          </cell>
          <cell r="G424" t="str">
            <v>m'</v>
          </cell>
          <cell r="H424">
            <v>94000</v>
          </cell>
        </row>
        <row r="425">
          <cell r="F425" t="str">
            <v>Pipa HDPE dia. 400 mm</v>
          </cell>
          <cell r="G425" t="str">
            <v>m'</v>
          </cell>
          <cell r="H425">
            <v>101000</v>
          </cell>
        </row>
        <row r="426">
          <cell r="F426" t="str">
            <v>Pipa HDPE, DN. 16"
(400 mm)</v>
          </cell>
          <cell r="G426" t="str">
            <v>m'</v>
          </cell>
          <cell r="H426">
            <v>102000</v>
          </cell>
        </row>
        <row r="427">
          <cell r="F427" t="str">
            <v>Pipa HDPE dia. 450 mm</v>
          </cell>
          <cell r="G427" t="str">
            <v>m'</v>
          </cell>
          <cell r="H427">
            <v>123000</v>
          </cell>
        </row>
        <row r="428">
          <cell r="F428" t="str">
            <v>Pipa HDPE, DN. 18"
(450 mm)</v>
          </cell>
          <cell r="G428" t="str">
            <v>m'</v>
          </cell>
          <cell r="H428">
            <v>124000</v>
          </cell>
        </row>
        <row r="429">
          <cell r="F429" t="str">
            <v>Pipa HDPE dia. 500 mm</v>
          </cell>
          <cell r="G429" t="str">
            <v>m'</v>
          </cell>
          <cell r="H429">
            <v>142000</v>
          </cell>
        </row>
        <row r="430">
          <cell r="F430" t="str">
            <v>Pipa HDPE, DN. 20"
(500 mm)</v>
          </cell>
          <cell r="G430" t="str">
            <v>m'</v>
          </cell>
          <cell r="H430">
            <v>143000</v>
          </cell>
        </row>
        <row r="431">
          <cell r="F431" t="str">
            <v>Pipa HDPE dia. 600 mm</v>
          </cell>
          <cell r="G431" t="str">
            <v>m'</v>
          </cell>
          <cell r="H431">
            <v>156000</v>
          </cell>
        </row>
        <row r="432">
          <cell r="F432" t="str">
            <v>Pipa HDPE, DN. 24"
(600 mm</v>
          </cell>
          <cell r="G432" t="str">
            <v>m'</v>
          </cell>
          <cell r="H432">
            <v>157000</v>
          </cell>
        </row>
        <row r="433">
          <cell r="F433" t="str">
            <v>Pipa HDPE dia. 800 mm</v>
          </cell>
          <cell r="G433" t="str">
            <v>m'</v>
          </cell>
          <cell r="H433">
            <v>164000</v>
          </cell>
        </row>
        <row r="434">
          <cell r="F434" t="str">
            <v>Pipa HDPE, DN. 32"
(800 mm)</v>
          </cell>
          <cell r="G434" t="str">
            <v>m'</v>
          </cell>
          <cell r="H434">
            <v>165000</v>
          </cell>
        </row>
        <row r="435">
          <cell r="F435" t="str">
            <v>Pipa HDPE dia. 900 mm</v>
          </cell>
          <cell r="G435" t="str">
            <v>m'</v>
          </cell>
          <cell r="H435">
            <v>172000</v>
          </cell>
        </row>
        <row r="436">
          <cell r="F436" t="str">
            <v>Pipa HDPE, DN. 36"
(900 mm)</v>
          </cell>
          <cell r="G436" t="str">
            <v>m'</v>
          </cell>
          <cell r="H436">
            <v>173000</v>
          </cell>
        </row>
        <row r="437">
          <cell r="F437" t="str">
            <v>Pipa HDPE dia. 1000 mm</v>
          </cell>
          <cell r="G437" t="str">
            <v>m'</v>
          </cell>
          <cell r="H437">
            <v>186000</v>
          </cell>
        </row>
        <row r="438">
          <cell r="F438" t="str">
            <v>Pipa HDPE, DN. 40"
(1000 mm)</v>
          </cell>
          <cell r="G438" t="str">
            <v>m'</v>
          </cell>
          <cell r="H438">
            <v>187000</v>
          </cell>
        </row>
        <row r="439">
          <cell r="F439" t="str">
            <v>Pipa HDPE dia. 1100 mm</v>
          </cell>
          <cell r="G439" t="str">
            <v>m'</v>
          </cell>
          <cell r="H439">
            <v>197000</v>
          </cell>
        </row>
        <row r="440">
          <cell r="F440" t="str">
            <v>Pipa HDPE, DN. 44"
(1100 mm)</v>
          </cell>
          <cell r="G440" t="str">
            <v>m'</v>
          </cell>
          <cell r="H440">
            <v>198000</v>
          </cell>
        </row>
        <row r="441">
          <cell r="F441" t="str">
            <v>Pipa HDPE dia. 1200 mm</v>
          </cell>
          <cell r="G441" t="str">
            <v>m'</v>
          </cell>
          <cell r="H441">
            <v>215000</v>
          </cell>
        </row>
        <row r="442">
          <cell r="F442" t="str">
            <v>Pipa HDPE, DN. 48"
(1200 mm)</v>
          </cell>
          <cell r="G442" t="str">
            <v>m'</v>
          </cell>
          <cell r="H442">
            <v>216000</v>
          </cell>
        </row>
        <row r="443">
          <cell r="F443" t="str">
            <v>Pipa HDPE dia. 15 mm</v>
          </cell>
          <cell r="G443" t="str">
            <v>m'</v>
          </cell>
          <cell r="H443">
            <v>12500</v>
          </cell>
        </row>
        <row r="444">
          <cell r="F444" t="str">
            <v>Pipa HDPE, DN. 1/2"
(15 mm)</v>
          </cell>
          <cell r="G444" t="str">
            <v>m'</v>
          </cell>
          <cell r="H444">
            <v>13000</v>
          </cell>
        </row>
        <row r="445">
          <cell r="F445" t="str">
            <v>Pipa HDPE dia. 20 mm</v>
          </cell>
          <cell r="G445" t="str">
            <v>m'</v>
          </cell>
          <cell r="H445">
            <v>17900</v>
          </cell>
        </row>
        <row r="446">
          <cell r="F446" t="str">
            <v>Pipa HDPE, DN. 3/4"
(20 mm)</v>
          </cell>
          <cell r="G446" t="str">
            <v>m'</v>
          </cell>
          <cell r="H446">
            <v>18000</v>
          </cell>
        </row>
        <row r="447">
          <cell r="F447" t="str">
            <v>Pipa HDPE dia. 25 mm</v>
          </cell>
          <cell r="G447" t="str">
            <v>m'</v>
          </cell>
          <cell r="H447">
            <v>20700</v>
          </cell>
        </row>
        <row r="448">
          <cell r="F448" t="str">
            <v>Pipa HDPE, DN. 1"
(25 mm)</v>
          </cell>
          <cell r="G448" t="str">
            <v>m'</v>
          </cell>
          <cell r="H448">
            <v>21000</v>
          </cell>
        </row>
        <row r="449">
          <cell r="F449" t="str">
            <v>Pipa HDPE dia. 32 mm</v>
          </cell>
          <cell r="G449" t="str">
            <v>m'</v>
          </cell>
          <cell r="H449">
            <v>21300</v>
          </cell>
        </row>
        <row r="450">
          <cell r="F450" t="str">
            <v>Pipa HDPE,
DN. 1-1/4" (32 mm)</v>
          </cell>
          <cell r="G450" t="str">
            <v>m'</v>
          </cell>
          <cell r="H450">
            <v>22000</v>
          </cell>
        </row>
        <row r="451">
          <cell r="F451" t="str">
            <v>Pipa HDPE dia. 40 mm</v>
          </cell>
          <cell r="G451" t="str">
            <v>m'</v>
          </cell>
          <cell r="H451">
            <v>22500</v>
          </cell>
        </row>
        <row r="452">
          <cell r="F452" t="str">
            <v>Pipa HDPE,
DN. 1-1/2" (40 mm)</v>
          </cell>
          <cell r="G452" t="str">
            <v>m'</v>
          </cell>
          <cell r="H452">
            <v>23000</v>
          </cell>
        </row>
        <row r="453">
          <cell r="F453" t="str">
            <v>Pipa HDPE dia. 50 mm</v>
          </cell>
          <cell r="G453" t="str">
            <v>m'</v>
          </cell>
          <cell r="H453">
            <v>23100</v>
          </cell>
        </row>
        <row r="454">
          <cell r="F454" t="str">
            <v>Pipa HDPE, DN. 2"
(50 mm)</v>
          </cell>
          <cell r="G454" t="str">
            <v>m'</v>
          </cell>
          <cell r="H454">
            <v>24000</v>
          </cell>
        </row>
        <row r="455">
          <cell r="F455" t="str">
            <v>Pipa Baja dia. 63 mm</v>
          </cell>
          <cell r="G455" t="str">
            <v>m'</v>
          </cell>
          <cell r="H455">
            <v>520000</v>
          </cell>
        </row>
        <row r="456">
          <cell r="F456" t="str">
            <v>Pipa Baja Karbon, DN.
2-1/2" (65 mm)</v>
          </cell>
          <cell r="G456" t="str">
            <v>m'</v>
          </cell>
          <cell r="H456">
            <v>525000</v>
          </cell>
        </row>
        <row r="457">
          <cell r="F457" t="str">
            <v>Pipa Baja dia. 100 mm</v>
          </cell>
          <cell r="G457" t="str">
            <v>m'</v>
          </cell>
          <cell r="H457">
            <v>645000</v>
          </cell>
        </row>
        <row r="458">
          <cell r="F458" t="str">
            <v>Pipa Baja Karbon, DN.
4" (100 mm)</v>
          </cell>
          <cell r="G458" t="str">
            <v>m'</v>
          </cell>
          <cell r="H458">
            <v>650000</v>
          </cell>
        </row>
        <row r="459">
          <cell r="F459" t="str">
            <v>Pipa Baja dia. 125 mm</v>
          </cell>
          <cell r="G459" t="str">
            <v>m'</v>
          </cell>
          <cell r="H459">
            <v>766000</v>
          </cell>
        </row>
        <row r="460">
          <cell r="F460" t="str">
            <v>Pipa Baja Karbon, DN.
5" (125 mm)</v>
          </cell>
          <cell r="G460" t="str">
            <v>m'</v>
          </cell>
          <cell r="H460">
            <v>770000</v>
          </cell>
        </row>
        <row r="461">
          <cell r="F461" t="str">
            <v>Pipa Baja dia. 150 mm</v>
          </cell>
          <cell r="G461" t="str">
            <v>m'</v>
          </cell>
          <cell r="H461">
            <v>810000</v>
          </cell>
        </row>
        <row r="462">
          <cell r="F462" t="str">
            <v>Pipa Baja Karbon, DN.
6" (150 mm)</v>
          </cell>
          <cell r="G462" t="str">
            <v>m'</v>
          </cell>
          <cell r="H462">
            <v>815000</v>
          </cell>
        </row>
        <row r="463">
          <cell r="F463" t="str">
            <v>Pipa Baja dia. 200 mm</v>
          </cell>
          <cell r="G463" t="str">
            <v>m'</v>
          </cell>
          <cell r="H463">
            <v>890000</v>
          </cell>
        </row>
        <row r="464">
          <cell r="F464" t="str">
            <v>Pipa Baja Karbon, DN.
8" (200 mm)</v>
          </cell>
          <cell r="G464" t="str">
            <v>m'</v>
          </cell>
          <cell r="H464">
            <v>895000</v>
          </cell>
        </row>
        <row r="465">
          <cell r="F465" t="str">
            <v>Pipa Baja dia. 250 mm</v>
          </cell>
          <cell r="G465" t="str">
            <v>m'</v>
          </cell>
          <cell r="H465">
            <v>940000</v>
          </cell>
        </row>
        <row r="466">
          <cell r="F466" t="str">
            <v>Pipa Baja Karbon, DN.
10" (250 mm)</v>
          </cell>
          <cell r="G466" t="str">
            <v>m'</v>
          </cell>
          <cell r="H466">
            <v>945000</v>
          </cell>
        </row>
        <row r="467">
          <cell r="F467" t="str">
            <v>Pipa Baja dia. 300 mm</v>
          </cell>
          <cell r="G467" t="str">
            <v>m'</v>
          </cell>
          <cell r="H467">
            <v>1050000</v>
          </cell>
        </row>
        <row r="468">
          <cell r="F468" t="str">
            <v>Pipa Baja Karbon, DN.
12" (300 mm)</v>
          </cell>
          <cell r="G468" t="str">
            <v>m'</v>
          </cell>
          <cell r="H468">
            <v>1055000</v>
          </cell>
        </row>
        <row r="469">
          <cell r="F469" t="str">
            <v>Pipa Baja dia. 400 mm</v>
          </cell>
          <cell r="G469" t="str">
            <v>m'</v>
          </cell>
          <cell r="H469">
            <v>2300000</v>
          </cell>
        </row>
        <row r="470">
          <cell r="F470" t="str">
            <v>Pipa Baja Karbon, DN. 16"
(400 mm)</v>
          </cell>
          <cell r="G470" t="str">
            <v>m'</v>
          </cell>
          <cell r="H470">
            <v>2305000</v>
          </cell>
        </row>
        <row r="471">
          <cell r="F471" t="str">
            <v>Pipa Baja dia. 450 mm</v>
          </cell>
          <cell r="G471" t="str">
            <v>m'</v>
          </cell>
          <cell r="H471">
            <v>2450000</v>
          </cell>
        </row>
        <row r="472">
          <cell r="F472" t="str">
            <v>Pipa Baja Karbon, DN. 18"
(450 mm</v>
          </cell>
          <cell r="G472" t="str">
            <v>m'</v>
          </cell>
          <cell r="H472">
            <v>2455000</v>
          </cell>
        </row>
        <row r="473">
          <cell r="F473" t="str">
            <v>Pipa Baja dia. 500 mm</v>
          </cell>
          <cell r="G473" t="str">
            <v>m'</v>
          </cell>
          <cell r="H473">
            <v>2560000</v>
          </cell>
        </row>
        <row r="474">
          <cell r="F474" t="str">
            <v>Pipa Baja Karbon, DN.
20" (500 mm)</v>
          </cell>
          <cell r="G474" t="str">
            <v>m'</v>
          </cell>
          <cell r="H474">
            <v>2565000</v>
          </cell>
        </row>
        <row r="475">
          <cell r="F475" t="str">
            <v>Pipa Baja dia. 600 mm</v>
          </cell>
          <cell r="G475" t="str">
            <v>m'</v>
          </cell>
          <cell r="H475">
            <v>2650000</v>
          </cell>
        </row>
        <row r="476">
          <cell r="F476" t="str">
            <v>Pipa Baja Karbon, DN. 24"
(600 mm)</v>
          </cell>
          <cell r="G476" t="str">
            <v>m'</v>
          </cell>
          <cell r="H476">
            <v>2655000</v>
          </cell>
        </row>
        <row r="477">
          <cell r="F477" t="str">
            <v>Pipa Baja dia. 800 mm</v>
          </cell>
          <cell r="G477" t="str">
            <v>m'</v>
          </cell>
          <cell r="H477">
            <v>2790000</v>
          </cell>
        </row>
        <row r="478">
          <cell r="F478" t="str">
            <v>Pipa Baja Karbon, DN. 32"
(800 mm)</v>
          </cell>
          <cell r="G478" t="str">
            <v>m'</v>
          </cell>
          <cell r="H478">
            <v>2795000</v>
          </cell>
        </row>
        <row r="479">
          <cell r="F479" t="str">
            <v>Pipa Baja dia. 900 mm</v>
          </cell>
          <cell r="G479" t="str">
            <v>m'</v>
          </cell>
          <cell r="H479">
            <v>2950000</v>
          </cell>
        </row>
        <row r="480">
          <cell r="F480" t="str">
            <v>Pipa Baja Karbon, DN. 36"
(900 mm)</v>
          </cell>
          <cell r="G480" t="str">
            <v>m'</v>
          </cell>
          <cell r="H480">
            <v>2955000</v>
          </cell>
        </row>
        <row r="481">
          <cell r="F481" t="str">
            <v>Pipa Baja dia. 1000 mm</v>
          </cell>
          <cell r="G481" t="str">
            <v>m'</v>
          </cell>
          <cell r="H481">
            <v>3110000</v>
          </cell>
        </row>
        <row r="482">
          <cell r="F482" t="str">
            <v>Pipa Baja Karbon, DN. 40"
(1000 mm)</v>
          </cell>
          <cell r="G482" t="str">
            <v>m'</v>
          </cell>
          <cell r="H482">
            <v>3115000</v>
          </cell>
        </row>
        <row r="483">
          <cell r="F483" t="str">
            <v>Pipa Baja dia. 1100 mm</v>
          </cell>
          <cell r="G483" t="str">
            <v>m'</v>
          </cell>
          <cell r="H483">
            <v>3230000</v>
          </cell>
        </row>
        <row r="484">
          <cell r="F484" t="str">
            <v>Pipa Baja Karbon, DN. 44"
(1100 mm)</v>
          </cell>
          <cell r="G484" t="str">
            <v>m'</v>
          </cell>
          <cell r="H484">
            <v>3235000</v>
          </cell>
        </row>
        <row r="485">
          <cell r="F485" t="str">
            <v>Pipa Baja dia. 1200 mm</v>
          </cell>
          <cell r="G485" t="str">
            <v>m'</v>
          </cell>
          <cell r="H485">
            <v>3350000</v>
          </cell>
        </row>
        <row r="486">
          <cell r="F486" t="str">
            <v>Pipa Baja Karbon, DN. 48"
(1200 mm</v>
          </cell>
          <cell r="G486" t="str">
            <v>m'</v>
          </cell>
          <cell r="H486">
            <v>3355000</v>
          </cell>
        </row>
        <row r="487">
          <cell r="F487" t="str">
            <v>PVC  Ø 1 1/4"  s  10 tekanan nominal 10 bar (1,0 mpa) 4m</v>
          </cell>
          <cell r="G487" t="str">
            <v>batang</v>
          </cell>
          <cell r="H487">
            <v>79700</v>
          </cell>
        </row>
        <row r="488">
          <cell r="F488" t="str">
            <v>PVC  Ø 1 1/5"  s  10 tekanan nominal 10 bar (1,0 mpa) 6m</v>
          </cell>
          <cell r="G488" t="str">
            <v>batang</v>
          </cell>
          <cell r="H488">
            <v>145400</v>
          </cell>
        </row>
        <row r="489">
          <cell r="F489" t="str">
            <v>PVC  Ø 1"  s  10 tekanan nominal 10 bar (1,0 mpa) 4m</v>
          </cell>
          <cell r="G489" t="str">
            <v>batang</v>
          </cell>
          <cell r="H489">
            <v>51600</v>
          </cell>
        </row>
        <row r="490">
          <cell r="F490" t="str">
            <v>PVC  Ø 1/2"  s  10 tekanan nominal 10 bar (1,0 mpa) 4m</v>
          </cell>
          <cell r="G490" t="str">
            <v>batang</v>
          </cell>
          <cell r="H490">
            <v>30700</v>
          </cell>
        </row>
        <row r="491">
          <cell r="F491" t="str">
            <v>PVC  Ø 2"  s  12,5 tekanan nominal 10 bar (1,0 mpa) 6m</v>
          </cell>
          <cell r="G491" t="str">
            <v>batang</v>
          </cell>
          <cell r="H491">
            <v>214900</v>
          </cell>
        </row>
        <row r="492">
          <cell r="F492" t="str">
            <v>PVC  Ø 3"  s  12,5 tekanan nominal 10 bar (1,0 mpa) 6m</v>
          </cell>
          <cell r="G492" t="str">
            <v>batang</v>
          </cell>
          <cell r="H492">
            <v>423300</v>
          </cell>
        </row>
        <row r="493">
          <cell r="F493" t="str">
            <v>PVC  Ø 3/4"  s  10 tekanan nominal 10 bar (1,0 mpa) 4m</v>
          </cell>
          <cell r="G493" t="str">
            <v>batang</v>
          </cell>
          <cell r="H493">
            <v>33400</v>
          </cell>
        </row>
        <row r="494">
          <cell r="F494" t="str">
            <v>PVC  Ø 4"  s  12,5 tekanan nominal 10 bar (1,0 mpa) 6m</v>
          </cell>
          <cell r="G494" t="str">
            <v>batang</v>
          </cell>
          <cell r="H494">
            <v>641300</v>
          </cell>
        </row>
        <row r="495">
          <cell r="F495" t="str">
            <v>PVC  Ø 6"  s  12,5 tekanan nominal 10 bar (1,0 mpa) 6m</v>
          </cell>
          <cell r="G495" t="str">
            <v>batang</v>
          </cell>
          <cell r="H495">
            <v>1823000</v>
          </cell>
        </row>
        <row r="496">
          <cell r="F496" t="str">
            <v>PVC  Ø 8"  s  12,5 tekanan nominal 10 bar (1,0 mpa) 6m</v>
          </cell>
          <cell r="G496" t="str">
            <v>batang</v>
          </cell>
          <cell r="H496">
            <v>2043200</v>
          </cell>
        </row>
        <row r="497">
          <cell r="F497" t="str">
            <v>MATERIAL PIPA GALVANIS</v>
          </cell>
        </row>
        <row r="498">
          <cell r="F498" t="str">
            <v>Assesoris  galvanis</v>
          </cell>
          <cell r="G498" t="str">
            <v>m'</v>
          </cell>
          <cell r="H498">
            <v>5500</v>
          </cell>
        </row>
        <row r="499">
          <cell r="F499" t="str">
            <v>Pipa  galvanis medium B Ø  1  1/2" panjang  6  m</v>
          </cell>
          <cell r="G499" t="str">
            <v>batang</v>
          </cell>
          <cell r="H499">
            <v>405700</v>
          </cell>
        </row>
        <row r="500">
          <cell r="F500" t="str">
            <v>Pipa  galvanis medium B Ø  1" panjang  6  m</v>
          </cell>
          <cell r="G500" t="str">
            <v>batang</v>
          </cell>
          <cell r="H500">
            <v>263000</v>
          </cell>
        </row>
        <row r="501">
          <cell r="F501" t="str">
            <v>Pipa  galvanis medium B Ø  1/2" panjang  6  m</v>
          </cell>
          <cell r="G501" t="str">
            <v>m'</v>
          </cell>
          <cell r="H501">
            <v>24400</v>
          </cell>
        </row>
        <row r="502">
          <cell r="F502" t="str">
            <v>Pipa  galvanis medium B Ø  2  1/2" panjang  6  m</v>
          </cell>
          <cell r="G502" t="str">
            <v>batang</v>
          </cell>
          <cell r="H502">
            <v>550000</v>
          </cell>
        </row>
        <row r="503">
          <cell r="F503" t="str">
            <v>Pipa  galvanis medium B Ø  3" panjang  6  m</v>
          </cell>
          <cell r="G503" t="str">
            <v>batang</v>
          </cell>
          <cell r="H503">
            <v>1035100</v>
          </cell>
        </row>
        <row r="504">
          <cell r="F504" t="str">
            <v>Pipa  galvanis medium B Ø  3/4" panjang  6  m</v>
          </cell>
          <cell r="G504" t="str">
            <v>batang</v>
          </cell>
          <cell r="H504">
            <v>181200</v>
          </cell>
        </row>
        <row r="505">
          <cell r="F505" t="str">
            <v>Pipa  galvanis medium B Ø  4" panjang  6  m</v>
          </cell>
          <cell r="G505" t="str">
            <v>batang</v>
          </cell>
          <cell r="H505">
            <v>1475300</v>
          </cell>
        </row>
        <row r="506">
          <cell r="F506" t="str">
            <v>Pipa besi stainless  steel Ø1"  t=1.5 mm</v>
          </cell>
          <cell r="G506" t="str">
            <v>m'</v>
          </cell>
          <cell r="H506">
            <v>44800</v>
          </cell>
        </row>
        <row r="507">
          <cell r="F507" t="str">
            <v>Pipa besi stainless  steel Ø2"  t=1.5 mm</v>
          </cell>
          <cell r="G507" t="str">
            <v>m'</v>
          </cell>
          <cell r="H507">
            <v>92400</v>
          </cell>
        </row>
        <row r="508">
          <cell r="F508" t="str">
            <v>Pipa galvanis  medium A Ø 1 1/2"  panjang 6 m</v>
          </cell>
          <cell r="G508" t="str">
            <v>batang</v>
          </cell>
          <cell r="H508">
            <v>461800</v>
          </cell>
        </row>
        <row r="509">
          <cell r="F509" t="str">
            <v>Pipa galvanis  medium A Ø 1"  panjang 6 m</v>
          </cell>
          <cell r="G509" t="str">
            <v>batang</v>
          </cell>
          <cell r="H509">
            <v>266100</v>
          </cell>
        </row>
        <row r="510">
          <cell r="F510" t="str">
            <v>Pipa galvanis  medium A Ø 1/2"  panjang 6 m</v>
          </cell>
          <cell r="G510" t="str">
            <v>batang</v>
          </cell>
          <cell r="H510">
            <v>132500</v>
          </cell>
        </row>
        <row r="511">
          <cell r="F511" t="str">
            <v>Pipa galvanis  medium A Ø 2"  panjang 6 m</v>
          </cell>
          <cell r="G511" t="str">
            <v>batang</v>
          </cell>
          <cell r="H511">
            <v>528600</v>
          </cell>
        </row>
        <row r="512">
          <cell r="F512" t="str">
            <v>Pipa galvanis  medium A Ø 3"  panjang 6 m</v>
          </cell>
          <cell r="G512" t="str">
            <v>batang</v>
          </cell>
          <cell r="H512">
            <v>1021000</v>
          </cell>
        </row>
        <row r="513">
          <cell r="F513" t="str">
            <v>Pipa galvanis  medium A Ø 3/4"  panjang 6 m</v>
          </cell>
          <cell r="G513" t="str">
            <v>batang</v>
          </cell>
          <cell r="H513">
            <v>177900</v>
          </cell>
        </row>
        <row r="514">
          <cell r="F514" t="str">
            <v>Pipa galvanis  medium A Ø 4"  panjang 6 m</v>
          </cell>
          <cell r="G514" t="str">
            <v>batang</v>
          </cell>
          <cell r="H514">
            <v>1487200</v>
          </cell>
        </row>
        <row r="515">
          <cell r="F515" t="str">
            <v>Pipa galvanis  medium A Ø 5"  panjang 6 m</v>
          </cell>
          <cell r="G515" t="str">
            <v>batang</v>
          </cell>
          <cell r="H515">
            <v>1981200</v>
          </cell>
        </row>
        <row r="516">
          <cell r="F516" t="str">
            <v>Pipa galvanis  medium A Ø 6"  panjang 6 m</v>
          </cell>
          <cell r="G516" t="str">
            <v>batang</v>
          </cell>
          <cell r="H516">
            <v>1558300</v>
          </cell>
        </row>
        <row r="517">
          <cell r="F517" t="str">
            <v>Pipa galvanis  medium A Ø 8"  panjang 6 m</v>
          </cell>
          <cell r="G517" t="str">
            <v>batang</v>
          </cell>
          <cell r="H517">
            <v>2267400</v>
          </cell>
        </row>
        <row r="518">
          <cell r="F518" t="str">
            <v>Pipa galvanis  medium B  Ø 2"  panjang 6 m</v>
          </cell>
          <cell r="G518" t="str">
            <v>batang</v>
          </cell>
          <cell r="H518">
            <v>598800</v>
          </cell>
        </row>
        <row r="519">
          <cell r="F519" t="str">
            <v>Pipa galvanis  medium B  Ø 5"  panjang 6 m</v>
          </cell>
          <cell r="G519" t="str">
            <v>batang</v>
          </cell>
          <cell r="H519">
            <v>2031000</v>
          </cell>
        </row>
        <row r="520">
          <cell r="F520" t="str">
            <v>Pipa galvanis  medium B  Ø 6"  panjang 6 m</v>
          </cell>
          <cell r="G520" t="str">
            <v>batang</v>
          </cell>
          <cell r="H520">
            <v>2451200</v>
          </cell>
        </row>
        <row r="521">
          <cell r="F521" t="str">
            <v>Pipa galvanis  medium B  Ø 8"  panjang 6 m</v>
          </cell>
          <cell r="G521" t="str">
            <v>batang</v>
          </cell>
          <cell r="H521">
            <v>3466200</v>
          </cell>
        </row>
        <row r="522">
          <cell r="F522" t="str">
            <v xml:space="preserve">Pipa galvanis  medium Class  Ø 1 1/2" +Aksesoris </v>
          </cell>
          <cell r="G522" t="str">
            <v>m'</v>
          </cell>
          <cell r="H522">
            <v>82466.666666666672</v>
          </cell>
        </row>
        <row r="523">
          <cell r="F523" t="str">
            <v>Pipa galvanis MED CLASS ; DN. 1-1/2" (40 mm) + fitting &amp; aksesoris</v>
          </cell>
          <cell r="G523" t="str">
            <v>m'</v>
          </cell>
          <cell r="H523">
            <v>82500</v>
          </cell>
        </row>
        <row r="524">
          <cell r="F524" t="str">
            <v xml:space="preserve">Pipa galvanis  medium Class  Ø 1 1/4" +Aksesoris </v>
          </cell>
          <cell r="G524" t="str">
            <v>m'</v>
          </cell>
          <cell r="H524">
            <v>80633.333333333328</v>
          </cell>
        </row>
        <row r="525">
          <cell r="F525" t="str">
            <v>Pipa galvanis MED
CLASS ; DN. 1-1/4"
(32 mm) + fitting &amp;
aksesoris</v>
          </cell>
          <cell r="G525" t="str">
            <v>m'</v>
          </cell>
          <cell r="H525">
            <v>81000</v>
          </cell>
        </row>
        <row r="526">
          <cell r="F526" t="str">
            <v>Pipa galvanis  medium Class Ø 1" + Aksesoris</v>
          </cell>
          <cell r="G526" t="str">
            <v>m'</v>
          </cell>
          <cell r="H526">
            <v>49850</v>
          </cell>
        </row>
        <row r="527">
          <cell r="F527" t="str">
            <v>Pipa galvanis MED
CLASS ; DN. 1" (25
mm) + fitting &amp;
aksesoris</v>
          </cell>
          <cell r="G527" t="str">
            <v>m'</v>
          </cell>
          <cell r="H527">
            <v>50000</v>
          </cell>
        </row>
        <row r="528">
          <cell r="F528" t="str">
            <v>Pipa galvanis  medium Class Ø 1/2" + Aksesoris</v>
          </cell>
          <cell r="G528" t="str">
            <v>m'</v>
          </cell>
          <cell r="H528">
            <v>27583.333333333332</v>
          </cell>
        </row>
        <row r="529">
          <cell r="F529" t="str">
            <v>Pipa galvanis MED CLASS ; DN. 1/2" (15 mm) + fitting &amp; aksesoris</v>
          </cell>
          <cell r="G529" t="str">
            <v>m'</v>
          </cell>
          <cell r="H529">
            <v>28000</v>
          </cell>
        </row>
        <row r="530">
          <cell r="F530" t="str">
            <v xml:space="preserve">Pipa galvanis  medium Class Ø 2" +Aksesoris </v>
          </cell>
          <cell r="G530" t="str">
            <v>m'</v>
          </cell>
          <cell r="H530">
            <v>93600</v>
          </cell>
        </row>
        <row r="531">
          <cell r="F531" t="str">
            <v>Pipa galvanis MED CLASS ; DN. 2" (50 mm) + fitting &amp; aksesoris</v>
          </cell>
          <cell r="G531" t="str">
            <v>m'</v>
          </cell>
          <cell r="H531">
            <v>94000</v>
          </cell>
        </row>
        <row r="532">
          <cell r="F532" t="str">
            <v xml:space="preserve">Pipa galvanis  medium Class Ø 2-1/2" +Aksesoris </v>
          </cell>
          <cell r="G532" t="str">
            <v>m'</v>
          </cell>
          <cell r="H532">
            <v>94666.666666666672</v>
          </cell>
        </row>
        <row r="533">
          <cell r="F533" t="str">
            <v>Pipa galvanis MED CLASS ; DN. 2-1/2" (65 mm) + fitting &amp; aksesoris</v>
          </cell>
          <cell r="G533" t="str">
            <v>m'</v>
          </cell>
          <cell r="H533">
            <v>95000</v>
          </cell>
        </row>
        <row r="534">
          <cell r="F534" t="str">
            <v xml:space="preserve">Pipa galvanis  medium Class Ø 3" +Aksesoris </v>
          </cell>
          <cell r="G534" t="str">
            <v>m'</v>
          </cell>
          <cell r="H534">
            <v>175666.66666666666</v>
          </cell>
        </row>
        <row r="535">
          <cell r="F535" t="str">
            <v>Pipa galvanis MED CLASS ; DN. 3" (80 mm) + fitting &amp; aksesoris</v>
          </cell>
          <cell r="G535" t="str">
            <v>m'</v>
          </cell>
          <cell r="H535">
            <v>176000</v>
          </cell>
        </row>
        <row r="536">
          <cell r="F536" t="str">
            <v xml:space="preserve">Pipa galvanis  medium Class Ø 3/4" + Aksesoris </v>
          </cell>
          <cell r="G536" t="str">
            <v>m'</v>
          </cell>
          <cell r="H536">
            <v>35150</v>
          </cell>
        </row>
        <row r="537">
          <cell r="F537" t="str">
            <v>Pipa galvanis MED CLASS ; DN. 3/4" (20 mm) + fitting &amp; aksesoris</v>
          </cell>
          <cell r="G537" t="str">
            <v>m'</v>
          </cell>
          <cell r="H537">
            <v>36000</v>
          </cell>
        </row>
        <row r="538">
          <cell r="F538" t="str">
            <v xml:space="preserve">Pipa galvanis  medium Class Ø 4" +Aksesoris </v>
          </cell>
          <cell r="G538" t="str">
            <v>m'</v>
          </cell>
          <cell r="H538">
            <v>253366.66666666666</v>
          </cell>
        </row>
        <row r="539">
          <cell r="F539" t="str">
            <v>Pipa galvanis MED CLASS ; DN. 4" (100 mm) + fitting &amp; aksesoris</v>
          </cell>
          <cell r="G539" t="str">
            <v>m'</v>
          </cell>
          <cell r="H539">
            <v>253500</v>
          </cell>
        </row>
        <row r="540">
          <cell r="F540" t="str">
            <v xml:space="preserve">Pipa galvanis  medium Class Ø 5" +Aksesoris </v>
          </cell>
          <cell r="G540" t="str">
            <v>m'</v>
          </cell>
          <cell r="H540">
            <v>335700</v>
          </cell>
        </row>
        <row r="541">
          <cell r="F541" t="str">
            <v>Pipa galvanis MED CLASS ; DN. 5" (125 mm) + fitting &amp; aksesoris</v>
          </cell>
          <cell r="G541" t="str">
            <v>m'</v>
          </cell>
          <cell r="H541">
            <v>336000</v>
          </cell>
        </row>
        <row r="542">
          <cell r="F542" t="str">
            <v xml:space="preserve">Pipa galvanis  medium Class Ø 6" + Aksesoris </v>
          </cell>
          <cell r="G542" t="str">
            <v>m'</v>
          </cell>
          <cell r="H542">
            <v>265216.66666666663</v>
          </cell>
        </row>
        <row r="543">
          <cell r="F543" t="str">
            <v>Pipa galvanis MED CLASS ; DN. 6" (150 mm) + fitting &amp; aksesoris</v>
          </cell>
          <cell r="G543" t="str">
            <v>m'</v>
          </cell>
          <cell r="H543">
            <v>266000</v>
          </cell>
        </row>
        <row r="544">
          <cell r="F544" t="str">
            <v xml:space="preserve">Pipa galvanis  medium Class Ø 8" + Aksesois </v>
          </cell>
          <cell r="G544" t="str">
            <v>m'</v>
          </cell>
          <cell r="H544">
            <v>383400</v>
          </cell>
        </row>
        <row r="545">
          <cell r="F545" t="str">
            <v>Pipa galvanis MED CLASS ; DN. 8" (200 mm) + fitting &amp; aksesoris</v>
          </cell>
          <cell r="G545" t="str">
            <v>m'</v>
          </cell>
          <cell r="H545">
            <v>384000</v>
          </cell>
        </row>
        <row r="546">
          <cell r="F546" t="str">
            <v xml:space="preserve">Pipa galvanis  medium Class Ø 10" + Aksesois </v>
          </cell>
          <cell r="G546" t="str">
            <v>m'</v>
          </cell>
          <cell r="H546">
            <v>390500</v>
          </cell>
        </row>
        <row r="547">
          <cell r="F547" t="str">
            <v>Pipa galvanis MED CLASS ; DN. 10" (250 mm) + fitting &amp; aksesoris</v>
          </cell>
          <cell r="G547" t="str">
            <v>m'</v>
          </cell>
          <cell r="H547">
            <v>391000</v>
          </cell>
        </row>
        <row r="548">
          <cell r="F548" t="str">
            <v xml:space="preserve">Pipa galvanis  medium Class Ø 12" + Aksesois </v>
          </cell>
          <cell r="G548" t="str">
            <v>m'</v>
          </cell>
          <cell r="H548">
            <v>399500</v>
          </cell>
        </row>
        <row r="549">
          <cell r="F549" t="str">
            <v>Pipa galvanis MED CLASS ; DN. 12" (300 mm) + fitting &amp; aksesoris</v>
          </cell>
          <cell r="G549" t="str">
            <v>m'</v>
          </cell>
          <cell r="H549">
            <v>340000</v>
          </cell>
        </row>
        <row r="550">
          <cell r="F550" t="str">
            <v xml:space="preserve">Pipa galvanis  medium Class Ø 14" + Aksesois </v>
          </cell>
          <cell r="G550" t="str">
            <v>m'</v>
          </cell>
          <cell r="H550">
            <v>410500</v>
          </cell>
        </row>
        <row r="551">
          <cell r="F551" t="str">
            <v>Pipa galvanis MED CLASS ; DN. 14" (350 mm) + fitting &amp; aksesoris</v>
          </cell>
          <cell r="G551" t="str">
            <v>m'</v>
          </cell>
          <cell r="H551">
            <v>411000</v>
          </cell>
        </row>
        <row r="552">
          <cell r="F552" t="str">
            <v xml:space="preserve">Pipa galvanis  medium Class Ø 16" + Aksesois </v>
          </cell>
          <cell r="G552" t="str">
            <v>m'</v>
          </cell>
          <cell r="H552">
            <v>417500</v>
          </cell>
        </row>
        <row r="553">
          <cell r="F553" t="str">
            <v>Pipa galvanis MED CLASS ; DN. 16" (400 mm) + fitting &amp; aksesoris</v>
          </cell>
          <cell r="G553" t="str">
            <v>m'</v>
          </cell>
          <cell r="H553">
            <v>418000</v>
          </cell>
        </row>
        <row r="554">
          <cell r="F554" t="str">
            <v xml:space="preserve">Pipa galvanis SCH 40 Ø 1/2" + Aksesois </v>
          </cell>
          <cell r="G554" t="str">
            <v>m'</v>
          </cell>
          <cell r="H554">
            <v>39666.666666666664</v>
          </cell>
        </row>
        <row r="555">
          <cell r="F555" t="str">
            <v>Pipa galvanis SCH 40 ; DN. 1/2" (15 mm) + fitting &amp; aksesoris</v>
          </cell>
          <cell r="G555" t="str">
            <v>m'</v>
          </cell>
          <cell r="H555">
            <v>40000</v>
          </cell>
        </row>
        <row r="556">
          <cell r="F556" t="str">
            <v xml:space="preserve">Pipa galvanis SCH 40 Ø 3/4" + Aksesois </v>
          </cell>
          <cell r="G556" t="str">
            <v>m'</v>
          </cell>
          <cell r="H556">
            <v>47666.666666666664</v>
          </cell>
        </row>
        <row r="557">
          <cell r="F557" t="str">
            <v>Pipa galvanis SCH 40 ; DN. 3/4" (20 mm) + fitting &amp; aksesoris</v>
          </cell>
          <cell r="G557" t="str">
            <v>m'</v>
          </cell>
          <cell r="H557">
            <v>48000</v>
          </cell>
        </row>
        <row r="558">
          <cell r="F558" t="str">
            <v xml:space="preserve">Pipa galvanis SCH 40 Ø 1" + Aksesois </v>
          </cell>
          <cell r="G558" t="str">
            <v>m'</v>
          </cell>
          <cell r="H558">
            <v>66333.333333333343</v>
          </cell>
        </row>
        <row r="559">
          <cell r="F559" t="str">
            <v>Pipa galvanis SCH 40 ; DN. 1" (25 mm) + fitting &amp; aksesoris</v>
          </cell>
          <cell r="G559" t="str">
            <v>m'</v>
          </cell>
          <cell r="H559">
            <v>66500</v>
          </cell>
        </row>
        <row r="560">
          <cell r="F560" t="str">
            <v xml:space="preserve">Pipa galvanis SCH 40 Ø 1-1/4" + Aksesois </v>
          </cell>
          <cell r="G560" t="str">
            <v>m'</v>
          </cell>
          <cell r="H560">
            <v>88000</v>
          </cell>
        </row>
        <row r="561">
          <cell r="F561" t="str">
            <v>Pipa galvanis SCH 40 ; DN. 1-1/4" (32 mm) + fitting &amp; aksesoris</v>
          </cell>
          <cell r="G561" t="str">
            <v>m'</v>
          </cell>
          <cell r="H561">
            <v>88500</v>
          </cell>
        </row>
        <row r="562">
          <cell r="F562" t="str">
            <v xml:space="preserve">Pipa galvanis SCH 40 Ø 1-1/2" + Aksesois </v>
          </cell>
          <cell r="G562" t="str">
            <v>m'</v>
          </cell>
          <cell r="H562">
            <v>102500</v>
          </cell>
        </row>
        <row r="563">
          <cell r="F563" t="str">
            <v>Pipa galvanis SCH 40 ; DN. 1-1/2" (40 mm) + fitting &amp; aksesoris</v>
          </cell>
          <cell r="G563" t="str">
            <v>m'</v>
          </cell>
          <cell r="H563">
            <v>103000</v>
          </cell>
        </row>
        <row r="564">
          <cell r="F564" t="str">
            <v xml:space="preserve">Pipa galvanis SCH 40 Ø 2" + Aksesois </v>
          </cell>
          <cell r="G564" t="str">
            <v>m'</v>
          </cell>
          <cell r="H564">
            <v>188833.33333333334</v>
          </cell>
        </row>
        <row r="565">
          <cell r="F565" t="str">
            <v>Pipa galvanis SCH 40 ; DN. 2" (50 mm) + fitting &amp; aksesoris</v>
          </cell>
          <cell r="G565" t="str">
            <v>m'</v>
          </cell>
          <cell r="H565">
            <v>189000</v>
          </cell>
        </row>
        <row r="566">
          <cell r="F566" t="str">
            <v xml:space="preserve">Pipa galvanis SCH 40 Ø 2-1/2" + Aksesois </v>
          </cell>
          <cell r="G566" t="str">
            <v>m'</v>
          </cell>
          <cell r="H566">
            <v>205500</v>
          </cell>
        </row>
        <row r="567">
          <cell r="F567" t="str">
            <v>Pipa galvanis SCH 40 ; DN. 2-1/2" (65 mm) + fitting &amp; aksesoris</v>
          </cell>
          <cell r="G567" t="str">
            <v>m'</v>
          </cell>
          <cell r="H567">
            <v>206000</v>
          </cell>
        </row>
        <row r="568">
          <cell r="F568" t="str">
            <v xml:space="preserve">Pipa galvanis SCH 40 Ø 3" + Aksesois </v>
          </cell>
          <cell r="G568" t="str">
            <v>m'</v>
          </cell>
          <cell r="H568">
            <v>359666.66666666669</v>
          </cell>
        </row>
        <row r="569">
          <cell r="F569" t="str">
            <v>Pipa galvanis SCH 40 ; DN. 3" (80 mm) + fitting &amp; aksesoris</v>
          </cell>
          <cell r="G569" t="str">
            <v>m'</v>
          </cell>
          <cell r="H569">
            <v>360000</v>
          </cell>
        </row>
        <row r="570">
          <cell r="F570" t="str">
            <v xml:space="preserve">Pipa galvanis SCH 40 Ø 4" + Aksesois </v>
          </cell>
          <cell r="G570" t="str">
            <v>m'</v>
          </cell>
          <cell r="H570">
            <v>380500</v>
          </cell>
        </row>
        <row r="571">
          <cell r="F571" t="str">
            <v>Pipa galvanis SCH 40 ; DN. 4" (100 mm) + fitting &amp; aksesoris</v>
          </cell>
          <cell r="G571" t="str">
            <v>m'</v>
          </cell>
          <cell r="H571">
            <v>381000</v>
          </cell>
        </row>
        <row r="572">
          <cell r="F572" t="str">
            <v xml:space="preserve">Pipa galvanis SCH 40 Ø 5" + Aksesois </v>
          </cell>
          <cell r="G572" t="str">
            <v>m'</v>
          </cell>
          <cell r="H572">
            <v>505500</v>
          </cell>
        </row>
        <row r="573">
          <cell r="F573" t="str">
            <v>Pipa galvanis SCH 40 ; DN. 5" (125 mm) + fitting &amp; aksesoris</v>
          </cell>
          <cell r="G573" t="str">
            <v>m'</v>
          </cell>
          <cell r="H573">
            <v>502000</v>
          </cell>
        </row>
        <row r="574">
          <cell r="F574" t="str">
            <v xml:space="preserve">Pipa galvanis SCH 40 Ø 6" + Aksesois </v>
          </cell>
          <cell r="G574" t="str">
            <v>m'</v>
          </cell>
          <cell r="H574">
            <v>635500</v>
          </cell>
        </row>
        <row r="575">
          <cell r="F575" t="str">
            <v>Pipa galvanis SCH 40 ; DN. 6" (150 mm) + fitting &amp; aksesoris</v>
          </cell>
          <cell r="G575" t="str">
            <v>m'</v>
          </cell>
          <cell r="H575">
            <v>636000</v>
          </cell>
        </row>
        <row r="576">
          <cell r="F576" t="str">
            <v xml:space="preserve">Pipa galvanis SCH 40 Ø 8" + Aksesois </v>
          </cell>
          <cell r="G576" t="str">
            <v>m'</v>
          </cell>
          <cell r="H576">
            <v>987166.66666666663</v>
          </cell>
        </row>
        <row r="577">
          <cell r="F577" t="str">
            <v>Pipa galvanis SCH 40 ; DN. 8" (200 mm) + fitting &amp; aksesoris</v>
          </cell>
          <cell r="G577" t="str">
            <v>m'</v>
          </cell>
          <cell r="H577">
            <v>987500</v>
          </cell>
        </row>
        <row r="578">
          <cell r="F578" t="str">
            <v xml:space="preserve">Pipa galvanis SCH 40 Ø 10" + Aksesois </v>
          </cell>
          <cell r="G578" t="str">
            <v>m'</v>
          </cell>
          <cell r="H578">
            <v>1322166.6666666667</v>
          </cell>
        </row>
        <row r="579">
          <cell r="F579" t="str">
            <v>Pipa galvanis SCH 40 ; DN. 10" (250 mm) + fitting &amp; aksesoris</v>
          </cell>
          <cell r="G579" t="str">
            <v>m'</v>
          </cell>
          <cell r="H579">
            <v>1322500</v>
          </cell>
        </row>
        <row r="580">
          <cell r="F580" t="str">
            <v xml:space="preserve">Pipa galvanis SCH 40 Ø 12" + Aksesois </v>
          </cell>
          <cell r="G580" t="str">
            <v>m'</v>
          </cell>
          <cell r="H580">
            <v>1405500</v>
          </cell>
        </row>
        <row r="581">
          <cell r="F581" t="str">
            <v>Pipa galvanis SCH 40 ; DN. 12" (300 mm) + fitting &amp; aksesoris</v>
          </cell>
          <cell r="G581" t="str">
            <v>m'</v>
          </cell>
          <cell r="H581">
            <v>1406000</v>
          </cell>
        </row>
        <row r="582">
          <cell r="F582" t="str">
            <v xml:space="preserve">Pipa galvanis SCH 40 Ø 14" + Aksesois </v>
          </cell>
          <cell r="G582" t="str">
            <v>m'</v>
          </cell>
          <cell r="H582">
            <v>1463833.3333333333</v>
          </cell>
        </row>
        <row r="583">
          <cell r="F583" t="str">
            <v>Pipa galvanis SCH 40 ; DN. 14" (350 mm) + fitting &amp; aksesoris</v>
          </cell>
          <cell r="G583" t="str">
            <v>m'</v>
          </cell>
          <cell r="H583">
            <v>1464000</v>
          </cell>
        </row>
        <row r="584">
          <cell r="F584" t="str">
            <v xml:space="preserve">Pipa galvanis SCH 40 Ø 16" + Aksesois </v>
          </cell>
          <cell r="G584" t="str">
            <v>m'</v>
          </cell>
          <cell r="H584">
            <v>1501666.6666666667</v>
          </cell>
        </row>
        <row r="585">
          <cell r="F585" t="str">
            <v>Pipa galvanis SCH 40 ; DN. 16" (400 mm) + fitting &amp; aksesoris</v>
          </cell>
          <cell r="G585" t="str">
            <v>m'</v>
          </cell>
          <cell r="H585">
            <v>1502000</v>
          </cell>
        </row>
        <row r="586">
          <cell r="F586" t="str">
            <v xml:space="preserve">Pipa PPR PN 10 Ø 1/2" + Aksesois </v>
          </cell>
          <cell r="G586" t="str">
            <v>m'</v>
          </cell>
          <cell r="H586">
            <v>16050</v>
          </cell>
        </row>
        <row r="587">
          <cell r="F587" t="str">
            <v>Pipa PPR PN 10 ; DN. 1/2" (15 mm) + fitting &amp; aksesoris</v>
          </cell>
          <cell r="G587" t="str">
            <v>m'</v>
          </cell>
          <cell r="H587">
            <v>16100</v>
          </cell>
        </row>
        <row r="588">
          <cell r="F588" t="str">
            <v xml:space="preserve">Pipa PPR PN 10 Ø 3/4" + Aksesois </v>
          </cell>
          <cell r="G588" t="str">
            <v>m'</v>
          </cell>
          <cell r="H588">
            <v>19475</v>
          </cell>
        </row>
        <row r="589">
          <cell r="F589" t="str">
            <v>Pipa PPR PN 10 ; DN. 3/4" (20 mm) + fitting &amp; aksesoris</v>
          </cell>
          <cell r="G589" t="str">
            <v>m'</v>
          </cell>
          <cell r="H589">
            <v>19700</v>
          </cell>
        </row>
        <row r="590">
          <cell r="F590" t="str">
            <v xml:space="preserve">Pipa PPR PN 10 Ø 1" + Aksesois </v>
          </cell>
          <cell r="G590" t="str">
            <v>m'</v>
          </cell>
          <cell r="H590">
            <v>28275</v>
          </cell>
        </row>
        <row r="591">
          <cell r="F591" t="str">
            <v>Pipa PPR PN 10 ; DN. 1" (25 mm) + fitting &amp; aksesoris</v>
          </cell>
          <cell r="G591" t="str">
            <v>m'</v>
          </cell>
          <cell r="H591">
            <v>28500</v>
          </cell>
        </row>
        <row r="592">
          <cell r="F592" t="str">
            <v xml:space="preserve">Pipa PPR PN 10 Ø 1-1/4" + Aksesois </v>
          </cell>
          <cell r="G592" t="str">
            <v>m'</v>
          </cell>
          <cell r="H592">
            <v>41875</v>
          </cell>
        </row>
        <row r="593">
          <cell r="F593" t="str">
            <v>Pipa PPR PN 10 ; DN. 1-1/4" (32 mm) + fitting &amp; aksesoris</v>
          </cell>
          <cell r="G593" t="str">
            <v>m'</v>
          </cell>
          <cell r="H593">
            <v>42000</v>
          </cell>
        </row>
        <row r="594">
          <cell r="F594" t="str">
            <v xml:space="preserve">Pipa PPR PN 10 Ø 1-1/2" + Aksesois </v>
          </cell>
          <cell r="G594" t="str">
            <v>m'</v>
          </cell>
          <cell r="H594">
            <v>62175</v>
          </cell>
        </row>
        <row r="595">
          <cell r="F595" t="str">
            <v>Pipa PPR PN 10 ; DN. 1-1/2" (40 mm) + fitting &amp; aksesoris</v>
          </cell>
          <cell r="G595" t="str">
            <v>m'</v>
          </cell>
          <cell r="H595">
            <v>62500</v>
          </cell>
        </row>
        <row r="596">
          <cell r="F596" t="str">
            <v xml:space="preserve">Pipa PPR PN 10 Ø 2" + Aksesois </v>
          </cell>
          <cell r="G596" t="str">
            <v>m'</v>
          </cell>
          <cell r="H596">
            <v>95500</v>
          </cell>
        </row>
        <row r="597">
          <cell r="F597" t="str">
            <v>Pipa PPR PN 10 ; DN. 2" (50 mm) + fitting &amp; aksesoris</v>
          </cell>
          <cell r="G597" t="str">
            <v>m'</v>
          </cell>
          <cell r="H597">
            <v>96000</v>
          </cell>
        </row>
        <row r="598">
          <cell r="F598" t="str">
            <v xml:space="preserve">Pipa PPR PN 10 Ø 2-1/2" + Aksesois </v>
          </cell>
          <cell r="G598" t="str">
            <v>m'</v>
          </cell>
          <cell r="H598">
            <v>131625</v>
          </cell>
        </row>
        <row r="599">
          <cell r="F599" t="str">
            <v>Pipa PPR PN 10 ; DN. 2-1/2" (65 mm) + fitting &amp; aksesoris</v>
          </cell>
          <cell r="G599" t="str">
            <v>m'</v>
          </cell>
          <cell r="H599">
            <v>132000</v>
          </cell>
        </row>
        <row r="600">
          <cell r="F600" t="str">
            <v xml:space="preserve">Pipa PPR PN 10 Ø 3" + Aksesois </v>
          </cell>
          <cell r="G600" t="str">
            <v>m'</v>
          </cell>
          <cell r="H600">
            <v>183275</v>
          </cell>
        </row>
        <row r="601">
          <cell r="F601" t="str">
            <v>Pipa PPR PN 10 ; DN. 3" (80 mm) + fitting &amp; aksesoris</v>
          </cell>
          <cell r="G601" t="str">
            <v>m'</v>
          </cell>
          <cell r="H601">
            <v>183500</v>
          </cell>
        </row>
        <row r="602">
          <cell r="F602" t="str">
            <v xml:space="preserve">Pipa PPR PN 10 Ø 4" + Aksesois </v>
          </cell>
          <cell r="G602" t="str">
            <v>m'</v>
          </cell>
          <cell r="H602">
            <v>276425</v>
          </cell>
        </row>
        <row r="603">
          <cell r="F603" t="str">
            <v>Pipa PPR PN 10 ; DN. 4" (100 mm) + fitting &amp; aksesoris</v>
          </cell>
          <cell r="G603" t="str">
            <v>m'</v>
          </cell>
          <cell r="H603">
            <v>276600</v>
          </cell>
        </row>
        <row r="604">
          <cell r="F604" t="str">
            <v xml:space="preserve">Pipa PPR PN 10 Ø 6" + Aksesois </v>
          </cell>
          <cell r="G604" t="str">
            <v>m'</v>
          </cell>
          <cell r="H604">
            <v>930025</v>
          </cell>
        </row>
        <row r="605">
          <cell r="F605" t="str">
            <v>Pipa PPR PN 10 ; DN. 6" (150 mm) + fitting &amp; aksesoris</v>
          </cell>
          <cell r="G605" t="str">
            <v>m'</v>
          </cell>
          <cell r="H605">
            <v>930500</v>
          </cell>
        </row>
        <row r="606">
          <cell r="F606" t="str">
            <v xml:space="preserve">Pipa PPR PN 20 Ø 1/2" + Aksesois </v>
          </cell>
          <cell r="G606" t="str">
            <v>m'</v>
          </cell>
          <cell r="H606">
            <v>20325</v>
          </cell>
        </row>
        <row r="607">
          <cell r="F607" t="str">
            <v>Pipa PPR PN 20 ; DN. 1/2" (15 mm) + fitting &amp; aksesoris</v>
          </cell>
          <cell r="G607" t="str">
            <v>m'</v>
          </cell>
          <cell r="H607">
            <v>931000</v>
          </cell>
        </row>
        <row r="608">
          <cell r="F608" t="str">
            <v xml:space="preserve">Pipa PPR PN 20 Ø 3/4" + Aksesois </v>
          </cell>
          <cell r="G608" t="str">
            <v>m'</v>
          </cell>
          <cell r="H608">
            <v>28525</v>
          </cell>
        </row>
        <row r="609">
          <cell r="F609" t="str">
            <v>Pipa PPR PN 20 ; DN. 3/4" (20 mm) + fitting &amp; aksesoris</v>
          </cell>
          <cell r="G609" t="str">
            <v>m'</v>
          </cell>
          <cell r="H609">
            <v>29000</v>
          </cell>
        </row>
        <row r="610">
          <cell r="F610" t="str">
            <v xml:space="preserve">Pipa PPR PN 20 Ø 1" + Aksesois </v>
          </cell>
          <cell r="G610" t="str">
            <v>m'</v>
          </cell>
          <cell r="H610">
            <v>43675</v>
          </cell>
        </row>
        <row r="611">
          <cell r="F611" t="str">
            <v>Pipa PPR PN 20 ; DN. 1" (25 mm) + fitting &amp; aksesoris</v>
          </cell>
          <cell r="G611" t="str">
            <v>m'</v>
          </cell>
          <cell r="H611">
            <v>44000</v>
          </cell>
        </row>
        <row r="612">
          <cell r="F612" t="str">
            <v xml:space="preserve">Pipa PPR PN 20 Ø 1-1/4" + Aksesois </v>
          </cell>
          <cell r="G612" t="str">
            <v>m'</v>
          </cell>
          <cell r="H612">
            <v>64625</v>
          </cell>
        </row>
        <row r="613">
          <cell r="F613" t="str">
            <v>Pipa PPR PN 20 ; DN. 1-1/4" (32 mm) + fitting &amp; aksesoris</v>
          </cell>
          <cell r="G613" t="str">
            <v>m'</v>
          </cell>
          <cell r="H613">
            <v>65000</v>
          </cell>
        </row>
        <row r="614">
          <cell r="F614" t="str">
            <v xml:space="preserve">Pipa PPR PN 20 Ø 1-1/2" + Aksesois </v>
          </cell>
          <cell r="G614" t="str">
            <v>m'</v>
          </cell>
          <cell r="H614">
            <v>98175</v>
          </cell>
        </row>
        <row r="615">
          <cell r="F615" t="str">
            <v>Pipa PPR PN 20 ; DN. 1-1/2" (40 mm) + fitting &amp; aksesoris</v>
          </cell>
          <cell r="G615" t="str">
            <v>m'</v>
          </cell>
          <cell r="H615">
            <v>98500</v>
          </cell>
        </row>
        <row r="616">
          <cell r="F616" t="str">
            <v xml:space="preserve">Pipa PPR PN 20 Ø 2" + Aksesois </v>
          </cell>
          <cell r="G616" t="str">
            <v>m'</v>
          </cell>
          <cell r="H616">
            <v>152625</v>
          </cell>
        </row>
        <row r="617">
          <cell r="F617" t="str">
            <v>Pipa PPR PN 20 ; DN. 2" (50 mm) + fitting &amp; aksesoris</v>
          </cell>
          <cell r="G617" t="str">
            <v>m'</v>
          </cell>
          <cell r="H617">
            <v>153000</v>
          </cell>
        </row>
        <row r="618">
          <cell r="F618" t="str">
            <v xml:space="preserve">Pipa PPR PN 20 Ø 2-1/2" + Aksesois </v>
          </cell>
          <cell r="G618" t="str">
            <v>m'</v>
          </cell>
          <cell r="H618">
            <v>214000</v>
          </cell>
        </row>
        <row r="619">
          <cell r="F619" t="str">
            <v>Pipa PPR PN 20 ; DN. 2-1/2" (65 mm) + fitting &amp; aksesoris</v>
          </cell>
          <cell r="G619" t="str">
            <v>m'</v>
          </cell>
          <cell r="H619">
            <v>214500</v>
          </cell>
        </row>
        <row r="620">
          <cell r="F620" t="str">
            <v xml:space="preserve">Pipa PPR PN 20 Ø 3" + Aksesois </v>
          </cell>
          <cell r="G620" t="str">
            <v>m'</v>
          </cell>
          <cell r="H620">
            <v>305375</v>
          </cell>
        </row>
        <row r="621">
          <cell r="F621" t="str">
            <v>Pipa PPR PN 20 ; DN. 3" (80 mm) + fitting &amp; aksesoris</v>
          </cell>
          <cell r="G621" t="str">
            <v>m'</v>
          </cell>
          <cell r="H621">
            <v>305500</v>
          </cell>
        </row>
        <row r="622">
          <cell r="F622" t="str">
            <v xml:space="preserve">Pipa PPR PN 20 Ø 4" + Aksesois </v>
          </cell>
          <cell r="G622" t="str">
            <v>m'</v>
          </cell>
          <cell r="H622">
            <v>453900</v>
          </cell>
        </row>
        <row r="623">
          <cell r="F623" t="str">
            <v>Pipa PPR PN 20 ; DN. 4" (100 mm) + fitting &amp; aksesoris</v>
          </cell>
          <cell r="G623" t="str">
            <v>m'</v>
          </cell>
          <cell r="H623">
            <v>454000</v>
          </cell>
        </row>
        <row r="624">
          <cell r="F624" t="str">
            <v xml:space="preserve">Pipa PPR PN 20 Ø 6" + Aksesois </v>
          </cell>
          <cell r="G624" t="str">
            <v>m'</v>
          </cell>
          <cell r="H624">
            <v>1534825</v>
          </cell>
        </row>
        <row r="625">
          <cell r="F625" t="str">
            <v>Pipa PPR PN 20 ; DN. 6" (150 mm) + fitting &amp; akseso</v>
          </cell>
          <cell r="G625" t="str">
            <v>m'</v>
          </cell>
          <cell r="H625">
            <v>1535000</v>
          </cell>
        </row>
        <row r="626">
          <cell r="F626" t="str">
            <v xml:space="preserve">Pipa BS Ø 1/2" + Aksesois </v>
          </cell>
          <cell r="G626" t="str">
            <v>m'</v>
          </cell>
          <cell r="H626">
            <v>30000</v>
          </cell>
        </row>
        <row r="627">
          <cell r="F627" t="str">
            <v>Pipa BS MED CLASS ; DN. 1/2" (15 mm) + fitting &amp; aksesoris</v>
          </cell>
          <cell r="G627" t="str">
            <v>m'</v>
          </cell>
          <cell r="H627">
            <v>30500</v>
          </cell>
        </row>
        <row r="628">
          <cell r="F628" t="str">
            <v xml:space="preserve">Pipa BS Ø 3/4" + Aksesois </v>
          </cell>
          <cell r="G628" t="str">
            <v>m'</v>
          </cell>
          <cell r="H628">
            <v>37000</v>
          </cell>
        </row>
        <row r="629">
          <cell r="F629" t="str">
            <v>Pipa BS MED CLASS ; DN. 3/4" (20 mm) + fitting &amp; aksesoris</v>
          </cell>
          <cell r="G629" t="str">
            <v>m'</v>
          </cell>
          <cell r="H629">
            <v>37500</v>
          </cell>
        </row>
        <row r="630">
          <cell r="F630" t="str">
            <v xml:space="preserve">Pipa BS Ø 1" + Aksesois </v>
          </cell>
          <cell r="G630" t="str">
            <v>m'</v>
          </cell>
          <cell r="H630">
            <v>52500</v>
          </cell>
        </row>
        <row r="631">
          <cell r="F631" t="str">
            <v>Pipa BS MED CLASS ; DN. 1" (25 mm) + fitting &amp; aksesoris</v>
          </cell>
          <cell r="G631" t="str">
            <v>m'</v>
          </cell>
          <cell r="H631">
            <v>53000</v>
          </cell>
        </row>
        <row r="632">
          <cell r="F632" t="str">
            <v xml:space="preserve">Pipa BS Ø 1-1/4" + Aksesois </v>
          </cell>
          <cell r="G632" t="str">
            <v>m'</v>
          </cell>
          <cell r="H632">
            <v>67500</v>
          </cell>
        </row>
        <row r="633">
          <cell r="F633" t="str">
            <v>Pipa BS MED CLASS DN. 1-1/4" (32 mm) + fitting &amp; aksesoris</v>
          </cell>
          <cell r="G633" t="str">
            <v>m'</v>
          </cell>
          <cell r="H633">
            <v>68000</v>
          </cell>
        </row>
        <row r="634">
          <cell r="F634" t="str">
            <v xml:space="preserve">Pipa BS Ø 1-1/2" + Aksesois </v>
          </cell>
          <cell r="G634" t="str">
            <v>m'</v>
          </cell>
          <cell r="H634">
            <v>76666.666666666672</v>
          </cell>
        </row>
        <row r="635">
          <cell r="F635" t="str">
            <v>Pipa BS MED CLASS DN. 1-1/2" (40 mm) + fitting &amp; aksesoris</v>
          </cell>
          <cell r="G635" t="str">
            <v>m'</v>
          </cell>
          <cell r="H635">
            <v>77000</v>
          </cell>
        </row>
        <row r="636">
          <cell r="F636" t="str">
            <v xml:space="preserve">Pipa BS Ø 2" + Aksesois </v>
          </cell>
          <cell r="G636" t="str">
            <v>m'</v>
          </cell>
          <cell r="H636">
            <v>102666.66666666667</v>
          </cell>
        </row>
        <row r="637">
          <cell r="F637" t="str">
            <v>Pipa BS MED CLASS ; DN. 2" (50 mm) + fitting &amp; aksesoris</v>
          </cell>
          <cell r="G637" t="str">
            <v>m'</v>
          </cell>
          <cell r="H637">
            <v>103000</v>
          </cell>
        </row>
        <row r="638">
          <cell r="F638" t="str">
            <v xml:space="preserve">Pipa BS Ø 2-1/2" + Aksesois </v>
          </cell>
          <cell r="G638" t="str">
            <v>m'</v>
          </cell>
          <cell r="H638">
            <v>129333.33333333333</v>
          </cell>
        </row>
        <row r="639">
          <cell r="F639" t="str">
            <v>Pipa BS MED CLASS DN. 2-1/2" (65 mm) + fitting &amp; aksesoris</v>
          </cell>
          <cell r="G639" t="str">
            <v>m'</v>
          </cell>
          <cell r="H639">
            <v>130000</v>
          </cell>
        </row>
        <row r="640">
          <cell r="F640" t="str">
            <v xml:space="preserve">Pipa BS  Ø 3" + Aksesois </v>
          </cell>
          <cell r="G640" t="str">
            <v>m'</v>
          </cell>
          <cell r="H640">
            <v>165500</v>
          </cell>
        </row>
        <row r="641">
          <cell r="F641" t="str">
            <v>Pipa BS MED CLASS ; DN. 3" (80 mm) + fitting &amp; aksesoris</v>
          </cell>
          <cell r="G641" t="str">
            <v>m'</v>
          </cell>
          <cell r="H641">
            <v>166000</v>
          </cell>
        </row>
        <row r="642">
          <cell r="F642" t="str">
            <v xml:space="preserve">Pipa BS Ø 4" + Aksesois </v>
          </cell>
          <cell r="G642" t="str">
            <v>m'</v>
          </cell>
          <cell r="H642">
            <v>237166.66666666666</v>
          </cell>
        </row>
        <row r="643">
          <cell r="F643" t="str">
            <v>Pipa BS MED CLASS ; DN. 4" (100 mm) + fitting &amp; aksesoris</v>
          </cell>
          <cell r="G643" t="str">
            <v>m'</v>
          </cell>
          <cell r="H643">
            <v>237500</v>
          </cell>
        </row>
        <row r="644">
          <cell r="F644" t="str">
            <v xml:space="preserve">Pipa BS Ø 5" + Aksesois </v>
          </cell>
          <cell r="G644" t="str">
            <v>m'</v>
          </cell>
          <cell r="H644">
            <v>317166.66666666669</v>
          </cell>
        </row>
        <row r="645">
          <cell r="F645" t="str">
            <v>Pipa BS MED CLASS ; DN. 5" (125 mm) + fitting &amp; aksesoris</v>
          </cell>
          <cell r="G645" t="str">
            <v>m'</v>
          </cell>
          <cell r="H645">
            <v>317500</v>
          </cell>
        </row>
        <row r="646">
          <cell r="F646" t="str">
            <v xml:space="preserve">Pipa BS Ø 6" + Aksesois </v>
          </cell>
          <cell r="G646" t="str">
            <v>m'</v>
          </cell>
          <cell r="H646">
            <v>376500</v>
          </cell>
        </row>
        <row r="647">
          <cell r="F647" t="str">
            <v>Pipa BS MED CLASS ; DN. 6" (150 mm) + fitting &amp; aksesoris</v>
          </cell>
          <cell r="G647" t="str">
            <v>m'</v>
          </cell>
          <cell r="H647">
            <v>377000</v>
          </cell>
        </row>
        <row r="648">
          <cell r="F648" t="str">
            <v xml:space="preserve">Pipa BS Ø 8" + Aksesois </v>
          </cell>
          <cell r="G648" t="str">
            <v>m'</v>
          </cell>
          <cell r="H648">
            <v>663000</v>
          </cell>
        </row>
        <row r="649">
          <cell r="F649" t="str">
            <v>Pipa BS MED CLASS ; DN. 8" (200 mm) + fitting &amp; aksesoris</v>
          </cell>
          <cell r="G649" t="str">
            <v>m'</v>
          </cell>
          <cell r="H649">
            <v>663500</v>
          </cell>
        </row>
        <row r="650">
          <cell r="F650" t="str">
            <v>Pipa BS MED CLASS ; DN. 10" (250 mm) + fitting &amp; aksesoris</v>
          </cell>
          <cell r="G650" t="str">
            <v>m'</v>
          </cell>
          <cell r="H650">
            <v>756000</v>
          </cell>
        </row>
        <row r="651">
          <cell r="F651" t="str">
            <v xml:space="preserve">Pipa BS Ø 10" + Aksesois </v>
          </cell>
          <cell r="G651" t="str">
            <v>m'</v>
          </cell>
          <cell r="H651">
            <v>755916.66666666663</v>
          </cell>
        </row>
        <row r="652">
          <cell r="F652" t="str">
            <v>Pipa BS MED CLASS ; DN. 12" (300 mm) + fitting &amp; aksesoris</v>
          </cell>
          <cell r="G652" t="str">
            <v>m'</v>
          </cell>
          <cell r="H652">
            <v>883000</v>
          </cell>
        </row>
        <row r="653">
          <cell r="F653" t="str">
            <v xml:space="preserve">Pipa BS Ø 12" + Aksesois </v>
          </cell>
          <cell r="G653" t="str">
            <v>m'</v>
          </cell>
          <cell r="H653">
            <v>882666.66666666663</v>
          </cell>
        </row>
        <row r="654">
          <cell r="F654" t="str">
            <v>Pipa BS MED CLASS ; DN. 14" (350 mm) + fitting &amp; aksesoris</v>
          </cell>
          <cell r="G654" t="str">
            <v>m'</v>
          </cell>
          <cell r="H654">
            <v>1086000</v>
          </cell>
        </row>
        <row r="655">
          <cell r="F655" t="str">
            <v xml:space="preserve">Pipa BS Ø 14" + Aksesois </v>
          </cell>
          <cell r="G655" t="str">
            <v>m'</v>
          </cell>
          <cell r="H655">
            <v>1085500</v>
          </cell>
        </row>
        <row r="656">
          <cell r="F656" t="str">
            <v>Pipa BS MED CLASS ; DN. 16" (400 mm) + fitting &amp; aksesoris</v>
          </cell>
          <cell r="G656" t="str">
            <v>m'</v>
          </cell>
          <cell r="H656">
            <v>1241000</v>
          </cell>
        </row>
        <row r="657">
          <cell r="F657" t="str">
            <v xml:space="preserve">Pipa BS Ø 16" + Aksesois </v>
          </cell>
          <cell r="G657" t="str">
            <v>m'</v>
          </cell>
          <cell r="H657">
            <v>1240500</v>
          </cell>
        </row>
        <row r="658">
          <cell r="F658" t="str">
            <v>Pipa BS SCH 40 ; DN. 1/2" (15 mm) + fitting &amp; aksesoris</v>
          </cell>
          <cell r="G658" t="str">
            <v>m'</v>
          </cell>
          <cell r="H658">
            <v>250000</v>
          </cell>
        </row>
        <row r="659">
          <cell r="F659" t="str">
            <v>Pipa BS SCH 40 ; DN. 3/4" (20 mm) + fitting &amp; aksesoris</v>
          </cell>
          <cell r="G659" t="str">
            <v>m'</v>
          </cell>
          <cell r="H659">
            <v>260000</v>
          </cell>
        </row>
        <row r="660">
          <cell r="F660" t="str">
            <v>Pipa BS SCH 40 ; DN. 1-1/4" (32 mm) + fitting &amp; aksesoris</v>
          </cell>
          <cell r="G660" t="str">
            <v>m'</v>
          </cell>
          <cell r="H660">
            <v>270000</v>
          </cell>
        </row>
        <row r="661">
          <cell r="F661" t="str">
            <v>Pipa BS SCH 40 ; DN. 1-1/2" (40 mm) + fitting &amp; aksesoris</v>
          </cell>
          <cell r="G661" t="str">
            <v>m'</v>
          </cell>
          <cell r="H661">
            <v>280000</v>
          </cell>
        </row>
        <row r="662">
          <cell r="F662" t="str">
            <v>Pipa BS SCH 40 ; DN. 2" (50 mm) + fitting &amp; aksesoris</v>
          </cell>
          <cell r="G662" t="str">
            <v>m'</v>
          </cell>
          <cell r="H662">
            <v>290000</v>
          </cell>
        </row>
        <row r="663">
          <cell r="F663" t="str">
            <v>Pipa BS SCH 40 ; DN. 2-1/2" (65 mm) + fitting &amp; aksesoris</v>
          </cell>
          <cell r="G663" t="str">
            <v>m'</v>
          </cell>
          <cell r="H663">
            <v>300000</v>
          </cell>
        </row>
        <row r="664">
          <cell r="F664" t="str">
            <v>Pipa BS SCH 40 ; DN. 3" (80 mm) + fitting &amp; aksesoris</v>
          </cell>
          <cell r="G664" t="str">
            <v>m'</v>
          </cell>
          <cell r="H664">
            <v>310000</v>
          </cell>
        </row>
        <row r="665">
          <cell r="F665" t="str">
            <v>Pipa BS SCH 40 ; DN. 4" (100 mm) + fitting &amp; aksesoris</v>
          </cell>
          <cell r="G665" t="str">
            <v>m'</v>
          </cell>
          <cell r="H665">
            <v>320000</v>
          </cell>
        </row>
        <row r="666">
          <cell r="F666" t="str">
            <v>Pipa BS SCH 40 ; DN. 5" (125 mm) + fitting &amp; aksesoris</v>
          </cell>
          <cell r="G666" t="str">
            <v>m'</v>
          </cell>
          <cell r="H666">
            <v>330000</v>
          </cell>
        </row>
        <row r="667">
          <cell r="F667" t="str">
            <v>Pipa BS SCH 40 ; DN. 6" (150 mm) + fitting &amp; aksesoris</v>
          </cell>
          <cell r="G667" t="str">
            <v>m'</v>
          </cell>
          <cell r="H667">
            <v>340000</v>
          </cell>
        </row>
        <row r="668">
          <cell r="F668" t="str">
            <v>Pipa BS SCH 40 ; DN. 8" (200 mm) + fitting &amp; aksesoris</v>
          </cell>
          <cell r="G668" t="str">
            <v>m'</v>
          </cell>
          <cell r="H668">
            <v>350000</v>
          </cell>
        </row>
        <row r="669">
          <cell r="F669" t="str">
            <v>Pipa BS SCH 40 ; DN. 10" (250 mm) + fitting &amp; aksesoris</v>
          </cell>
          <cell r="G669" t="str">
            <v>m'</v>
          </cell>
          <cell r="H669">
            <v>360000</v>
          </cell>
        </row>
        <row r="670">
          <cell r="F670" t="str">
            <v>Pipa BS SCH 40 ; DN. 12" (300 mm) + fitting &amp; aksesoris</v>
          </cell>
          <cell r="G670" t="str">
            <v>m'</v>
          </cell>
          <cell r="H670">
            <v>370000</v>
          </cell>
        </row>
        <row r="671">
          <cell r="F671" t="str">
            <v>Pipa BS SCH 40 ; DN. 14" (350 mm) + fitting &amp; aksesoris</v>
          </cell>
          <cell r="G671" t="str">
            <v>m'</v>
          </cell>
          <cell r="H671">
            <v>380000</v>
          </cell>
        </row>
        <row r="672">
          <cell r="F672" t="str">
            <v>Pipa BS SCH 40 ; DN. 16" (400 mm) + fitting &amp; aksesoris</v>
          </cell>
          <cell r="G672" t="str">
            <v>m'</v>
          </cell>
          <cell r="H672">
            <v>390000</v>
          </cell>
        </row>
        <row r="673">
          <cell r="F673" t="str">
            <v>Pipa Tanah, DN. 6" (150 mm</v>
          </cell>
          <cell r="G673" t="str">
            <v>m'</v>
          </cell>
          <cell r="H673">
            <v>187500</v>
          </cell>
        </row>
        <row r="674">
          <cell r="F674" t="str">
            <v>Pipa Tanah, DN. 8" (200 mm)</v>
          </cell>
          <cell r="G674" t="str">
            <v>m'</v>
          </cell>
          <cell r="H674">
            <v>205000</v>
          </cell>
        </row>
        <row r="675">
          <cell r="F675" t="str">
            <v>Gate Valve dia. 1/2"</v>
          </cell>
          <cell r="G675" t="str">
            <v xml:space="preserve">unit </v>
          </cell>
          <cell r="H675">
            <v>1500000</v>
          </cell>
        </row>
        <row r="676">
          <cell r="F676" t="str">
            <v>Gate Valve dia. 3/4"</v>
          </cell>
          <cell r="G676" t="str">
            <v xml:space="preserve">unit </v>
          </cell>
          <cell r="H676">
            <v>1700000</v>
          </cell>
        </row>
        <row r="677">
          <cell r="F677" t="str">
            <v>Gate Valve dia. 1"</v>
          </cell>
          <cell r="G677" t="str">
            <v xml:space="preserve">unit </v>
          </cell>
          <cell r="H677">
            <v>1900000</v>
          </cell>
        </row>
        <row r="678">
          <cell r="F678" t="str">
            <v>Gate Valve dia. 1-1/4"</v>
          </cell>
          <cell r="G678" t="str">
            <v xml:space="preserve">unit </v>
          </cell>
          <cell r="H678">
            <v>2050000</v>
          </cell>
        </row>
        <row r="679">
          <cell r="F679" t="str">
            <v>Gate Valve dia. 1-1/2"</v>
          </cell>
          <cell r="G679" t="str">
            <v xml:space="preserve">unit </v>
          </cell>
          <cell r="H679">
            <v>2125000</v>
          </cell>
        </row>
        <row r="680">
          <cell r="F680" t="str">
            <v>Gate Valve dia.2"</v>
          </cell>
          <cell r="G680" t="str">
            <v xml:space="preserve">unit </v>
          </cell>
          <cell r="H680">
            <v>2315000</v>
          </cell>
        </row>
        <row r="681">
          <cell r="F681" t="str">
            <v>Gate Valve dia.2-1/2"</v>
          </cell>
          <cell r="G681" t="str">
            <v xml:space="preserve">unit </v>
          </cell>
          <cell r="H681">
            <v>2475000</v>
          </cell>
        </row>
        <row r="682">
          <cell r="F682" t="str">
            <v>Gate Valve dia.3"</v>
          </cell>
          <cell r="G682" t="str">
            <v xml:space="preserve">unit </v>
          </cell>
          <cell r="H682">
            <v>2750000</v>
          </cell>
        </row>
        <row r="683">
          <cell r="F683" t="str">
            <v>Gate Valve dia.4"</v>
          </cell>
          <cell r="G683" t="str">
            <v xml:space="preserve">unit </v>
          </cell>
          <cell r="H683">
            <v>2995000</v>
          </cell>
        </row>
        <row r="684">
          <cell r="F684" t="str">
            <v>Gate Valve dia.5"</v>
          </cell>
          <cell r="G684" t="str">
            <v xml:space="preserve">unit </v>
          </cell>
          <cell r="H684">
            <v>3250000</v>
          </cell>
        </row>
        <row r="685">
          <cell r="F685" t="str">
            <v>Gate Valve dia.6"</v>
          </cell>
          <cell r="G685" t="str">
            <v xml:space="preserve">unit </v>
          </cell>
          <cell r="H685">
            <v>3570000</v>
          </cell>
        </row>
        <row r="686">
          <cell r="F686" t="str">
            <v>Gate Valve dia.8"</v>
          </cell>
          <cell r="G686" t="str">
            <v xml:space="preserve">unit </v>
          </cell>
          <cell r="H686">
            <v>3950000</v>
          </cell>
        </row>
        <row r="687">
          <cell r="F687" t="str">
            <v>Gate Valve dia.10"</v>
          </cell>
          <cell r="G687" t="str">
            <v xml:space="preserve">unit </v>
          </cell>
          <cell r="H687">
            <v>4210000</v>
          </cell>
        </row>
        <row r="688">
          <cell r="F688" t="str">
            <v>Gate Valve dia.12"</v>
          </cell>
          <cell r="G688" t="str">
            <v xml:space="preserve">unit </v>
          </cell>
          <cell r="H688">
            <v>4520000</v>
          </cell>
        </row>
        <row r="689">
          <cell r="F689" t="str">
            <v>Gate Valve dia.6"</v>
          </cell>
          <cell r="G689" t="str">
            <v xml:space="preserve">unit </v>
          </cell>
          <cell r="H689">
            <v>5750000</v>
          </cell>
        </row>
        <row r="690">
          <cell r="F690" t="str">
            <v>Ball Velve dia. 1/2"</v>
          </cell>
          <cell r="G690" t="str">
            <v xml:space="preserve">unit </v>
          </cell>
          <cell r="H690">
            <v>25000</v>
          </cell>
        </row>
        <row r="691">
          <cell r="F691" t="str">
            <v>Ball Velve dia. 3/4"</v>
          </cell>
          <cell r="G691" t="str">
            <v xml:space="preserve">unit </v>
          </cell>
          <cell r="H691">
            <v>36750</v>
          </cell>
        </row>
        <row r="692">
          <cell r="F692" t="str">
            <v>Ball Velve dia. 1"</v>
          </cell>
          <cell r="G692" t="str">
            <v xml:space="preserve">unit </v>
          </cell>
          <cell r="H692">
            <v>46100</v>
          </cell>
        </row>
        <row r="693">
          <cell r="F693" t="str">
            <v>Ball Velve dia. 1-1/4"</v>
          </cell>
          <cell r="G693" t="str">
            <v xml:space="preserve">unit </v>
          </cell>
          <cell r="H693">
            <v>68000</v>
          </cell>
        </row>
        <row r="694">
          <cell r="F694" t="str">
            <v>Ball Velve dia. 1-1/2"</v>
          </cell>
          <cell r="G694" t="str">
            <v xml:space="preserve">unit </v>
          </cell>
          <cell r="H694">
            <v>79000</v>
          </cell>
        </row>
        <row r="695">
          <cell r="F695" t="str">
            <v>Ball Velve dia. 2"</v>
          </cell>
          <cell r="G695" t="str">
            <v xml:space="preserve">unit </v>
          </cell>
          <cell r="H695">
            <v>118000</v>
          </cell>
        </row>
        <row r="696">
          <cell r="F696" t="str">
            <v>Ball Velve dia. 2-1/2"</v>
          </cell>
          <cell r="G696" t="str">
            <v xml:space="preserve">unit </v>
          </cell>
          <cell r="H696">
            <v>145000</v>
          </cell>
        </row>
        <row r="697">
          <cell r="F697" t="str">
            <v>Ball Velve dia. 3"</v>
          </cell>
          <cell r="G697" t="str">
            <v xml:space="preserve">unit </v>
          </cell>
          <cell r="H697">
            <v>215000</v>
          </cell>
        </row>
        <row r="698">
          <cell r="F698" t="str">
            <v>Ball Velve dia. 4"</v>
          </cell>
          <cell r="G698" t="str">
            <v xml:space="preserve">unit </v>
          </cell>
          <cell r="H698">
            <v>233300</v>
          </cell>
        </row>
        <row r="699">
          <cell r="F699" t="str">
            <v>Check Velve dia. 1/2"</v>
          </cell>
          <cell r="G699" t="str">
            <v xml:space="preserve">unit </v>
          </cell>
          <cell r="H699">
            <v>39000</v>
          </cell>
        </row>
        <row r="700">
          <cell r="F700" t="str">
            <v>Check Velve dia. 3/4"</v>
          </cell>
          <cell r="G700" t="str">
            <v xml:space="preserve">unit </v>
          </cell>
          <cell r="H700">
            <v>59000</v>
          </cell>
        </row>
        <row r="701">
          <cell r="F701" t="str">
            <v>Check Velve dia. 1"</v>
          </cell>
          <cell r="G701" t="str">
            <v xml:space="preserve">unit </v>
          </cell>
          <cell r="H701">
            <v>88350</v>
          </cell>
        </row>
        <row r="702">
          <cell r="F702" t="str">
            <v>Check Velve dia. 1-1/4"</v>
          </cell>
          <cell r="G702" t="str">
            <v xml:space="preserve">unit </v>
          </cell>
          <cell r="H702">
            <v>110960</v>
          </cell>
        </row>
        <row r="703">
          <cell r="F703" t="str">
            <v>Check Velve dia. 1-1/2"</v>
          </cell>
          <cell r="G703" t="str">
            <v xml:space="preserve">unit </v>
          </cell>
          <cell r="H703">
            <v>148960</v>
          </cell>
        </row>
        <row r="704">
          <cell r="F704" t="str">
            <v>Check Velve dia. 2"</v>
          </cell>
          <cell r="G704" t="str">
            <v xml:space="preserve">unit </v>
          </cell>
          <cell r="H704">
            <v>215460</v>
          </cell>
        </row>
        <row r="705">
          <cell r="F705" t="str">
            <v>Check Velve dia. 2-1/2"</v>
          </cell>
          <cell r="G705" t="str">
            <v xml:space="preserve">unit </v>
          </cell>
          <cell r="H705">
            <v>265000</v>
          </cell>
        </row>
        <row r="706">
          <cell r="F706" t="str">
            <v>Check Velve dia. 3"</v>
          </cell>
          <cell r="G706" t="str">
            <v xml:space="preserve">unit </v>
          </cell>
          <cell r="H706">
            <v>587000</v>
          </cell>
        </row>
        <row r="707">
          <cell r="F707" t="str">
            <v>Check Velve dia. 4"</v>
          </cell>
          <cell r="G707" t="str">
            <v xml:space="preserve">unit </v>
          </cell>
          <cell r="H707">
            <v>1440000</v>
          </cell>
        </row>
        <row r="708">
          <cell r="F708" t="str">
            <v>Check Velve dia. 5"</v>
          </cell>
          <cell r="G708" t="str">
            <v xml:space="preserve">unit </v>
          </cell>
          <cell r="H708">
            <v>2750000</v>
          </cell>
        </row>
        <row r="709">
          <cell r="F709" t="str">
            <v>Check Velve dia. 6"</v>
          </cell>
          <cell r="G709" t="str">
            <v xml:space="preserve">unit </v>
          </cell>
          <cell r="H709">
            <v>3050000</v>
          </cell>
        </row>
        <row r="710">
          <cell r="F710" t="str">
            <v>Check Velve dia. 8"</v>
          </cell>
          <cell r="G710" t="str">
            <v xml:space="preserve">unit </v>
          </cell>
          <cell r="H710">
            <v>3470000</v>
          </cell>
        </row>
        <row r="711">
          <cell r="F711" t="str">
            <v>Check Velve dia. 10"</v>
          </cell>
          <cell r="G711" t="str">
            <v xml:space="preserve">unit </v>
          </cell>
          <cell r="H711">
            <v>3680000</v>
          </cell>
        </row>
        <row r="712">
          <cell r="F712" t="str">
            <v>Check Velve dia. 12"</v>
          </cell>
          <cell r="G712" t="str">
            <v xml:space="preserve">unit </v>
          </cell>
          <cell r="H712">
            <v>3970000</v>
          </cell>
        </row>
        <row r="713">
          <cell r="F713" t="str">
            <v>Strainer dia. 1/2"</v>
          </cell>
          <cell r="G713" t="str">
            <v xml:space="preserve">unit </v>
          </cell>
          <cell r="H713">
            <v>36000</v>
          </cell>
        </row>
        <row r="714">
          <cell r="F714" t="str">
            <v>Strainer dia. 3/4"</v>
          </cell>
          <cell r="G714" t="str">
            <v xml:space="preserve">unit </v>
          </cell>
          <cell r="H714">
            <v>47000</v>
          </cell>
        </row>
        <row r="715">
          <cell r="F715" t="str">
            <v>Strainer dia. 1"</v>
          </cell>
          <cell r="G715" t="str">
            <v xml:space="preserve">unit </v>
          </cell>
          <cell r="H715">
            <v>59000</v>
          </cell>
        </row>
        <row r="716">
          <cell r="F716" t="str">
            <v>Strainer dia. 1-1/4"</v>
          </cell>
          <cell r="G716" t="str">
            <v xml:space="preserve">unit </v>
          </cell>
          <cell r="H716">
            <v>95600</v>
          </cell>
        </row>
        <row r="717">
          <cell r="F717" t="str">
            <v>Strainer dia. 1-1/2"</v>
          </cell>
          <cell r="G717" t="str">
            <v xml:space="preserve">unit </v>
          </cell>
          <cell r="H717">
            <v>143000</v>
          </cell>
        </row>
        <row r="718">
          <cell r="F718" t="str">
            <v>Strainer dia. 2"</v>
          </cell>
          <cell r="G718" t="str">
            <v xml:space="preserve">unit </v>
          </cell>
          <cell r="H718">
            <v>303600</v>
          </cell>
        </row>
        <row r="719">
          <cell r="F719" t="str">
            <v>Strainer dia. 2-1/2"</v>
          </cell>
          <cell r="G719" t="str">
            <v xml:space="preserve">unit </v>
          </cell>
          <cell r="H719">
            <v>415600</v>
          </cell>
        </row>
        <row r="720">
          <cell r="F720" t="str">
            <v>Strainer dia. 3"</v>
          </cell>
          <cell r="G720" t="str">
            <v xml:space="preserve">unit </v>
          </cell>
          <cell r="H720">
            <v>552000</v>
          </cell>
        </row>
        <row r="721">
          <cell r="F721" t="str">
            <v>Strainer dia. 4"</v>
          </cell>
          <cell r="G721" t="str">
            <v xml:space="preserve">unit </v>
          </cell>
          <cell r="H721">
            <v>809600</v>
          </cell>
        </row>
        <row r="722">
          <cell r="F722" t="str">
            <v>Strainer dia. 5"</v>
          </cell>
          <cell r="G722" t="str">
            <v xml:space="preserve">unit </v>
          </cell>
          <cell r="H722">
            <v>873000</v>
          </cell>
        </row>
        <row r="723">
          <cell r="F723" t="str">
            <v>Strainer dia. 6"</v>
          </cell>
          <cell r="G723" t="str">
            <v xml:space="preserve">unit </v>
          </cell>
          <cell r="H723">
            <v>970500</v>
          </cell>
        </row>
        <row r="724">
          <cell r="F724" t="str">
            <v>Strainer dia. 8"</v>
          </cell>
          <cell r="G724" t="str">
            <v xml:space="preserve">unit </v>
          </cell>
          <cell r="H724">
            <v>1260000</v>
          </cell>
        </row>
        <row r="725">
          <cell r="F725" t="str">
            <v>Strainer dia. 10"</v>
          </cell>
          <cell r="G725" t="str">
            <v xml:space="preserve">unit </v>
          </cell>
          <cell r="H725">
            <v>1540000</v>
          </cell>
        </row>
        <row r="726">
          <cell r="F726" t="str">
            <v>Strainer dia. 12"</v>
          </cell>
          <cell r="G726" t="str">
            <v xml:space="preserve">unit </v>
          </cell>
          <cell r="H726">
            <v>1670000</v>
          </cell>
        </row>
        <row r="727">
          <cell r="F727" t="str">
            <v>Strainer dia. 14"</v>
          </cell>
          <cell r="G727" t="str">
            <v xml:space="preserve">unit </v>
          </cell>
          <cell r="H727">
            <v>1820000</v>
          </cell>
        </row>
        <row r="728">
          <cell r="F728" t="str">
            <v>Floater Velve dia. 1/2"</v>
          </cell>
          <cell r="G728" t="str">
            <v xml:space="preserve">unit </v>
          </cell>
          <cell r="H728">
            <v>221000</v>
          </cell>
        </row>
        <row r="729">
          <cell r="F729" t="str">
            <v>Floater Velve dia. 3/4"</v>
          </cell>
          <cell r="G729" t="str">
            <v xml:space="preserve">unit </v>
          </cell>
          <cell r="H729">
            <v>250000</v>
          </cell>
        </row>
        <row r="730">
          <cell r="F730" t="str">
            <v>Floater Velve dia. 1"</v>
          </cell>
          <cell r="G730" t="str">
            <v xml:space="preserve">unit </v>
          </cell>
          <cell r="H730">
            <v>375000</v>
          </cell>
        </row>
        <row r="731">
          <cell r="F731" t="str">
            <v>Floater Velve dia. 1-1/4"</v>
          </cell>
          <cell r="G731" t="str">
            <v xml:space="preserve">unit </v>
          </cell>
          <cell r="H731">
            <v>485000</v>
          </cell>
        </row>
        <row r="732">
          <cell r="F732" t="str">
            <v>Floater Velve dia. 1-1/2"</v>
          </cell>
          <cell r="G732" t="str">
            <v xml:space="preserve">unit </v>
          </cell>
          <cell r="H732">
            <v>630000</v>
          </cell>
        </row>
        <row r="733">
          <cell r="F733" t="str">
            <v>Floater Velve dia. 2"</v>
          </cell>
          <cell r="G733" t="str">
            <v xml:space="preserve">unit </v>
          </cell>
          <cell r="H733">
            <v>870000</v>
          </cell>
        </row>
        <row r="734">
          <cell r="F734" t="str">
            <v>Floater Velve dia. 2-1/2"</v>
          </cell>
          <cell r="G734" t="str">
            <v xml:space="preserve">unit </v>
          </cell>
          <cell r="H734">
            <v>980000</v>
          </cell>
        </row>
        <row r="735">
          <cell r="F735" t="str">
            <v>Floater Velve dia. 3"</v>
          </cell>
          <cell r="G735" t="str">
            <v xml:space="preserve">unit </v>
          </cell>
          <cell r="H735">
            <v>1170000</v>
          </cell>
        </row>
        <row r="736">
          <cell r="F736" t="str">
            <v>Floater Velve dia. 4"</v>
          </cell>
          <cell r="G736" t="str">
            <v xml:space="preserve">unit </v>
          </cell>
          <cell r="H736">
            <v>1370000</v>
          </cell>
        </row>
        <row r="737">
          <cell r="F737" t="str">
            <v>Floater Velve dia. 5"</v>
          </cell>
          <cell r="G737" t="str">
            <v xml:space="preserve">unit </v>
          </cell>
          <cell r="H737">
            <v>1520000</v>
          </cell>
        </row>
        <row r="738">
          <cell r="F738" t="str">
            <v>Floater Velve dia. 6"</v>
          </cell>
          <cell r="G738" t="str">
            <v xml:space="preserve">unit </v>
          </cell>
          <cell r="H738">
            <v>1740000</v>
          </cell>
        </row>
        <row r="739">
          <cell r="F739" t="str">
            <v>Floater Velve dia. 8"</v>
          </cell>
          <cell r="G739" t="str">
            <v xml:space="preserve">unit </v>
          </cell>
          <cell r="H739">
            <v>1960000</v>
          </cell>
        </row>
        <row r="740">
          <cell r="F740" t="str">
            <v>Floater Velve dia. 10"</v>
          </cell>
          <cell r="G740" t="str">
            <v xml:space="preserve">unit </v>
          </cell>
          <cell r="H740">
            <v>2130000</v>
          </cell>
        </row>
        <row r="741">
          <cell r="F741" t="str">
            <v>Floater Velve dia. 12"</v>
          </cell>
          <cell r="G741" t="str">
            <v xml:space="preserve">unit </v>
          </cell>
          <cell r="H741">
            <v>2480000</v>
          </cell>
        </row>
        <row r="742">
          <cell r="F742" t="str">
            <v>Foot Velve dia. 1/2"</v>
          </cell>
          <cell r="G742" t="str">
            <v xml:space="preserve">unit </v>
          </cell>
          <cell r="H742">
            <v>21450</v>
          </cell>
        </row>
        <row r="743">
          <cell r="F743" t="str">
            <v>Foot Velve dia. 3/4"</v>
          </cell>
          <cell r="G743" t="str">
            <v xml:space="preserve">unit </v>
          </cell>
          <cell r="H743">
            <v>69400</v>
          </cell>
        </row>
        <row r="744">
          <cell r="F744" t="str">
            <v>Foot Velve dia. 1"</v>
          </cell>
          <cell r="G744" t="str">
            <v xml:space="preserve">unit </v>
          </cell>
          <cell r="H744">
            <v>83800</v>
          </cell>
        </row>
        <row r="745">
          <cell r="F745" t="str">
            <v>Foot Velve dia. 1-1/4"</v>
          </cell>
          <cell r="G745" t="str">
            <v xml:space="preserve">unit </v>
          </cell>
          <cell r="H745">
            <v>134600</v>
          </cell>
        </row>
        <row r="746">
          <cell r="F746" t="str">
            <v>Foot Velve dia. 1-1/2"</v>
          </cell>
          <cell r="G746" t="str">
            <v xml:space="preserve">unit </v>
          </cell>
          <cell r="H746">
            <v>202000</v>
          </cell>
        </row>
        <row r="747">
          <cell r="F747" t="str">
            <v>Foot Velve dia. 2"</v>
          </cell>
          <cell r="G747" t="str">
            <v xml:space="preserve">unit </v>
          </cell>
          <cell r="H747">
            <v>331300</v>
          </cell>
        </row>
        <row r="748">
          <cell r="F748" t="str">
            <v>Foot Velve dia. 2-1/2"</v>
          </cell>
          <cell r="G748" t="str">
            <v xml:space="preserve">unit </v>
          </cell>
          <cell r="H748">
            <v>348000</v>
          </cell>
        </row>
        <row r="749">
          <cell r="F749" t="str">
            <v>Foot Velve dia. 3"</v>
          </cell>
          <cell r="G749" t="str">
            <v xml:space="preserve">unit </v>
          </cell>
          <cell r="H749">
            <v>609000</v>
          </cell>
        </row>
        <row r="750">
          <cell r="F750" t="str">
            <v>Foot Velve dia. 4"</v>
          </cell>
          <cell r="G750" t="str">
            <v xml:space="preserve">unit </v>
          </cell>
          <cell r="H750">
            <v>870000</v>
          </cell>
        </row>
        <row r="751">
          <cell r="F751" t="str">
            <v>Foot Velve dia. 5"</v>
          </cell>
          <cell r="G751" t="str">
            <v xml:space="preserve">unit </v>
          </cell>
          <cell r="H751">
            <v>920500</v>
          </cell>
        </row>
        <row r="752">
          <cell r="F752" t="str">
            <v>Foot Velve dia. 6"</v>
          </cell>
          <cell r="G752" t="str">
            <v xml:space="preserve">unit </v>
          </cell>
          <cell r="H752">
            <v>1055000</v>
          </cell>
        </row>
        <row r="753">
          <cell r="F753" t="str">
            <v>Foot Velve dia. 8"</v>
          </cell>
          <cell r="G753" t="str">
            <v xml:space="preserve">unit </v>
          </cell>
          <cell r="H753">
            <v>1315000</v>
          </cell>
        </row>
        <row r="754">
          <cell r="F754" t="str">
            <v>Foot Velve dia. 10"</v>
          </cell>
          <cell r="G754" t="str">
            <v xml:space="preserve">unit </v>
          </cell>
          <cell r="H754">
            <v>1525000</v>
          </cell>
        </row>
        <row r="755">
          <cell r="F755" t="str">
            <v>Foot Velve dia. 12"</v>
          </cell>
          <cell r="G755" t="str">
            <v xml:space="preserve">unit </v>
          </cell>
          <cell r="H755">
            <v>1740000</v>
          </cell>
        </row>
        <row r="756">
          <cell r="F756" t="str">
            <v>Foot Velve dia. 14"</v>
          </cell>
          <cell r="G756" t="str">
            <v xml:space="preserve">unit </v>
          </cell>
          <cell r="H756">
            <v>1980000</v>
          </cell>
        </row>
        <row r="757">
          <cell r="F757" t="str">
            <v>Flexible Joint dia. 1/2"</v>
          </cell>
          <cell r="G757" t="str">
            <v xml:space="preserve">unit </v>
          </cell>
          <cell r="H757">
            <v>33600</v>
          </cell>
        </row>
        <row r="758">
          <cell r="F758" t="str">
            <v>Flexible Joint dia. 3/4"</v>
          </cell>
          <cell r="G758" t="str">
            <v xml:space="preserve">unit </v>
          </cell>
          <cell r="H758">
            <v>46500</v>
          </cell>
        </row>
        <row r="759">
          <cell r="F759" t="str">
            <v>Flexible Joint dia. 1"</v>
          </cell>
          <cell r="G759" t="str">
            <v xml:space="preserve">unit </v>
          </cell>
          <cell r="H759">
            <v>87500</v>
          </cell>
        </row>
        <row r="760">
          <cell r="F760" t="str">
            <v>Flexible Joint dia. 1-1/4"</v>
          </cell>
          <cell r="G760" t="str">
            <v xml:space="preserve">unit </v>
          </cell>
          <cell r="H760">
            <v>97800</v>
          </cell>
        </row>
        <row r="761">
          <cell r="F761" t="str">
            <v>Flexible Joint dia. 1-1/2"</v>
          </cell>
          <cell r="G761" t="str">
            <v xml:space="preserve">unit </v>
          </cell>
          <cell r="H761">
            <v>105700</v>
          </cell>
        </row>
        <row r="762">
          <cell r="F762" t="str">
            <v>Flexible Joint dia. 2"</v>
          </cell>
          <cell r="G762" t="str">
            <v xml:space="preserve">unit </v>
          </cell>
          <cell r="H762">
            <v>136500</v>
          </cell>
        </row>
        <row r="763">
          <cell r="F763" t="str">
            <v>Flexible Joint dia. 2-1/2"</v>
          </cell>
          <cell r="G763" t="str">
            <v xml:space="preserve">unit </v>
          </cell>
          <cell r="H763">
            <v>157900</v>
          </cell>
        </row>
        <row r="764">
          <cell r="F764" t="str">
            <v>Flexible Joint dia. 3"</v>
          </cell>
          <cell r="G764" t="str">
            <v xml:space="preserve">unit </v>
          </cell>
          <cell r="H764">
            <v>165400</v>
          </cell>
        </row>
        <row r="765">
          <cell r="F765" t="str">
            <v>Flexible Joint dia. 4"</v>
          </cell>
          <cell r="G765" t="str">
            <v xml:space="preserve">unit </v>
          </cell>
          <cell r="H765">
            <v>360000</v>
          </cell>
        </row>
        <row r="766">
          <cell r="F766" t="str">
            <v>Flexible Joint dia. 5"</v>
          </cell>
          <cell r="G766" t="str">
            <v xml:space="preserve">unit </v>
          </cell>
          <cell r="H766">
            <v>740900</v>
          </cell>
        </row>
        <row r="767">
          <cell r="F767" t="str">
            <v>Flexible Joint dia. 6"</v>
          </cell>
          <cell r="G767" t="str">
            <v xml:space="preserve">unit </v>
          </cell>
          <cell r="H767">
            <v>937500</v>
          </cell>
        </row>
        <row r="768">
          <cell r="F768" t="str">
            <v>Flexible Joint dia. 8"</v>
          </cell>
          <cell r="G768" t="str">
            <v xml:space="preserve">unit </v>
          </cell>
          <cell r="H768">
            <v>1050900</v>
          </cell>
        </row>
        <row r="769">
          <cell r="F769" t="str">
            <v>Flexible Joint dia. 10"</v>
          </cell>
          <cell r="G769" t="str">
            <v xml:space="preserve">unit </v>
          </cell>
          <cell r="H769">
            <v>1345000</v>
          </cell>
        </row>
        <row r="770">
          <cell r="F770" t="str">
            <v>Flexible Joint dia. 12"</v>
          </cell>
          <cell r="G770" t="str">
            <v xml:space="preserve">unit </v>
          </cell>
          <cell r="H770">
            <v>1678000</v>
          </cell>
        </row>
        <row r="771">
          <cell r="F771" t="str">
            <v>Flexible Joint dia. 14"</v>
          </cell>
          <cell r="G771" t="str">
            <v xml:space="preserve">unit </v>
          </cell>
          <cell r="H771">
            <v>1945000</v>
          </cell>
        </row>
        <row r="772">
          <cell r="F772" t="str">
            <v>Butterfly Velve dia. 2"</v>
          </cell>
          <cell r="G772" t="str">
            <v xml:space="preserve">unit </v>
          </cell>
          <cell r="H772">
            <v>136100</v>
          </cell>
        </row>
        <row r="773">
          <cell r="F773" t="str">
            <v>Butterfly Velve dia. 2-1/2"</v>
          </cell>
          <cell r="G773" t="str">
            <v xml:space="preserve">unit </v>
          </cell>
          <cell r="H773">
            <v>170700</v>
          </cell>
        </row>
        <row r="774">
          <cell r="F774" t="str">
            <v>Butterfly Velve dia. 3"</v>
          </cell>
          <cell r="G774" t="str">
            <v xml:space="preserve">unit </v>
          </cell>
          <cell r="H774">
            <v>276400</v>
          </cell>
        </row>
        <row r="775">
          <cell r="F775" t="str">
            <v>Butterfly Velve dia. 4"</v>
          </cell>
          <cell r="G775" t="str">
            <v xml:space="preserve">unit </v>
          </cell>
          <cell r="H775">
            <v>303600</v>
          </cell>
        </row>
        <row r="776">
          <cell r="F776" t="str">
            <v>Butterfly Velve dia. 5"</v>
          </cell>
          <cell r="G776" t="str">
            <v xml:space="preserve">unit </v>
          </cell>
          <cell r="H776">
            <v>515200</v>
          </cell>
        </row>
        <row r="777">
          <cell r="F777" t="str">
            <v>Butterfly Velve dia. 6"</v>
          </cell>
          <cell r="G777" t="str">
            <v xml:space="preserve">unit </v>
          </cell>
          <cell r="H777">
            <v>829300</v>
          </cell>
        </row>
        <row r="778">
          <cell r="F778" t="str">
            <v>Butterfly Velve dia. 8"</v>
          </cell>
          <cell r="G778" t="str">
            <v xml:space="preserve">unit </v>
          </cell>
          <cell r="H778">
            <v>1364500</v>
          </cell>
        </row>
        <row r="779">
          <cell r="F779" t="str">
            <v>Butterfly Velve dia. 10"</v>
          </cell>
          <cell r="G779" t="str">
            <v xml:space="preserve">unit </v>
          </cell>
          <cell r="H779">
            <v>1808900</v>
          </cell>
        </row>
        <row r="780">
          <cell r="F780" t="str">
            <v>Butterfly Velve dia. 12"</v>
          </cell>
          <cell r="G780" t="str">
            <v xml:space="preserve">unit </v>
          </cell>
          <cell r="H780">
            <v>2170800</v>
          </cell>
        </row>
        <row r="781">
          <cell r="F781" t="str">
            <v>Globe Velve dia. 1/2"</v>
          </cell>
          <cell r="G781" t="str">
            <v xml:space="preserve">unit </v>
          </cell>
          <cell r="H781">
            <v>104500</v>
          </cell>
        </row>
        <row r="782">
          <cell r="F782" t="str">
            <v>Globe Velve dia. 3/4"</v>
          </cell>
          <cell r="G782" t="str">
            <v xml:space="preserve">unit </v>
          </cell>
          <cell r="H782">
            <v>118000</v>
          </cell>
        </row>
        <row r="783">
          <cell r="F783" t="str">
            <v>Globe Velve dia. 1"</v>
          </cell>
          <cell r="G783" t="str">
            <v xml:space="preserve">unit </v>
          </cell>
          <cell r="H783">
            <v>140500</v>
          </cell>
        </row>
        <row r="784">
          <cell r="F784" t="str">
            <v>Globe Velve dia. 1-1/4"</v>
          </cell>
          <cell r="G784" t="str">
            <v xml:space="preserve">unit </v>
          </cell>
          <cell r="H784">
            <v>189900</v>
          </cell>
        </row>
        <row r="785">
          <cell r="F785" t="str">
            <v>Globe Velve dia. 1-1/2"</v>
          </cell>
          <cell r="G785" t="str">
            <v xml:space="preserve">unit </v>
          </cell>
          <cell r="H785">
            <v>252900</v>
          </cell>
        </row>
        <row r="786">
          <cell r="F786" t="str">
            <v>Globe Velve dia. 2"</v>
          </cell>
          <cell r="G786" t="str">
            <v xml:space="preserve">unit </v>
          </cell>
          <cell r="H786">
            <v>966300</v>
          </cell>
        </row>
        <row r="787">
          <cell r="F787" t="str">
            <v>Globe Velve dia. 2-1/2"</v>
          </cell>
          <cell r="G787" t="str">
            <v xml:space="preserve">unit </v>
          </cell>
          <cell r="H787">
            <v>1214300</v>
          </cell>
        </row>
        <row r="788">
          <cell r="F788" t="str">
            <v>Globe Velve dia. 3"</v>
          </cell>
          <cell r="G788" t="str">
            <v xml:space="preserve">unit </v>
          </cell>
          <cell r="H788">
            <v>1573100</v>
          </cell>
        </row>
        <row r="789">
          <cell r="F789" t="str">
            <v>Globe Velve dia. 4"</v>
          </cell>
          <cell r="G789" t="str">
            <v xml:space="preserve">unit </v>
          </cell>
          <cell r="H789">
            <v>2121400</v>
          </cell>
        </row>
        <row r="790">
          <cell r="F790" t="str">
            <v>Globe Velve dia. 5"</v>
          </cell>
          <cell r="G790" t="str">
            <v xml:space="preserve">unit </v>
          </cell>
          <cell r="H790">
            <v>3890000</v>
          </cell>
        </row>
        <row r="791">
          <cell r="F791" t="str">
            <v>Globe Velve dia. 6"</v>
          </cell>
          <cell r="G791" t="str">
            <v xml:space="preserve">unit </v>
          </cell>
          <cell r="H791">
            <v>4996000</v>
          </cell>
        </row>
        <row r="792">
          <cell r="F792" t="str">
            <v>Globe Velve dia. 8"</v>
          </cell>
          <cell r="G792" t="str">
            <v xml:space="preserve">unit </v>
          </cell>
          <cell r="H792">
            <v>5740000</v>
          </cell>
        </row>
        <row r="793">
          <cell r="F793" t="str">
            <v>Pressure Gauge dia. 1/2"</v>
          </cell>
          <cell r="G793" t="str">
            <v xml:space="preserve">unit </v>
          </cell>
          <cell r="H793">
            <v>58000</v>
          </cell>
        </row>
        <row r="794">
          <cell r="F794" t="str">
            <v>Pressure Gauge dia. 1"</v>
          </cell>
          <cell r="G794" t="str">
            <v xml:space="preserve">unit </v>
          </cell>
          <cell r="H794">
            <v>79800</v>
          </cell>
        </row>
        <row r="795">
          <cell r="F795" t="str">
            <v>Pressure Gauge dia. 2"</v>
          </cell>
          <cell r="G795" t="str">
            <v xml:space="preserve">unit </v>
          </cell>
          <cell r="H795">
            <v>123000</v>
          </cell>
        </row>
        <row r="796">
          <cell r="F796" t="str">
            <v>Pressure Gauge dia. 2-1/2"</v>
          </cell>
          <cell r="G796" t="str">
            <v xml:space="preserve">unit </v>
          </cell>
          <cell r="H796">
            <v>132700</v>
          </cell>
        </row>
        <row r="797">
          <cell r="F797" t="str">
            <v>Pressure Gauge dia. 3"</v>
          </cell>
          <cell r="G797" t="str">
            <v xml:space="preserve">unit </v>
          </cell>
          <cell r="H797">
            <v>165400</v>
          </cell>
        </row>
        <row r="798">
          <cell r="F798" t="str">
            <v>Pressure Gauge dia. 4"</v>
          </cell>
          <cell r="G798" t="str">
            <v xml:space="preserve">unit </v>
          </cell>
          <cell r="H798">
            <v>218500</v>
          </cell>
        </row>
        <row r="799">
          <cell r="F799" t="str">
            <v>Water Meter dia. 1/2"</v>
          </cell>
          <cell r="G799" t="str">
            <v xml:space="preserve">Bh </v>
          </cell>
          <cell r="H799">
            <v>270750</v>
          </cell>
        </row>
        <row r="800">
          <cell r="F800" t="str">
            <v>Water Meter dia. 3/4"</v>
          </cell>
          <cell r="G800" t="str">
            <v xml:space="preserve">Bh </v>
          </cell>
          <cell r="H800">
            <v>655914</v>
          </cell>
        </row>
        <row r="801">
          <cell r="F801" t="str">
            <v>Water Meter dia. 1"</v>
          </cell>
          <cell r="G801" t="str">
            <v xml:space="preserve">Bh </v>
          </cell>
          <cell r="H801">
            <v>1416800</v>
          </cell>
        </row>
        <row r="802">
          <cell r="F802" t="str">
            <v>Water Meter dia. 1-1/2"</v>
          </cell>
          <cell r="G802" t="str">
            <v xml:space="preserve">Bh </v>
          </cell>
          <cell r="H802">
            <v>1740600</v>
          </cell>
        </row>
        <row r="803">
          <cell r="F803" t="str">
            <v>Water Meter dia. 2"</v>
          </cell>
          <cell r="G803" t="str">
            <v xml:space="preserve">Bh </v>
          </cell>
          <cell r="H803">
            <v>2392000</v>
          </cell>
        </row>
        <row r="804">
          <cell r="F804" t="str">
            <v>Water Meter dia. 3"</v>
          </cell>
          <cell r="G804" t="str">
            <v xml:space="preserve">Bh </v>
          </cell>
          <cell r="H804">
            <v>2700000</v>
          </cell>
        </row>
        <row r="805">
          <cell r="F805" t="str">
            <v>Water Meter dia. 4"</v>
          </cell>
          <cell r="G805" t="str">
            <v xml:space="preserve">Bh </v>
          </cell>
          <cell r="H805">
            <v>2980000</v>
          </cell>
        </row>
        <row r="806">
          <cell r="F806" t="str">
            <v>Water Meter dia. 6"</v>
          </cell>
          <cell r="G806" t="str">
            <v xml:space="preserve">Bh </v>
          </cell>
          <cell r="H806">
            <v>3540900</v>
          </cell>
        </row>
        <row r="807">
          <cell r="F807" t="str">
            <v>Water Meter dia. 8"</v>
          </cell>
          <cell r="G807" t="str">
            <v xml:space="preserve">Bh </v>
          </cell>
          <cell r="H807">
            <v>3947000</v>
          </cell>
        </row>
        <row r="808">
          <cell r="F808" t="str">
            <v>Water Meter dia. 10"</v>
          </cell>
          <cell r="G808" t="str">
            <v xml:space="preserve">Bh </v>
          </cell>
          <cell r="H808">
            <v>4230900</v>
          </cell>
        </row>
        <row r="809">
          <cell r="F809" t="str">
            <v>Water Meter dia. 12"</v>
          </cell>
          <cell r="G809" t="str">
            <v xml:space="preserve">Bh </v>
          </cell>
          <cell r="H809">
            <v>4560000</v>
          </cell>
        </row>
        <row r="810">
          <cell r="F810" t="str">
            <v>Water Meter dia. 16"</v>
          </cell>
          <cell r="G810" t="str">
            <v xml:space="preserve">Bh </v>
          </cell>
          <cell r="H810">
            <v>4760900</v>
          </cell>
        </row>
        <row r="811">
          <cell r="F811" t="str">
            <v>Flow Meter Analog dia.4"</v>
          </cell>
          <cell r="G811" t="str">
            <v xml:space="preserve">bh </v>
          </cell>
          <cell r="H811">
            <v>2449000</v>
          </cell>
        </row>
        <row r="812">
          <cell r="F812" t="str">
            <v>Clean Out dia. 2"</v>
          </cell>
          <cell r="G812" t="str">
            <v xml:space="preserve">bh </v>
          </cell>
          <cell r="H812">
            <v>47500</v>
          </cell>
        </row>
        <row r="813">
          <cell r="F813" t="str">
            <v>Clean Out dia. 2-1/2"</v>
          </cell>
          <cell r="G813" t="str">
            <v xml:space="preserve">bh </v>
          </cell>
          <cell r="H813">
            <v>56700</v>
          </cell>
        </row>
        <row r="814">
          <cell r="F814" t="str">
            <v>Clean Out dia. 3"</v>
          </cell>
          <cell r="G814" t="str">
            <v xml:space="preserve">bh </v>
          </cell>
          <cell r="H814">
            <v>65000</v>
          </cell>
        </row>
        <row r="815">
          <cell r="F815" t="str">
            <v>Clean Out dia. 4"</v>
          </cell>
          <cell r="G815" t="str">
            <v xml:space="preserve">bh </v>
          </cell>
          <cell r="H815">
            <v>72500</v>
          </cell>
        </row>
        <row r="816">
          <cell r="F816" t="str">
            <v>Clean Out dia. 5"</v>
          </cell>
          <cell r="G816" t="str">
            <v xml:space="preserve">bh </v>
          </cell>
          <cell r="H816">
            <v>178900</v>
          </cell>
        </row>
        <row r="817">
          <cell r="F817" t="str">
            <v>Clean Out dia. 6"</v>
          </cell>
          <cell r="G817" t="str">
            <v xml:space="preserve">bh </v>
          </cell>
          <cell r="H817">
            <v>230880</v>
          </cell>
        </row>
        <row r="818">
          <cell r="F818" t="str">
            <v>Clean Out dia. 8"</v>
          </cell>
          <cell r="G818" t="str">
            <v xml:space="preserve">bh </v>
          </cell>
          <cell r="H818">
            <v>370000</v>
          </cell>
        </row>
        <row r="819">
          <cell r="F819" t="str">
            <v>Roof Drain dia. 2"</v>
          </cell>
          <cell r="G819" t="str">
            <v xml:space="preserve">Bh </v>
          </cell>
          <cell r="H819">
            <v>29800</v>
          </cell>
        </row>
        <row r="820">
          <cell r="F820" t="str">
            <v>Roof Drain dia. 2-1/2"</v>
          </cell>
          <cell r="G820" t="str">
            <v xml:space="preserve">Bh </v>
          </cell>
          <cell r="H820">
            <v>33925</v>
          </cell>
        </row>
        <row r="821">
          <cell r="F821" t="str">
            <v>Roof Drain dia. 3"</v>
          </cell>
          <cell r="G821" t="str">
            <v xml:space="preserve">Bh </v>
          </cell>
          <cell r="H821">
            <v>37375</v>
          </cell>
        </row>
        <row r="822">
          <cell r="F822" t="str">
            <v>Roof Drain dia. 4"</v>
          </cell>
          <cell r="G822" t="str">
            <v xml:space="preserve">Bh </v>
          </cell>
          <cell r="H822">
            <v>40250</v>
          </cell>
        </row>
        <row r="823">
          <cell r="F823" t="str">
            <v>Roof Drain dia. 5"</v>
          </cell>
          <cell r="G823" t="str">
            <v xml:space="preserve">Bh </v>
          </cell>
          <cell r="H823">
            <v>51700</v>
          </cell>
        </row>
        <row r="824">
          <cell r="F824" t="str">
            <v>Roof Drain dia. 6"</v>
          </cell>
          <cell r="G824" t="str">
            <v xml:space="preserve">Bh </v>
          </cell>
          <cell r="H824">
            <v>61100</v>
          </cell>
        </row>
        <row r="825">
          <cell r="F825" t="str">
            <v>Roof Drain dia. 8"</v>
          </cell>
          <cell r="G825" t="str">
            <v xml:space="preserve">Bh </v>
          </cell>
          <cell r="H825">
            <v>90250</v>
          </cell>
        </row>
        <row r="826">
          <cell r="F826" t="str">
            <v>Roof Drain dia. 10"</v>
          </cell>
          <cell r="G826" t="str">
            <v xml:space="preserve">Bh </v>
          </cell>
          <cell r="H826">
            <v>142500</v>
          </cell>
        </row>
        <row r="827">
          <cell r="F827" t="str">
            <v>Roof Drain dia. 12"</v>
          </cell>
          <cell r="G827" t="str">
            <v xml:space="preserve">Bh </v>
          </cell>
          <cell r="H827">
            <v>167500</v>
          </cell>
        </row>
        <row r="828">
          <cell r="F828" t="str">
            <v>Floor Clean Out dia. 2"</v>
          </cell>
          <cell r="G828" t="str">
            <v xml:space="preserve">Bh </v>
          </cell>
          <cell r="H828">
            <v>136800</v>
          </cell>
        </row>
        <row r="829">
          <cell r="F829" t="str">
            <v>Floor Clean Out dia. 2-1/2"</v>
          </cell>
          <cell r="G829" t="str">
            <v xml:space="preserve">Bh </v>
          </cell>
          <cell r="H829">
            <v>163100</v>
          </cell>
        </row>
        <row r="830">
          <cell r="F830" t="str">
            <v>Floor Clean Out dia. 3"</v>
          </cell>
          <cell r="G830" t="str">
            <v xml:space="preserve">Bh </v>
          </cell>
          <cell r="H830">
            <v>199500</v>
          </cell>
        </row>
        <row r="831">
          <cell r="F831" t="str">
            <v>Floor Clean Out dia. 4"</v>
          </cell>
          <cell r="G831" t="str">
            <v xml:space="preserve">Bh </v>
          </cell>
          <cell r="H831">
            <v>300300</v>
          </cell>
        </row>
        <row r="832">
          <cell r="F832" t="str">
            <v>Floor Clean Out dia. 6"</v>
          </cell>
          <cell r="G832" t="str">
            <v xml:space="preserve">Bh </v>
          </cell>
          <cell r="H832">
            <v>415500</v>
          </cell>
        </row>
        <row r="833">
          <cell r="F833" t="str">
            <v>Floor Clean Out dia. 8"</v>
          </cell>
          <cell r="G833" t="str">
            <v xml:space="preserve">Bh </v>
          </cell>
          <cell r="H833">
            <v>507600</v>
          </cell>
        </row>
        <row r="834">
          <cell r="F834" t="str">
            <v>Vent Cap dia. 2"</v>
          </cell>
          <cell r="G834" t="str">
            <v xml:space="preserve">Bh </v>
          </cell>
          <cell r="H834">
            <v>45000</v>
          </cell>
        </row>
        <row r="835">
          <cell r="F835" t="str">
            <v>Vent Cap dia. 3"</v>
          </cell>
          <cell r="G835" t="str">
            <v xml:space="preserve">Bh </v>
          </cell>
          <cell r="H835">
            <v>65000</v>
          </cell>
        </row>
        <row r="836">
          <cell r="F836" t="str">
            <v>Vent Cap dia. 4"</v>
          </cell>
          <cell r="G836" t="str">
            <v xml:space="preserve">Bh </v>
          </cell>
          <cell r="H836">
            <v>80000</v>
          </cell>
        </row>
        <row r="837">
          <cell r="F837" t="str">
            <v>PRV set dia. 2"</v>
          </cell>
          <cell r="G837" t="str">
            <v xml:space="preserve">Bh </v>
          </cell>
          <cell r="H837">
            <v>4900000</v>
          </cell>
        </row>
        <row r="838">
          <cell r="F838" t="str">
            <v>PRV set dia. 2-1/2"</v>
          </cell>
          <cell r="G838" t="str">
            <v xml:space="preserve">Bh </v>
          </cell>
          <cell r="H838">
            <v>5350000</v>
          </cell>
        </row>
        <row r="839">
          <cell r="F839" t="str">
            <v>PRV Set dia. 3"</v>
          </cell>
          <cell r="G839" t="str">
            <v xml:space="preserve">Bh </v>
          </cell>
          <cell r="H839">
            <v>7500000</v>
          </cell>
        </row>
        <row r="840">
          <cell r="F840" t="str">
            <v>PRV set dia. 4"</v>
          </cell>
          <cell r="G840" t="str">
            <v xml:space="preserve">Bh </v>
          </cell>
          <cell r="H840">
            <v>8450000</v>
          </cell>
        </row>
        <row r="841">
          <cell r="F841" t="str">
            <v>PRV set dia. 6"</v>
          </cell>
          <cell r="G841" t="str">
            <v xml:space="preserve">Bh </v>
          </cell>
          <cell r="H841">
            <v>8930000</v>
          </cell>
        </row>
        <row r="842">
          <cell r="F842" t="str">
            <v>PRV set dia. 8"</v>
          </cell>
          <cell r="G842" t="str">
            <v xml:space="preserve">Bh </v>
          </cell>
          <cell r="H842">
            <v>9430000</v>
          </cell>
        </row>
        <row r="843">
          <cell r="F843" t="str">
            <v>AAV dia. 1/2"</v>
          </cell>
          <cell r="G843" t="str">
            <v xml:space="preserve">unit </v>
          </cell>
          <cell r="H843">
            <v>250000</v>
          </cell>
        </row>
        <row r="844">
          <cell r="F844" t="str">
            <v>AAV dia.1"</v>
          </cell>
          <cell r="G844" t="str">
            <v xml:space="preserve">unit </v>
          </cell>
          <cell r="H844">
            <v>850000</v>
          </cell>
        </row>
        <row r="845">
          <cell r="F845" t="str">
            <v>AAV dia. 2"</v>
          </cell>
          <cell r="G845" t="str">
            <v xml:space="preserve">unit </v>
          </cell>
          <cell r="H845">
            <v>1050000</v>
          </cell>
        </row>
        <row r="846">
          <cell r="F846" t="str">
            <v>AAV dia. 3"</v>
          </cell>
          <cell r="G846" t="str">
            <v xml:space="preserve">unit </v>
          </cell>
          <cell r="H846">
            <v>1230800</v>
          </cell>
        </row>
        <row r="847">
          <cell r="F847" t="str">
            <v>AAV dia. 4"</v>
          </cell>
          <cell r="G847" t="str">
            <v xml:space="preserve">unit </v>
          </cell>
          <cell r="H847">
            <v>1432000</v>
          </cell>
        </row>
        <row r="848">
          <cell r="F848" t="str">
            <v>AAV dia. 6"</v>
          </cell>
          <cell r="G848" t="str">
            <v xml:space="preserve">unit </v>
          </cell>
          <cell r="H848">
            <v>1653000</v>
          </cell>
        </row>
        <row r="849">
          <cell r="F849" t="str">
            <v>Vent Out dia. 2"</v>
          </cell>
          <cell r="G849" t="str">
            <v xml:space="preserve">unit </v>
          </cell>
          <cell r="H849">
            <v>235000</v>
          </cell>
        </row>
        <row r="850">
          <cell r="F850" t="str">
            <v xml:space="preserve">WLC dan Pengkabelan </v>
          </cell>
          <cell r="G850" t="str">
            <v xml:space="preserve">unit </v>
          </cell>
          <cell r="H850">
            <v>81100</v>
          </cell>
        </row>
        <row r="851">
          <cell r="F851" t="str">
            <v xml:space="preserve">Pressure Switch </v>
          </cell>
          <cell r="G851" t="str">
            <v xml:space="preserve">unit </v>
          </cell>
          <cell r="H851">
            <v>220800</v>
          </cell>
        </row>
        <row r="852">
          <cell r="F852" t="str">
            <v>Header Pipa PVC AW Dia. 4"</v>
          </cell>
          <cell r="G852" t="str">
            <v>m'</v>
          </cell>
          <cell r="H852">
            <v>1325000</v>
          </cell>
        </row>
        <row r="853">
          <cell r="F853" t="str">
            <v>Header Pipa Galvanis MED Class Dia. 4"</v>
          </cell>
          <cell r="G853" t="str">
            <v>m'</v>
          </cell>
          <cell r="H853">
            <v>5600000</v>
          </cell>
        </row>
        <row r="854">
          <cell r="F854" t="str">
            <v>Header Pipa BS SCH 40 Dia. 8"</v>
          </cell>
          <cell r="G854" t="str">
            <v>m'</v>
          </cell>
          <cell r="H854">
            <v>3500000</v>
          </cell>
        </row>
        <row r="855">
          <cell r="F855" t="str">
            <v>Header Pipa BS SCH 40 Dia. 10"</v>
          </cell>
          <cell r="G855" t="str">
            <v>m'</v>
          </cell>
          <cell r="H855">
            <v>4600000</v>
          </cell>
        </row>
        <row r="856">
          <cell r="F856" t="str">
            <v>Dop PVC dia. 3"</v>
          </cell>
          <cell r="G856" t="str">
            <v xml:space="preserve">Bh </v>
          </cell>
          <cell r="H856">
            <v>9950</v>
          </cell>
        </row>
        <row r="857">
          <cell r="F857" t="str">
            <v>Dop PVC dia. 4"</v>
          </cell>
          <cell r="G857" t="str">
            <v xml:space="preserve">Bh </v>
          </cell>
          <cell r="H857">
            <v>19500</v>
          </cell>
        </row>
        <row r="858">
          <cell r="F858" t="str">
            <v>Dop PVC dia. 6"</v>
          </cell>
          <cell r="G858" t="str">
            <v xml:space="preserve">Bh </v>
          </cell>
          <cell r="H858">
            <v>28000</v>
          </cell>
        </row>
        <row r="859">
          <cell r="F859" t="str">
            <v>Pipa DCI dia. 100 mm</v>
          </cell>
          <cell r="G859" t="str">
            <v>m'</v>
          </cell>
          <cell r="H859">
            <v>1083333.3333333333</v>
          </cell>
        </row>
        <row r="860">
          <cell r="F860" t="str">
            <v>Pipa DCI, DN. 4"
(100 mm)</v>
          </cell>
          <cell r="G860" t="str">
            <v>m'</v>
          </cell>
          <cell r="H860">
            <v>1083000</v>
          </cell>
        </row>
        <row r="861">
          <cell r="F861" t="str">
            <v>Pipa DCI dia. 125 mm</v>
          </cell>
          <cell r="G861" t="str">
            <v>m'</v>
          </cell>
          <cell r="H861">
            <v>1100000</v>
          </cell>
        </row>
        <row r="862">
          <cell r="F862" t="str">
            <v>Pipa DCI, DN. 5"
(125 mm)</v>
          </cell>
          <cell r="G862" t="str">
            <v>m'</v>
          </cell>
          <cell r="H862">
            <v>1100000</v>
          </cell>
        </row>
        <row r="863">
          <cell r="F863" t="str">
            <v>Pipa DCI dia. 150 mm</v>
          </cell>
          <cell r="G863" t="str">
            <v>m'</v>
          </cell>
          <cell r="H863">
            <v>1300000</v>
          </cell>
        </row>
        <row r="864">
          <cell r="F864" t="str">
            <v>Pipa DCI, DN. 6"
(150 mm)</v>
          </cell>
          <cell r="G864" t="str">
            <v>m'</v>
          </cell>
          <cell r="H864">
            <v>1300000</v>
          </cell>
        </row>
        <row r="865">
          <cell r="F865" t="str">
            <v>Pipa DCI dia. 200 mm</v>
          </cell>
          <cell r="G865" t="str">
            <v>m'</v>
          </cell>
          <cell r="H865">
            <v>1450000</v>
          </cell>
        </row>
        <row r="866">
          <cell r="F866" t="str">
            <v>Pipa DCI, DN. 8"
(200 mm)</v>
          </cell>
          <cell r="G866" t="str">
            <v>m'</v>
          </cell>
          <cell r="H866">
            <v>1450000</v>
          </cell>
        </row>
        <row r="867">
          <cell r="F867" t="str">
            <v>Pipa DCI dia. 250 mm</v>
          </cell>
          <cell r="G867" t="str">
            <v>m'</v>
          </cell>
          <cell r="H867">
            <v>1570000</v>
          </cell>
        </row>
        <row r="868">
          <cell r="F868" t="str">
            <v>Pipa DCI, DN. 10"
(250 mm)</v>
          </cell>
          <cell r="G868" t="str">
            <v>m'</v>
          </cell>
          <cell r="H868">
            <v>1570000</v>
          </cell>
        </row>
        <row r="869">
          <cell r="F869" t="str">
            <v>Pipa DCI dia. 300 mm</v>
          </cell>
          <cell r="G869" t="str">
            <v>m'</v>
          </cell>
          <cell r="H869">
            <v>1630000</v>
          </cell>
        </row>
        <row r="870">
          <cell r="F870" t="str">
            <v>Pipa DCI, DN. 12"
(300 mm)</v>
          </cell>
          <cell r="G870" t="str">
            <v>m'</v>
          </cell>
          <cell r="H870">
            <v>1640000</v>
          </cell>
        </row>
        <row r="871">
          <cell r="F871" t="str">
            <v>Pipa DCI dia. 400 mm</v>
          </cell>
          <cell r="G871" t="str">
            <v>m'</v>
          </cell>
          <cell r="H871">
            <v>1780000</v>
          </cell>
        </row>
        <row r="872">
          <cell r="F872" t="str">
            <v>Pipa DCI, DN. 16"
(400 mm)</v>
          </cell>
          <cell r="G872" t="str">
            <v>m'</v>
          </cell>
          <cell r="H872">
            <v>1790000</v>
          </cell>
        </row>
        <row r="873">
          <cell r="F873" t="str">
            <v>Pipa DCI dia. 450 mm</v>
          </cell>
          <cell r="G873" t="str">
            <v>m'</v>
          </cell>
          <cell r="H873">
            <v>1840000</v>
          </cell>
        </row>
        <row r="874">
          <cell r="F874" t="str">
            <v>Pipa DCI, DN. 18"
(450 mm)</v>
          </cell>
          <cell r="G874" t="str">
            <v>m'</v>
          </cell>
          <cell r="H874">
            <v>1850000</v>
          </cell>
        </row>
        <row r="875">
          <cell r="F875" t="str">
            <v>Pipa DCI dia. 500 mm</v>
          </cell>
          <cell r="G875" t="str">
            <v>m'</v>
          </cell>
          <cell r="H875">
            <v>1950000</v>
          </cell>
        </row>
        <row r="876">
          <cell r="F876" t="str">
            <v>Pipa DCI, DN. 20"
(500 mm)</v>
          </cell>
          <cell r="G876" t="str">
            <v>m'</v>
          </cell>
          <cell r="H876">
            <v>1960000</v>
          </cell>
        </row>
        <row r="877">
          <cell r="F877" t="str">
            <v>Pipa DCI dia. 600 mm</v>
          </cell>
          <cell r="G877" t="str">
            <v>m'</v>
          </cell>
          <cell r="H877">
            <v>2100000</v>
          </cell>
        </row>
        <row r="878">
          <cell r="F878" t="str">
            <v>Pipa DCI, DN. 24"
(600 mm)</v>
          </cell>
          <cell r="G878" t="str">
            <v>m'</v>
          </cell>
          <cell r="H878">
            <v>2115000</v>
          </cell>
        </row>
        <row r="879">
          <cell r="F879" t="str">
            <v>Pipa DCI dia. 800 mm</v>
          </cell>
          <cell r="G879" t="str">
            <v>m'</v>
          </cell>
          <cell r="H879">
            <v>2350000</v>
          </cell>
        </row>
        <row r="880">
          <cell r="F880" t="str">
            <v>Pipa DCI, DN. 32"
(800 mm)</v>
          </cell>
          <cell r="G880" t="str">
            <v>m'</v>
          </cell>
          <cell r="H880">
            <v>2360000</v>
          </cell>
        </row>
        <row r="881">
          <cell r="F881" t="str">
            <v>Pipa DCI dia. 900 mm</v>
          </cell>
          <cell r="G881" t="str">
            <v>m'</v>
          </cell>
          <cell r="H881">
            <v>2430000</v>
          </cell>
        </row>
        <row r="882">
          <cell r="F882" t="str">
            <v>Pipa DCI, DN. 36"
(900 mm)</v>
          </cell>
          <cell r="G882" t="str">
            <v>m'</v>
          </cell>
          <cell r="H882">
            <v>2440000</v>
          </cell>
        </row>
        <row r="883">
          <cell r="F883" t="str">
            <v>Pipa DCI dia. 1000 mm</v>
          </cell>
          <cell r="G883" t="str">
            <v>m'</v>
          </cell>
          <cell r="H883">
            <v>2560000</v>
          </cell>
        </row>
        <row r="884">
          <cell r="F884" t="str">
            <v>Pipa DCI, DN. 40"
(1000 mm)</v>
          </cell>
          <cell r="G884" t="str">
            <v>m'</v>
          </cell>
          <cell r="H884">
            <v>2570000</v>
          </cell>
        </row>
        <row r="885">
          <cell r="F885" t="str">
            <v>Pipa DCI dia. 1100 mm</v>
          </cell>
          <cell r="G885" t="str">
            <v>m'</v>
          </cell>
          <cell r="H885">
            <v>2720000</v>
          </cell>
        </row>
        <row r="886">
          <cell r="F886" t="str">
            <v>Pipa DCI, DN. 44"
(1100 mm)</v>
          </cell>
          <cell r="G886" t="str">
            <v>m'</v>
          </cell>
          <cell r="H886">
            <v>2730000</v>
          </cell>
        </row>
        <row r="887">
          <cell r="F887" t="str">
            <v>Pipa DCI, DN. 48"
(1200 mm)</v>
          </cell>
          <cell r="G887" t="str">
            <v>m'</v>
          </cell>
          <cell r="H887">
            <v>236000</v>
          </cell>
        </row>
        <row r="888">
          <cell r="F888" t="str">
            <v>Pipa Beton dia. 200 mm</v>
          </cell>
          <cell r="G888" t="str">
            <v>m'</v>
          </cell>
          <cell r="H888">
            <v>235000</v>
          </cell>
        </row>
        <row r="889">
          <cell r="F889" t="str">
            <v>Pipa Beton, DN. 8" (200 mm)</v>
          </cell>
          <cell r="G889" t="str">
            <v>m'</v>
          </cell>
          <cell r="H889">
            <v>236000</v>
          </cell>
        </row>
        <row r="890">
          <cell r="F890" t="str">
            <v>Pipa Beton dia. 300 mm</v>
          </cell>
          <cell r="G890" t="str">
            <v>m'</v>
          </cell>
          <cell r="H890">
            <v>264000</v>
          </cell>
        </row>
        <row r="891">
          <cell r="F891" t="str">
            <v>Pipa Beton, DN. 12" (300 mm)</v>
          </cell>
          <cell r="G891" t="str">
            <v>m'</v>
          </cell>
          <cell r="H891">
            <v>265000</v>
          </cell>
        </row>
        <row r="892">
          <cell r="F892" t="str">
            <v>Pipa Beton dia. 400 mm</v>
          </cell>
          <cell r="G892" t="str">
            <v>m'</v>
          </cell>
          <cell r="H892">
            <v>285000</v>
          </cell>
        </row>
        <row r="893">
          <cell r="F893" t="str">
            <v>Pipa Beton, DN. 16" (400 mm)</v>
          </cell>
          <cell r="G893" t="str">
            <v>m'</v>
          </cell>
          <cell r="H893">
            <v>286000</v>
          </cell>
        </row>
        <row r="894">
          <cell r="F894" t="str">
            <v>Pipa Beton dia. 500 mm</v>
          </cell>
          <cell r="G894" t="str">
            <v>m'</v>
          </cell>
          <cell r="H894">
            <v>299000</v>
          </cell>
        </row>
        <row r="895">
          <cell r="F895" t="str">
            <v>Pipa Beton, DN. 20" (500 mm)</v>
          </cell>
          <cell r="G895" t="str">
            <v>m'</v>
          </cell>
          <cell r="H895">
            <v>300000</v>
          </cell>
        </row>
        <row r="896">
          <cell r="F896" t="str">
            <v>Pipa Beton dia. 600 mm</v>
          </cell>
          <cell r="G896" t="str">
            <v>m'</v>
          </cell>
          <cell r="H896">
            <v>350000</v>
          </cell>
        </row>
        <row r="897">
          <cell r="F897" t="str">
            <v>Pipa Beton, DN. 24" (600 mm)</v>
          </cell>
          <cell r="G897" t="str">
            <v>m'</v>
          </cell>
          <cell r="H897">
            <v>351000</v>
          </cell>
        </row>
        <row r="898">
          <cell r="F898" t="str">
            <v>Pipa Beton dia. 700 mm</v>
          </cell>
          <cell r="G898" t="str">
            <v>m'</v>
          </cell>
          <cell r="H898">
            <v>410000</v>
          </cell>
        </row>
        <row r="899">
          <cell r="F899" t="str">
            <v>Pipa Beton, DN. 28" (700 mm)</v>
          </cell>
          <cell r="G899" t="str">
            <v>m'</v>
          </cell>
          <cell r="H899">
            <v>411000</v>
          </cell>
        </row>
        <row r="900">
          <cell r="F900" t="str">
            <v>Pipa Beton dia. 800 mm</v>
          </cell>
          <cell r="G900" t="str">
            <v>m'</v>
          </cell>
          <cell r="H900">
            <v>490000</v>
          </cell>
        </row>
        <row r="901">
          <cell r="F901" t="str">
            <v>Pipa Beton, DN. 32" (800 mm)</v>
          </cell>
          <cell r="G901" t="str">
            <v>m'</v>
          </cell>
          <cell r="H901">
            <v>491000</v>
          </cell>
        </row>
        <row r="902">
          <cell r="F902" t="str">
            <v>Pipa Beton dia. 1000 mm</v>
          </cell>
          <cell r="G902" t="str">
            <v>m'</v>
          </cell>
          <cell r="H902">
            <v>570000</v>
          </cell>
        </row>
        <row r="903">
          <cell r="F903" t="str">
            <v>Pipa Beton, DN. 40" (1000 mm)</v>
          </cell>
          <cell r="G903" t="str">
            <v>m'</v>
          </cell>
          <cell r="H903">
            <v>571000</v>
          </cell>
        </row>
        <row r="904">
          <cell r="F904" t="str">
            <v>Pipa Beton dia. 1200 mm</v>
          </cell>
          <cell r="G904" t="str">
            <v>m'</v>
          </cell>
          <cell r="H904">
            <v>640000</v>
          </cell>
        </row>
        <row r="905">
          <cell r="F905" t="str">
            <v>Pipa Beton, DN. 48" (1200 mm)</v>
          </cell>
          <cell r="G905" t="str">
            <v>m'</v>
          </cell>
          <cell r="H905">
            <v>641000</v>
          </cell>
        </row>
        <row r="906">
          <cell r="F906" t="str">
            <v>Valve Ø 6" (150 mm)</v>
          </cell>
          <cell r="G906" t="str">
            <v>buah</v>
          </cell>
          <cell r="H906">
            <v>225000</v>
          </cell>
        </row>
        <row r="907">
          <cell r="F907" t="str">
            <v>Valve Ø 8" (200 mm)</v>
          </cell>
          <cell r="G907" t="str">
            <v>buah</v>
          </cell>
          <cell r="H907">
            <v>290000</v>
          </cell>
        </row>
        <row r="908">
          <cell r="F908" t="str">
            <v>Valve Ø 10" (250 mm)</v>
          </cell>
          <cell r="G908" t="str">
            <v>buah</v>
          </cell>
          <cell r="H908">
            <v>350000</v>
          </cell>
        </row>
        <row r="909">
          <cell r="F909" t="str">
            <v>Valve Ø 12" (300 mm)</v>
          </cell>
          <cell r="G909" t="str">
            <v>buah</v>
          </cell>
          <cell r="H909">
            <v>410000</v>
          </cell>
        </row>
        <row r="910">
          <cell r="F910" t="str">
            <v>Valve Ø 16" (400 mm)</v>
          </cell>
          <cell r="G910" t="str">
            <v>buah</v>
          </cell>
          <cell r="H910">
            <v>490000</v>
          </cell>
        </row>
        <row r="911">
          <cell r="F911" t="str">
            <v>Valve Ø 18" (450 mm)</v>
          </cell>
          <cell r="G911" t="str">
            <v>buah</v>
          </cell>
          <cell r="H911">
            <v>530000</v>
          </cell>
        </row>
        <row r="912">
          <cell r="F912" t="str">
            <v>Valve Ø 20" (500 mm)</v>
          </cell>
          <cell r="G912" t="str">
            <v>buah</v>
          </cell>
          <cell r="H912">
            <v>590000</v>
          </cell>
        </row>
        <row r="913">
          <cell r="F913" t="str">
            <v>Valve Ø 24" (600 mm)</v>
          </cell>
          <cell r="G913" t="str">
            <v>buah</v>
          </cell>
          <cell r="H913">
            <v>670000</v>
          </cell>
        </row>
        <row r="914">
          <cell r="F914" t="str">
            <v>Valve Ø 28" (700 mm)</v>
          </cell>
          <cell r="G914" t="str">
            <v>buah</v>
          </cell>
          <cell r="H914">
            <v>750000</v>
          </cell>
        </row>
        <row r="915">
          <cell r="F915" t="str">
            <v>Valve Ø 32" (800 mm)</v>
          </cell>
          <cell r="G915" t="str">
            <v>buah</v>
          </cell>
          <cell r="H915">
            <v>810000</v>
          </cell>
        </row>
        <row r="916">
          <cell r="F916" t="str">
            <v>Valve Ø 36" (900 mm)</v>
          </cell>
          <cell r="G916" t="str">
            <v>buah</v>
          </cell>
          <cell r="H916">
            <v>890000</v>
          </cell>
        </row>
        <row r="917">
          <cell r="F917" t="str">
            <v>Valve Ø 40" (1000 mm)</v>
          </cell>
          <cell r="G917" t="str">
            <v>buah</v>
          </cell>
          <cell r="H917">
            <v>950000</v>
          </cell>
        </row>
        <row r="918">
          <cell r="F918" t="str">
            <v>Valve Ø 44" (1100 mm)</v>
          </cell>
          <cell r="G918" t="str">
            <v>buah</v>
          </cell>
          <cell r="H918">
            <v>1050000</v>
          </cell>
        </row>
        <row r="919">
          <cell r="F919" t="str">
            <v>Valve Ø 48" (1200 mm)</v>
          </cell>
          <cell r="G919" t="str">
            <v>buah</v>
          </cell>
          <cell r="H919">
            <v>1119000</v>
          </cell>
        </row>
        <row r="920">
          <cell r="F920" t="str">
            <v>Valve Ø 1/2" (15 mm)</v>
          </cell>
          <cell r="G920" t="str">
            <v>buah</v>
          </cell>
          <cell r="H920">
            <v>95000</v>
          </cell>
        </row>
        <row r="921">
          <cell r="F921" t="str">
            <v>Valve Ø 3/4" (20 mm)</v>
          </cell>
          <cell r="G921" t="str">
            <v>buah</v>
          </cell>
          <cell r="H921">
            <v>105000</v>
          </cell>
        </row>
        <row r="922">
          <cell r="F922" t="str">
            <v>Valve Ø 1" (25 mm)</v>
          </cell>
          <cell r="G922" t="str">
            <v>buah</v>
          </cell>
          <cell r="H922">
            <v>115000</v>
          </cell>
        </row>
        <row r="923">
          <cell r="F923" t="str">
            <v>Valve Ø 1-1/4" (32 mm)</v>
          </cell>
          <cell r="G923" t="str">
            <v>buah</v>
          </cell>
          <cell r="H923">
            <v>129000</v>
          </cell>
        </row>
        <row r="924">
          <cell r="F924" t="str">
            <v>Valve Ø 1-1/2" (40 mm)</v>
          </cell>
          <cell r="G924" t="str">
            <v>buah</v>
          </cell>
          <cell r="H924">
            <v>135000</v>
          </cell>
        </row>
        <row r="925">
          <cell r="F925" t="str">
            <v>Valve Ø 2" (50 mm)</v>
          </cell>
          <cell r="G925" t="str">
            <v>buah</v>
          </cell>
          <cell r="H925">
            <v>150000</v>
          </cell>
        </row>
        <row r="926">
          <cell r="F926" t="str">
            <v>Valve Ø 2-1/2" (65 mm)</v>
          </cell>
          <cell r="G926" t="str">
            <v>buah</v>
          </cell>
          <cell r="H926">
            <v>170000</v>
          </cell>
        </row>
        <row r="927">
          <cell r="F927" t="str">
            <v>Valve Ø 3" (80 mm)</v>
          </cell>
          <cell r="G927" t="str">
            <v>buah</v>
          </cell>
          <cell r="H927">
            <v>192000</v>
          </cell>
        </row>
        <row r="928">
          <cell r="F928" t="str">
            <v>Valve Ø 4" (100 mm)</v>
          </cell>
          <cell r="G928" t="str">
            <v>buah</v>
          </cell>
          <cell r="H928">
            <v>205000</v>
          </cell>
        </row>
        <row r="929">
          <cell r="F929" t="str">
            <v>Valve Ø 5" (125 mm)</v>
          </cell>
          <cell r="G929" t="str">
            <v>buah</v>
          </cell>
          <cell r="H929">
            <v>215000</v>
          </cell>
        </row>
        <row r="930">
          <cell r="F930" t="str">
            <v>Tee Ø 6" (150 mm)</v>
          </cell>
          <cell r="G930" t="str">
            <v>buah</v>
          </cell>
          <cell r="H930">
            <v>65000</v>
          </cell>
        </row>
        <row r="931">
          <cell r="F931" t="str">
            <v>Tee Ø 8" (200 mm)</v>
          </cell>
          <cell r="G931" t="str">
            <v>buah</v>
          </cell>
          <cell r="H931">
            <v>138000</v>
          </cell>
        </row>
        <row r="932">
          <cell r="F932" t="str">
            <v>Tee Ø 10" (250 mm)</v>
          </cell>
          <cell r="G932" t="str">
            <v>buah</v>
          </cell>
          <cell r="H932">
            <v>215000</v>
          </cell>
        </row>
        <row r="933">
          <cell r="F933" t="str">
            <v>Tee Ø 18" (450 mm)</v>
          </cell>
          <cell r="G933" t="str">
            <v>buah</v>
          </cell>
          <cell r="H933">
            <v>285000</v>
          </cell>
        </row>
        <row r="934">
          <cell r="F934" t="str">
            <v>Tee Ø 20" (500 mm)</v>
          </cell>
          <cell r="G934" t="str">
            <v>buah</v>
          </cell>
          <cell r="H934">
            <v>350000</v>
          </cell>
        </row>
        <row r="935">
          <cell r="F935" t="str">
            <v>Tee Ø 24" (600 mm)</v>
          </cell>
          <cell r="G935" t="str">
            <v>buah</v>
          </cell>
          <cell r="H935">
            <v>435000</v>
          </cell>
        </row>
        <row r="936">
          <cell r="F936" t="str">
            <v>Tee Ø 28" (700 mm)</v>
          </cell>
          <cell r="G936" t="str">
            <v>buah</v>
          </cell>
          <cell r="H936">
            <v>510000</v>
          </cell>
        </row>
        <row r="937">
          <cell r="F937" t="str">
            <v>Tee Ø 32" (800 mm)</v>
          </cell>
          <cell r="G937" t="str">
            <v>buah</v>
          </cell>
          <cell r="H937">
            <v>599000</v>
          </cell>
        </row>
        <row r="938">
          <cell r="F938" t="str">
            <v>Tee Ø 36" (900 mm)</v>
          </cell>
          <cell r="G938" t="str">
            <v>buah</v>
          </cell>
          <cell r="H938">
            <v>670000</v>
          </cell>
        </row>
        <row r="939">
          <cell r="F939" t="str">
            <v>Tee Ø 40" (1000 mm)</v>
          </cell>
          <cell r="G939" t="str">
            <v>buah</v>
          </cell>
          <cell r="H939">
            <v>750000</v>
          </cell>
        </row>
        <row r="940">
          <cell r="F940" t="str">
            <v>Tee Ø 44" (1100 mm)</v>
          </cell>
          <cell r="G940" t="str">
            <v>buah</v>
          </cell>
          <cell r="H940">
            <v>830000</v>
          </cell>
        </row>
        <row r="941">
          <cell r="F941" t="str">
            <v>Tee Ø 48" (1200 mm)</v>
          </cell>
          <cell r="G941" t="str">
            <v>buah</v>
          </cell>
          <cell r="H941">
            <v>950000</v>
          </cell>
        </row>
        <row r="942">
          <cell r="F942" t="str">
            <v>Tee Ø 1/2" (15 mm)</v>
          </cell>
          <cell r="G942" t="str">
            <v>buah</v>
          </cell>
          <cell r="H942">
            <v>20000</v>
          </cell>
        </row>
        <row r="943">
          <cell r="F943" t="str">
            <v>Tee Ø 3/4" (20 mm)</v>
          </cell>
          <cell r="G943" t="str">
            <v>buah</v>
          </cell>
          <cell r="H943">
            <v>27000</v>
          </cell>
        </row>
        <row r="944">
          <cell r="F944" t="str">
            <v>Tee Ø 1" (25 mm)</v>
          </cell>
          <cell r="G944" t="str">
            <v xml:space="preserve">buah </v>
          </cell>
          <cell r="H944">
            <v>30000</v>
          </cell>
        </row>
        <row r="945">
          <cell r="F945" t="str">
            <v>Tee Ø 1-1/4" (32 mm)</v>
          </cell>
          <cell r="G945" t="str">
            <v>buah</v>
          </cell>
          <cell r="H945">
            <v>32000</v>
          </cell>
        </row>
        <row r="946">
          <cell r="F946" t="str">
            <v>Tee Ø 1-1/2" (40 mm)</v>
          </cell>
          <cell r="G946" t="str">
            <v>buah</v>
          </cell>
          <cell r="H946">
            <v>39000</v>
          </cell>
        </row>
        <row r="947">
          <cell r="F947" t="str">
            <v>Tee Ø 2" (50 mm)</v>
          </cell>
          <cell r="G947" t="str">
            <v>buah</v>
          </cell>
          <cell r="H947">
            <v>42000</v>
          </cell>
        </row>
        <row r="948">
          <cell r="F948" t="str">
            <v>Tee Ø 2-1/2" (65 mm)</v>
          </cell>
          <cell r="G948" t="str">
            <v>buah</v>
          </cell>
          <cell r="H948">
            <v>48000</v>
          </cell>
        </row>
        <row r="949">
          <cell r="F949" t="str">
            <v>Tee Ø 5" (125 mm)</v>
          </cell>
          <cell r="G949" t="str">
            <v>buah</v>
          </cell>
          <cell r="H949">
            <v>55000</v>
          </cell>
        </row>
        <row r="950">
          <cell r="F950" t="str">
            <v>Tee Ø 3" (80 mm)</v>
          </cell>
          <cell r="G950" t="str">
            <v>buah</v>
          </cell>
          <cell r="H950">
            <v>59000</v>
          </cell>
        </row>
        <row r="951">
          <cell r="F951" t="str">
            <v>Tee Ø 4" (100 mm)</v>
          </cell>
          <cell r="G951" t="str">
            <v>buah</v>
          </cell>
          <cell r="H951">
            <v>62000</v>
          </cell>
        </row>
        <row r="952">
          <cell r="F952" t="str">
            <v>Tee Ø 12" (300 mm)</v>
          </cell>
          <cell r="G952" t="str">
            <v>buah</v>
          </cell>
          <cell r="H952">
            <v>235000</v>
          </cell>
        </row>
        <row r="953">
          <cell r="F953" t="str">
            <v>Tee Ø 16" (400 mm)</v>
          </cell>
          <cell r="G953" t="str">
            <v>buah</v>
          </cell>
          <cell r="H953">
            <v>255000</v>
          </cell>
        </row>
        <row r="955">
          <cell r="F955" t="str">
            <v>Baja (ulir) U-39</v>
          </cell>
          <cell r="G955" t="str">
            <v>kg</v>
          </cell>
          <cell r="H955">
            <v>14600</v>
          </cell>
        </row>
        <row r="956">
          <cell r="F956" t="str">
            <v>Baja (ulir) U-48</v>
          </cell>
          <cell r="G956" t="str">
            <v>kg</v>
          </cell>
          <cell r="H956">
            <v>14600</v>
          </cell>
        </row>
        <row r="957">
          <cell r="F957" t="str">
            <v>Baja Tahan Karat  ( Stainless  Steel )</v>
          </cell>
          <cell r="G957" t="str">
            <v>kg</v>
          </cell>
          <cell r="H957">
            <v>80340</v>
          </cell>
        </row>
        <row r="958">
          <cell r="F958" t="str">
            <v>Baja L 40.40.4</v>
          </cell>
          <cell r="G958" t="str">
            <v>kg</v>
          </cell>
          <cell r="H958">
            <v>14840</v>
          </cell>
        </row>
        <row r="959">
          <cell r="F959" t="str">
            <v>Frame besi L.30.30.3</v>
          </cell>
          <cell r="G959" t="str">
            <v>kg</v>
          </cell>
          <cell r="H959">
            <v>14840</v>
          </cell>
        </row>
        <row r="960">
          <cell r="F960" t="str">
            <v>Frame Allum L.10.1</v>
          </cell>
          <cell r="G960" t="str">
            <v>kg</v>
          </cell>
          <cell r="H960">
            <v>25000</v>
          </cell>
        </row>
        <row r="961">
          <cell r="F961" t="str">
            <v>Besi angkur diameter 8</v>
          </cell>
          <cell r="G961" t="str">
            <v>kg</v>
          </cell>
          <cell r="H961">
            <v>35000</v>
          </cell>
        </row>
        <row r="962">
          <cell r="F962" t="str">
            <v>Besi angkur/mur/baut</v>
          </cell>
          <cell r="G962" t="str">
            <v>kg</v>
          </cell>
          <cell r="H962">
            <v>16660</v>
          </cell>
        </row>
        <row r="964">
          <cell r="F964" t="str">
            <v xml:space="preserve">Baut </v>
          </cell>
          <cell r="G964" t="str">
            <v xml:space="preserve">kg </v>
          </cell>
          <cell r="H964">
            <v>17000</v>
          </cell>
        </row>
        <row r="965">
          <cell r="F965" t="str">
            <v>Besi hollow  38.38.2</v>
          </cell>
          <cell r="G965" t="str">
            <v>kg</v>
          </cell>
          <cell r="H965">
            <v>13700</v>
          </cell>
        </row>
        <row r="966">
          <cell r="F966" t="str">
            <v>Besi hollow  50.50.3</v>
          </cell>
          <cell r="G966" t="str">
            <v>kg</v>
          </cell>
          <cell r="H966">
            <v>13800</v>
          </cell>
        </row>
        <row r="967">
          <cell r="F967" t="str">
            <v>Besi hollow galvanis 40.40</v>
          </cell>
          <cell r="G967" t="str">
            <v>m'</v>
          </cell>
          <cell r="H967">
            <v>6250</v>
          </cell>
        </row>
        <row r="968">
          <cell r="F968" t="str">
            <v>Besi lis  kaca (1 x  1) cm</v>
          </cell>
          <cell r="G968" t="str">
            <v>m'</v>
          </cell>
          <cell r="H968">
            <v>10500</v>
          </cell>
        </row>
        <row r="969">
          <cell r="F969" t="str">
            <v>Besi plat baja tebal 2 mm</v>
          </cell>
          <cell r="G969" t="str">
            <v>kg</v>
          </cell>
          <cell r="H969">
            <v>25000</v>
          </cell>
        </row>
        <row r="970">
          <cell r="F970" t="str">
            <v>Besi profil</v>
          </cell>
          <cell r="G970" t="str">
            <v>kg</v>
          </cell>
          <cell r="H970">
            <v>14840</v>
          </cell>
        </row>
        <row r="971">
          <cell r="F971" t="str">
            <v>Besi siku</v>
          </cell>
          <cell r="G971" t="str">
            <v>kg</v>
          </cell>
          <cell r="H971">
            <v>14700</v>
          </cell>
        </row>
        <row r="972">
          <cell r="F972" t="str">
            <v>Besi siku 30x30x3 mm</v>
          </cell>
          <cell r="G972" t="str">
            <v>kg</v>
          </cell>
          <cell r="H972">
            <v>13000</v>
          </cell>
        </row>
        <row r="973">
          <cell r="F973" t="str">
            <v>Besi siku 40x40x4 mm</v>
          </cell>
          <cell r="G973" t="str">
            <v>kg</v>
          </cell>
          <cell r="H973">
            <v>15667</v>
          </cell>
        </row>
        <row r="974">
          <cell r="F974" t="str">
            <v xml:space="preserve">Baja Profil Siku </v>
          </cell>
          <cell r="G974" t="str">
            <v>kg</v>
          </cell>
          <cell r="H974">
            <v>15500</v>
          </cell>
        </row>
        <row r="975">
          <cell r="F975" t="str">
            <v>Besi siku 40x40x4</v>
          </cell>
          <cell r="G975" t="str">
            <v>m'</v>
          </cell>
          <cell r="H975">
            <v>20825</v>
          </cell>
        </row>
        <row r="976">
          <cell r="F976" t="str">
            <v>Besi siku 20x20 tebal 2 mm</v>
          </cell>
          <cell r="G976" t="str">
            <v>m</v>
          </cell>
          <cell r="H976">
            <v>19500</v>
          </cell>
        </row>
        <row r="977">
          <cell r="F977" t="str">
            <v>Besi strip</v>
          </cell>
          <cell r="G977" t="str">
            <v>kg</v>
          </cell>
          <cell r="H977">
            <v>7500</v>
          </cell>
        </row>
        <row r="978">
          <cell r="F978" t="str">
            <v xml:space="preserve">Teralis Besi Strip lengkap dengan accessories </v>
          </cell>
          <cell r="G978" t="str">
            <v>M2</v>
          </cell>
          <cell r="H978">
            <v>150000</v>
          </cell>
        </row>
        <row r="979">
          <cell r="F979" t="str">
            <v>Pelat Strip t=2,6 mm, L=12 cm</v>
          </cell>
          <cell r="G979" t="str">
            <v>buah</v>
          </cell>
          <cell r="H979">
            <v>21000</v>
          </cell>
        </row>
        <row r="980">
          <cell r="F980" t="str">
            <v>Pelat Strip t=2,6 mm, L=14 cm</v>
          </cell>
          <cell r="G980" t="str">
            <v>buah</v>
          </cell>
          <cell r="H980">
            <v>29000</v>
          </cell>
        </row>
        <row r="981">
          <cell r="F981" t="str">
            <v>Pelat Strip t=2,6 mm, L=17 cm</v>
          </cell>
          <cell r="G981" t="str">
            <v xml:space="preserve">buah </v>
          </cell>
          <cell r="H981">
            <v>39000</v>
          </cell>
        </row>
        <row r="982">
          <cell r="F982" t="str">
            <v>Pelat Strip t=2,6 mm, L=34 cm</v>
          </cell>
          <cell r="G982" t="str">
            <v>buah</v>
          </cell>
          <cell r="H982">
            <v>58000</v>
          </cell>
        </row>
        <row r="983">
          <cell r="F983" t="str">
            <v xml:space="preserve">Angkur Baja Full Drat ASTM 307 dia. 10 mm Panjang 35 cm </v>
          </cell>
          <cell r="G983" t="str">
            <v>buah</v>
          </cell>
          <cell r="H983">
            <v>9200</v>
          </cell>
        </row>
        <row r="984">
          <cell r="F984" t="str">
            <v xml:space="preserve">Angkur Baja Full Drat ASTM 307 dia 10 mm Panjang 65 cm </v>
          </cell>
          <cell r="G984" t="str">
            <v>buah</v>
          </cell>
          <cell r="H984">
            <v>18000</v>
          </cell>
        </row>
        <row r="985">
          <cell r="F985" t="str">
            <v>Besi strip (0,2x2) cm</v>
          </cell>
          <cell r="G985" t="str">
            <v>m'</v>
          </cell>
          <cell r="H985">
            <v>5000</v>
          </cell>
        </row>
        <row r="986">
          <cell r="F986" t="str">
            <v>Besi strip (0,2x2) cm</v>
          </cell>
          <cell r="G986" t="str">
            <v>kg</v>
          </cell>
          <cell r="H986">
            <v>15000</v>
          </cell>
        </row>
        <row r="987">
          <cell r="F987" t="str">
            <v>Besi strip (20x3) mm</v>
          </cell>
          <cell r="G987" t="str">
            <v>kg</v>
          </cell>
          <cell r="H987">
            <v>17250</v>
          </cell>
        </row>
        <row r="988">
          <cell r="F988" t="str">
            <v>Plat Strip 3/30 mm</v>
          </cell>
          <cell r="G988" t="str">
            <v>m'</v>
          </cell>
          <cell r="H988">
            <v>9900</v>
          </cell>
        </row>
        <row r="989">
          <cell r="F989" t="str">
            <v>Besi strip tebal 5 mm</v>
          </cell>
          <cell r="G989" t="str">
            <v>kg</v>
          </cell>
          <cell r="H989">
            <v>7500</v>
          </cell>
        </row>
        <row r="990">
          <cell r="F990" t="str">
            <v>BjTP</v>
          </cell>
          <cell r="G990" t="str">
            <v>kg</v>
          </cell>
          <cell r="H990">
            <v>14250</v>
          </cell>
        </row>
        <row r="991">
          <cell r="F991" t="str">
            <v>Baja Tulangan Polos (BjTP) diameter &lt; 12 mm</v>
          </cell>
          <cell r="G991" t="str">
            <v xml:space="preserve">kg </v>
          </cell>
          <cell r="H991">
            <v>14250</v>
          </cell>
        </row>
        <row r="992">
          <cell r="F992" t="str">
            <v>Baja Tulangan Polos (BjTP) diameter &gt;12 mm</v>
          </cell>
          <cell r="G992" t="str">
            <v xml:space="preserve">kg </v>
          </cell>
          <cell r="H992">
            <v>16000</v>
          </cell>
        </row>
        <row r="993">
          <cell r="F993" t="str">
            <v>BjTS</v>
          </cell>
          <cell r="G993" t="str">
            <v>kg</v>
          </cell>
          <cell r="H993">
            <v>14500</v>
          </cell>
        </row>
        <row r="994">
          <cell r="F994" t="str">
            <v>Baja Tulangan Sirip (BjTS) diameter &lt; 12 mm</v>
          </cell>
          <cell r="G994" t="str">
            <v xml:space="preserve">kg </v>
          </cell>
          <cell r="H994">
            <v>14500</v>
          </cell>
        </row>
        <row r="995">
          <cell r="F995" t="str">
            <v>Baja Tulangan Sirip (BjTS) diameter &gt;12 mm</v>
          </cell>
          <cell r="G995" t="str">
            <v xml:space="preserve">kg </v>
          </cell>
          <cell r="H995">
            <v>16500</v>
          </cell>
        </row>
        <row r="996">
          <cell r="F996" t="str">
            <v>Bronjong kawat  pabrikan Uk.2x1x0,5 ø  3mm mesh 8x10</v>
          </cell>
          <cell r="G996" t="str">
            <v>Unit</v>
          </cell>
          <cell r="H996">
            <v>460000</v>
          </cell>
        </row>
        <row r="997">
          <cell r="F997" t="str">
            <v>Bronjong kawat  pabrikan Uk.3x1,5x0,5 ø  3mm mesh 8x10</v>
          </cell>
          <cell r="G997" t="str">
            <v>Unit</v>
          </cell>
          <cell r="H997">
            <v>891000</v>
          </cell>
        </row>
        <row r="998">
          <cell r="F998" t="str">
            <v>Bronjong kawat  pabrikan Uk.3x1x0,5 ø  3mm mesh 8x10</v>
          </cell>
          <cell r="G998" t="str">
            <v>Unit</v>
          </cell>
          <cell r="H998">
            <v>656000</v>
          </cell>
        </row>
        <row r="999">
          <cell r="F999" t="str">
            <v>Bronjong kawat  pabrikan Uk.4x1x0,5 ø  3mm mesh 8x10</v>
          </cell>
          <cell r="G999" t="str">
            <v>Unit</v>
          </cell>
          <cell r="H999">
            <v>805000</v>
          </cell>
        </row>
        <row r="1000">
          <cell r="F1000" t="str">
            <v>Dinabolt dia. 12mm (10-15 cm)</v>
          </cell>
          <cell r="G1000" t="str">
            <v>buah</v>
          </cell>
          <cell r="H1000">
            <v>4550</v>
          </cell>
        </row>
        <row r="1001">
          <cell r="F1001" t="str">
            <v>Dynabolt M12</v>
          </cell>
          <cell r="G1001" t="str">
            <v xml:space="preserve">buah </v>
          </cell>
          <cell r="H1001">
            <v>30500</v>
          </cell>
        </row>
        <row r="1002">
          <cell r="F1002" t="str">
            <v>Jaring Kawat Baja dilas</v>
          </cell>
          <cell r="G1002" t="str">
            <v>kg</v>
          </cell>
          <cell r="H1002">
            <v>15150</v>
          </cell>
        </row>
        <row r="1003">
          <cell r="F1003" t="str">
            <v>Kawat  bronjong</v>
          </cell>
          <cell r="G1003" t="str">
            <v>kg</v>
          </cell>
          <cell r="H1003">
            <v>15680</v>
          </cell>
        </row>
        <row r="1004">
          <cell r="F1004" t="str">
            <v>Kawat  duri</v>
          </cell>
          <cell r="G1004" t="str">
            <v>roll</v>
          </cell>
          <cell r="H1004">
            <v>116750</v>
          </cell>
        </row>
        <row r="1005">
          <cell r="F1005" t="str">
            <v>Kawat  galvanis  Ø 3 mm</v>
          </cell>
          <cell r="G1005" t="str">
            <v>kg</v>
          </cell>
          <cell r="H1005">
            <v>26020</v>
          </cell>
        </row>
        <row r="1006">
          <cell r="F1006" t="str">
            <v>Kawat  galvanis  Ø 4 mm</v>
          </cell>
          <cell r="G1006" t="str">
            <v>kg</v>
          </cell>
          <cell r="H1006">
            <v>25400</v>
          </cell>
        </row>
        <row r="1007">
          <cell r="F1007" t="str">
            <v>Kawat  galvanis  Ø 5 mm</v>
          </cell>
          <cell r="G1007" t="str">
            <v>kg</v>
          </cell>
          <cell r="H1007">
            <v>22800</v>
          </cell>
        </row>
        <row r="1008">
          <cell r="F1008" t="str">
            <v>Kawat  harmonika 12 x  24 mm</v>
          </cell>
          <cell r="G1008" t="str">
            <v>m2</v>
          </cell>
          <cell r="H1008">
            <v>28450</v>
          </cell>
        </row>
        <row r="1009">
          <cell r="F1009" t="str">
            <v>Kawat  harmonika 14 x  30 mm</v>
          </cell>
          <cell r="G1009" t="str">
            <v>m2</v>
          </cell>
          <cell r="H1009">
            <v>28470</v>
          </cell>
        </row>
        <row r="1010">
          <cell r="F1010" t="str">
            <v>Kawat  harmonika 14 x  35 mm</v>
          </cell>
          <cell r="G1010" t="str">
            <v>m2</v>
          </cell>
          <cell r="H1010">
            <v>27900</v>
          </cell>
        </row>
        <row r="1011">
          <cell r="F1011" t="str">
            <v>Kawat  kasa</v>
          </cell>
          <cell r="G1011" t="str">
            <v>m2</v>
          </cell>
          <cell r="H1011">
            <v>26900</v>
          </cell>
        </row>
        <row r="1012">
          <cell r="F1012" t="str">
            <v>Kawat beton</v>
          </cell>
          <cell r="G1012" t="str">
            <v>kg</v>
          </cell>
          <cell r="H1012">
            <v>18800</v>
          </cell>
        </row>
        <row r="1013">
          <cell r="F1013" t="str">
            <v>Kawat bendrat</v>
          </cell>
          <cell r="G1013" t="str">
            <v xml:space="preserve">kg </v>
          </cell>
          <cell r="H1013">
            <v>18800</v>
          </cell>
        </row>
        <row r="1014">
          <cell r="F1014" t="str">
            <v>Kawat duri</v>
          </cell>
          <cell r="G1014" t="str">
            <v>m'</v>
          </cell>
          <cell r="H1014">
            <v>1750</v>
          </cell>
        </row>
        <row r="1015">
          <cell r="F1015" t="str">
            <v>Kawat seng 3mm</v>
          </cell>
          <cell r="G1015" t="str">
            <v>kg</v>
          </cell>
          <cell r="H1015">
            <v>18800</v>
          </cell>
        </row>
        <row r="1016">
          <cell r="F1016" t="str">
            <v>Kawat harmonika</v>
          </cell>
          <cell r="G1016" t="str">
            <v>m2</v>
          </cell>
          <cell r="H1016">
            <v>34620</v>
          </cell>
        </row>
        <row r="1017">
          <cell r="F1017" t="str">
            <v>Kawat jaring panjang 240 cm</v>
          </cell>
          <cell r="G1017" t="str">
            <v>lembar</v>
          </cell>
          <cell r="H1017">
            <v>300000</v>
          </cell>
        </row>
        <row r="1018">
          <cell r="F1018" t="str">
            <v>Kawat las</v>
          </cell>
          <cell r="G1018" t="str">
            <v>kg</v>
          </cell>
          <cell r="H1018">
            <v>45550</v>
          </cell>
        </row>
        <row r="1019">
          <cell r="F1019" t="str">
            <v>Kawat nyamuk</v>
          </cell>
          <cell r="G1019" t="str">
            <v>m3</v>
          </cell>
          <cell r="H1019">
            <v>20190</v>
          </cell>
        </row>
        <row r="1020">
          <cell r="F1020" t="str">
            <v>Kawat nyamuk nylon</v>
          </cell>
          <cell r="G1020" t="str">
            <v>m2</v>
          </cell>
          <cell r="H1020">
            <v>18000</v>
          </cell>
        </row>
        <row r="1021">
          <cell r="F1021" t="str">
            <v>Kawat Ø 4 mm</v>
          </cell>
          <cell r="G1021" t="str">
            <v>kg</v>
          </cell>
          <cell r="H1021">
            <v>35000</v>
          </cell>
        </row>
        <row r="1022">
          <cell r="F1022" t="str">
            <v>Lapisan hot  deep galvanis</v>
          </cell>
          <cell r="G1022" t="str">
            <v>kg</v>
          </cell>
          <cell r="H1022">
            <v>8400</v>
          </cell>
        </row>
        <row r="1023">
          <cell r="F1023" t="str">
            <v>Paku</v>
          </cell>
          <cell r="G1023" t="str">
            <v>kg</v>
          </cell>
          <cell r="H1023">
            <v>20000</v>
          </cell>
        </row>
        <row r="1024">
          <cell r="F1024" t="str">
            <v>Paku 1 inch</v>
          </cell>
          <cell r="G1024" t="str">
            <v>kg</v>
          </cell>
          <cell r="H1024">
            <v>15000</v>
          </cell>
        </row>
        <row r="1025">
          <cell r="F1025" t="str">
            <v>Paku 12 cm</v>
          </cell>
          <cell r="G1025" t="str">
            <v>buah</v>
          </cell>
          <cell r="H1025">
            <v>1500</v>
          </cell>
        </row>
        <row r="1026">
          <cell r="F1026" t="str">
            <v>Paku 2 inch</v>
          </cell>
          <cell r="G1026" t="str">
            <v>kg</v>
          </cell>
          <cell r="H1026">
            <v>18000</v>
          </cell>
        </row>
        <row r="1027">
          <cell r="F1027" t="str">
            <v>Paku 4 inch</v>
          </cell>
          <cell r="G1027" t="str">
            <v>kg</v>
          </cell>
          <cell r="H1027">
            <v>19000</v>
          </cell>
        </row>
        <row r="1028">
          <cell r="F1028" t="str">
            <v>Paku biasa 5 inchi</v>
          </cell>
          <cell r="G1028" t="str">
            <v>kg</v>
          </cell>
          <cell r="H1028">
            <v>20000</v>
          </cell>
        </row>
        <row r="1029">
          <cell r="F1029" t="str">
            <v xml:space="preserve">Paku 5 dan 10 cm </v>
          </cell>
          <cell r="G1029" t="str">
            <v xml:space="preserve">kg </v>
          </cell>
          <cell r="H1029">
            <v>20000</v>
          </cell>
        </row>
        <row r="1030">
          <cell r="F1030" t="str">
            <v>Paku 5 dan 7 cm</v>
          </cell>
          <cell r="G1030" t="str">
            <v>kg</v>
          </cell>
          <cell r="H1030">
            <v>20000</v>
          </cell>
        </row>
        <row r="1031">
          <cell r="F1031" t="str">
            <v xml:space="preserve">Paku 7 - 10 cm </v>
          </cell>
          <cell r="G1031" t="str">
            <v>kg</v>
          </cell>
          <cell r="H1031">
            <v>20000</v>
          </cell>
        </row>
        <row r="1032">
          <cell r="F1032" t="str">
            <v xml:space="preserve">Paku 3 cm </v>
          </cell>
          <cell r="G1032" t="str">
            <v>kg</v>
          </cell>
          <cell r="H1032">
            <v>15000</v>
          </cell>
        </row>
        <row r="1033">
          <cell r="F1033" t="str">
            <v xml:space="preserve">Paku Tripleks </v>
          </cell>
          <cell r="G1033" t="str">
            <v>kg</v>
          </cell>
          <cell r="H1033">
            <v>17500</v>
          </cell>
        </row>
        <row r="1034">
          <cell r="F1034" t="str">
            <v>Paku beton</v>
          </cell>
          <cell r="G1034" t="str">
            <v>kg</v>
          </cell>
          <cell r="H1034">
            <v>39450</v>
          </cell>
        </row>
        <row r="1035">
          <cell r="F1035" t="str">
            <v>Paku Beton 5 cm</v>
          </cell>
          <cell r="G1035" t="str">
            <v>buah</v>
          </cell>
          <cell r="H1035">
            <v>200</v>
          </cell>
        </row>
        <row r="1036">
          <cell r="F1036" t="str">
            <v>Paku hak panj 15cm</v>
          </cell>
          <cell r="G1036" t="str">
            <v>kg</v>
          </cell>
          <cell r="H1036">
            <v>22070</v>
          </cell>
        </row>
        <row r="1037">
          <cell r="F1037" t="str">
            <v>Paku pancing 6x23</v>
          </cell>
          <cell r="G1037" t="str">
            <v>kg</v>
          </cell>
          <cell r="H1037">
            <v>19460</v>
          </cell>
        </row>
        <row r="1038">
          <cell r="F1038" t="str">
            <v>Paku payung</v>
          </cell>
          <cell r="G1038" t="str">
            <v>kg</v>
          </cell>
          <cell r="H1038">
            <v>35590</v>
          </cell>
        </row>
        <row r="1039">
          <cell r="F1039" t="str">
            <v>Paku rivet</v>
          </cell>
          <cell r="G1039" t="str">
            <v>buah</v>
          </cell>
          <cell r="H1039">
            <v>200</v>
          </cell>
        </row>
        <row r="1040">
          <cell r="F1040" t="str">
            <v>Paku sekrup</v>
          </cell>
          <cell r="G1040" t="str">
            <v>kg</v>
          </cell>
          <cell r="H1040">
            <v>30090</v>
          </cell>
        </row>
        <row r="1041">
          <cell r="F1041" t="str">
            <v>Paku sekrup (buah)</v>
          </cell>
          <cell r="G1041" t="str">
            <v>buah</v>
          </cell>
          <cell r="H1041">
            <v>1600</v>
          </cell>
        </row>
        <row r="1042">
          <cell r="F1042" t="str">
            <v>Paku Sekrup 1-2 cm</v>
          </cell>
          <cell r="G1042" t="str">
            <v>buah</v>
          </cell>
          <cell r="H1042">
            <v>1600</v>
          </cell>
        </row>
        <row r="1043">
          <cell r="F1043" t="str">
            <v>Paku Fishes/kotak</v>
          </cell>
          <cell r="G1043" t="str">
            <v>kotak</v>
          </cell>
          <cell r="H1043">
            <v>29000</v>
          </cell>
        </row>
        <row r="1044">
          <cell r="F1044" t="str">
            <v xml:space="preserve">Paku Fishes </v>
          </cell>
          <cell r="G1044" t="str">
            <v xml:space="preserve">buah </v>
          </cell>
          <cell r="H1044">
            <v>580</v>
          </cell>
        </row>
        <row r="1045">
          <cell r="F1045" t="str">
            <v>Pintu tahan api</v>
          </cell>
          <cell r="G1045" t="str">
            <v>unit</v>
          </cell>
          <cell r="H1045">
            <v>8000000</v>
          </cell>
        </row>
        <row r="1046">
          <cell r="F1046" t="str">
            <v>Pipa baja dia. 30 cm</v>
          </cell>
          <cell r="G1046" t="str">
            <v>m'</v>
          </cell>
          <cell r="H1046">
            <v>1680000</v>
          </cell>
        </row>
        <row r="1047">
          <cell r="F1047" t="str">
            <v>Pipa baja dia. 40 cm</v>
          </cell>
          <cell r="G1047" t="str">
            <v>m'</v>
          </cell>
          <cell r="H1047">
            <v>2240000</v>
          </cell>
        </row>
        <row r="1048">
          <cell r="F1048" t="str">
            <v>Pipa baja dia. 50 cm</v>
          </cell>
          <cell r="G1048" t="str">
            <v>m'</v>
          </cell>
          <cell r="H1048">
            <v>2800000</v>
          </cell>
        </row>
        <row r="1049">
          <cell r="F1049" t="str">
            <v>Pipa besi hitam 1 inch</v>
          </cell>
          <cell r="G1049" t="str">
            <v>m'</v>
          </cell>
          <cell r="H1049">
            <v>15500</v>
          </cell>
        </row>
        <row r="1050">
          <cell r="F1050" t="str">
            <v>Pipa besi hitam 1,5 inch</v>
          </cell>
          <cell r="G1050" t="str">
            <v>m'</v>
          </cell>
          <cell r="H1050">
            <v>22000</v>
          </cell>
        </row>
        <row r="1051">
          <cell r="F1051" t="str">
            <v>Pipa besi hitam 2 inch</v>
          </cell>
          <cell r="G1051" t="str">
            <v>m'</v>
          </cell>
          <cell r="H1051">
            <v>31000</v>
          </cell>
        </row>
        <row r="1052">
          <cell r="F1052" t="str">
            <v>Pipa besi hitam 3 inch</v>
          </cell>
          <cell r="G1052" t="str">
            <v>m'</v>
          </cell>
          <cell r="H1052">
            <v>42000</v>
          </cell>
        </row>
        <row r="1053">
          <cell r="F1053" t="str">
            <v>Saringan pasir</v>
          </cell>
          <cell r="G1053" t="str">
            <v>m'</v>
          </cell>
          <cell r="H1053">
            <v>16650</v>
          </cell>
        </row>
        <row r="1054">
          <cell r="F1054" t="str">
            <v>Sekrup kait</v>
          </cell>
          <cell r="G1054" t="str">
            <v>buah</v>
          </cell>
          <cell r="H1054">
            <v>700</v>
          </cell>
        </row>
        <row r="1055">
          <cell r="F1055" t="str">
            <v>Wiremesh M10</v>
          </cell>
          <cell r="G1055" t="str">
            <v>kg</v>
          </cell>
          <cell r="H1055">
            <v>12430</v>
          </cell>
        </row>
        <row r="1056">
          <cell r="F1056" t="str">
            <v>Wiremesh M12</v>
          </cell>
          <cell r="G1056" t="str">
            <v>kg</v>
          </cell>
          <cell r="H1056">
            <v>12660</v>
          </cell>
        </row>
        <row r="1057">
          <cell r="F1057" t="str">
            <v>Wiremesh M6</v>
          </cell>
          <cell r="G1057" t="str">
            <v>kg</v>
          </cell>
          <cell r="H1057">
            <v>11522</v>
          </cell>
        </row>
        <row r="1058">
          <cell r="F1058" t="str">
            <v>Wiremesh M7</v>
          </cell>
          <cell r="G1058" t="str">
            <v>kg</v>
          </cell>
          <cell r="H1058">
            <v>11816</v>
          </cell>
        </row>
        <row r="1059">
          <cell r="F1059" t="str">
            <v>Wiremesh M8</v>
          </cell>
          <cell r="G1059" t="str">
            <v>kg</v>
          </cell>
          <cell r="H1059">
            <v>12049</v>
          </cell>
        </row>
        <row r="1060">
          <cell r="F1060" t="str">
            <v>Wiremesh M9</v>
          </cell>
          <cell r="G1060" t="str">
            <v>kg</v>
          </cell>
          <cell r="H1060">
            <v>12276</v>
          </cell>
        </row>
        <row r="1062">
          <cell r="F1062" t="str">
            <v>Aluminium gelombang 95x180 cm</v>
          </cell>
          <cell r="G1062" t="str">
            <v>lembar</v>
          </cell>
          <cell r="H1062">
            <v>180400</v>
          </cell>
        </row>
        <row r="1063">
          <cell r="F1063" t="str">
            <v>Asbes  gelombang kecil 4mm (150x105)</v>
          </cell>
          <cell r="G1063" t="str">
            <v>lembar</v>
          </cell>
          <cell r="H1063">
            <v>47800</v>
          </cell>
        </row>
        <row r="1064">
          <cell r="F1064" t="str">
            <v>Asbes  gelombang kecil 4mm (180x105)</v>
          </cell>
          <cell r="G1064" t="str">
            <v>lembar</v>
          </cell>
          <cell r="H1064">
            <v>57300</v>
          </cell>
        </row>
        <row r="1065">
          <cell r="F1065" t="str">
            <v>Asbes  gelombang kecil 4mm (210x105)</v>
          </cell>
          <cell r="G1065" t="str">
            <v>lembar</v>
          </cell>
          <cell r="H1065">
            <v>65300</v>
          </cell>
        </row>
        <row r="1066">
          <cell r="F1066" t="str">
            <v>Asbes  gelombang kecil 4mm (240x105)</v>
          </cell>
          <cell r="G1066" t="str">
            <v>lembar</v>
          </cell>
          <cell r="H1066">
            <v>75500</v>
          </cell>
        </row>
        <row r="1067">
          <cell r="F1067" t="str">
            <v>Asbes gelombang besar 5 mm, 150x105 cm</v>
          </cell>
          <cell r="G1067" t="str">
            <v>lembar</v>
          </cell>
          <cell r="H1067">
            <v>120000</v>
          </cell>
        </row>
        <row r="1068">
          <cell r="F1068" t="str">
            <v>Asbes gelombang besar 5 mm, 180x92 cm</v>
          </cell>
          <cell r="G1068" t="str">
            <v>lembar</v>
          </cell>
          <cell r="H1068">
            <v>85500</v>
          </cell>
        </row>
        <row r="1069">
          <cell r="F1069" t="str">
            <v>Asbes gelombang besar 5 mm, 200x92 cm</v>
          </cell>
          <cell r="G1069" t="str">
            <v>lembar</v>
          </cell>
          <cell r="H1069">
            <v>94000</v>
          </cell>
        </row>
        <row r="1070">
          <cell r="F1070" t="str">
            <v>Asbes gelombang besar 5 mm, 210x105 cm</v>
          </cell>
          <cell r="G1070" t="str">
            <v>lembar</v>
          </cell>
          <cell r="H1070">
            <v>125000</v>
          </cell>
        </row>
        <row r="1071">
          <cell r="F1071" t="str">
            <v>Asbes gelombang besar 5 mm, 225x92 cm</v>
          </cell>
          <cell r="G1071" t="str">
            <v>lembar</v>
          </cell>
          <cell r="H1071">
            <v>104900</v>
          </cell>
        </row>
        <row r="1072">
          <cell r="F1072" t="str">
            <v>Asbes gelombang besar 5 mm, 240x105 cm</v>
          </cell>
          <cell r="G1072" t="str">
            <v>lembar</v>
          </cell>
          <cell r="H1072">
            <v>130000</v>
          </cell>
        </row>
        <row r="1073">
          <cell r="F1073" t="str">
            <v>Asbes gelombang besar 5 mm, 250x92 cm</v>
          </cell>
          <cell r="G1073" t="str">
            <v>lembar</v>
          </cell>
          <cell r="H1073">
            <v>113400</v>
          </cell>
        </row>
        <row r="1074">
          <cell r="F1074" t="str">
            <v>Asbes gelombang besar 5 mm, 300x105 cm</v>
          </cell>
          <cell r="G1074" t="str">
            <v>lembar</v>
          </cell>
          <cell r="H1074">
            <v>135000</v>
          </cell>
        </row>
        <row r="1075">
          <cell r="F1075" t="str">
            <v>Asbes gelombang besar 6 mm, 180x108 cm</v>
          </cell>
          <cell r="G1075" t="str">
            <v>lembar</v>
          </cell>
          <cell r="H1075">
            <v>93000</v>
          </cell>
        </row>
        <row r="1076">
          <cell r="F1076" t="str">
            <v>Asbes gelombang besar 6 mm, 210x108 cm</v>
          </cell>
          <cell r="G1076" t="str">
            <v>lembar</v>
          </cell>
          <cell r="H1076">
            <v>92900</v>
          </cell>
        </row>
        <row r="1077">
          <cell r="F1077" t="str">
            <v>Asbes gelombang besar 6 mm, 240x108 cm</v>
          </cell>
          <cell r="G1077" t="str">
            <v>lembar</v>
          </cell>
          <cell r="H1077">
            <v>99600</v>
          </cell>
        </row>
        <row r="1078">
          <cell r="F1078" t="str">
            <v>Asbes gelombang besar 6 mm, 270x108 cm</v>
          </cell>
          <cell r="G1078" t="str">
            <v>lembar</v>
          </cell>
          <cell r="H1078">
            <v>113400</v>
          </cell>
        </row>
        <row r="1079">
          <cell r="F1079" t="str">
            <v>Asbes gelombang besar 6 mm, 300x108 cm</v>
          </cell>
          <cell r="G1079" t="str">
            <v>lembar</v>
          </cell>
          <cell r="H1079">
            <v>131000</v>
          </cell>
        </row>
        <row r="1080">
          <cell r="F1080" t="str">
            <v>Asbes gelombang kecil 4 mm, 270x105 cm</v>
          </cell>
          <cell r="G1080" t="str">
            <v>lembar</v>
          </cell>
          <cell r="H1080">
            <v>88400</v>
          </cell>
        </row>
        <row r="1081">
          <cell r="F1081" t="str">
            <v>Asbes gelombang kecil 4 mm, 300x105 cm</v>
          </cell>
          <cell r="G1081" t="str">
            <v>lembar</v>
          </cell>
          <cell r="H1081">
            <v>100500</v>
          </cell>
        </row>
        <row r="1082">
          <cell r="F1082" t="str">
            <v>Atap metal berpasir</v>
          </cell>
          <cell r="G1082" t="str">
            <v>m2</v>
          </cell>
          <cell r="H1082">
            <v>112500</v>
          </cell>
        </row>
        <row r="1083">
          <cell r="F1083" t="str">
            <v>Atap metal lembaran</v>
          </cell>
          <cell r="G1083" t="str">
            <v>m2</v>
          </cell>
          <cell r="H1083">
            <v>112500</v>
          </cell>
        </row>
        <row r="1084">
          <cell r="F1084" t="str">
            <v>Atap metal menerus</v>
          </cell>
          <cell r="G1084" t="str">
            <v>m2</v>
          </cell>
          <cell r="H1084">
            <v>80000</v>
          </cell>
        </row>
        <row r="1085">
          <cell r="F1085" t="str">
            <v>Atap Rumbia /  Atap Saung 150cmx50cm</v>
          </cell>
          <cell r="G1085" t="str">
            <v>buah</v>
          </cell>
          <cell r="H1085">
            <v>20000</v>
          </cell>
        </row>
        <row r="1086">
          <cell r="F1086" t="str">
            <v>Atap UPVC uk. 86x119 cm</v>
          </cell>
          <cell r="G1086" t="str">
            <v>m2</v>
          </cell>
          <cell r="H1086">
            <v>200000</v>
          </cell>
        </row>
        <row r="1087">
          <cell r="F1087" t="str">
            <v>Bitumen tekstur genting</v>
          </cell>
          <cell r="G1087" t="str">
            <v>lembar</v>
          </cell>
          <cell r="H1087">
            <v>62700</v>
          </cell>
        </row>
        <row r="1088">
          <cell r="F1088" t="str">
            <v>Bubung genteng kodok</v>
          </cell>
          <cell r="G1088" t="str">
            <v>buah</v>
          </cell>
          <cell r="H1088">
            <v>8600</v>
          </cell>
        </row>
        <row r="1089">
          <cell r="F1089" t="str">
            <v>Bubung genteng palentong</v>
          </cell>
          <cell r="G1089" t="str">
            <v>buah</v>
          </cell>
          <cell r="H1089">
            <v>10700</v>
          </cell>
        </row>
        <row r="1090">
          <cell r="F1090" t="str">
            <v>Bubungan asbes  besar</v>
          </cell>
          <cell r="G1090" t="str">
            <v>buah</v>
          </cell>
          <cell r="H1090">
            <v>30700</v>
          </cell>
        </row>
        <row r="1091">
          <cell r="F1091" t="str">
            <v>Bubungan asbes  kecil</v>
          </cell>
          <cell r="G1091" t="str">
            <v>buah</v>
          </cell>
          <cell r="H1091">
            <v>48100</v>
          </cell>
        </row>
        <row r="1092">
          <cell r="F1092" t="str">
            <v>Bubungan beton press</v>
          </cell>
          <cell r="G1092" t="str">
            <v>buah</v>
          </cell>
          <cell r="H1092">
            <v>5300</v>
          </cell>
        </row>
        <row r="1093">
          <cell r="F1093" t="str">
            <v>Fibre glass  (jabes) 180x105 cm</v>
          </cell>
          <cell r="G1093" t="str">
            <v>lembar</v>
          </cell>
          <cell r="H1093">
            <v>78500</v>
          </cell>
        </row>
        <row r="1094">
          <cell r="F1094" t="str">
            <v>Fibre glass  (jabes) 200x92 cm</v>
          </cell>
          <cell r="G1094" t="str">
            <v>lembar</v>
          </cell>
          <cell r="H1094">
            <v>68500</v>
          </cell>
        </row>
        <row r="1095">
          <cell r="F1095" t="str">
            <v>Fibre glass  (jabes) 210x105 cm</v>
          </cell>
          <cell r="G1095" t="str">
            <v>buah</v>
          </cell>
          <cell r="H1095">
            <v>89700</v>
          </cell>
        </row>
        <row r="1096">
          <cell r="F1096" t="str">
            <v>Fibre glass  (jabes) 250x105 cm</v>
          </cell>
          <cell r="G1096" t="str">
            <v>buah</v>
          </cell>
          <cell r="H1096">
            <v>122300</v>
          </cell>
        </row>
        <row r="1097">
          <cell r="F1097" t="str">
            <v>Fibre glass  (jabes) 250x92 cm</v>
          </cell>
          <cell r="G1097" t="str">
            <v>buah</v>
          </cell>
          <cell r="H1097">
            <v>162500</v>
          </cell>
        </row>
        <row r="1098">
          <cell r="F1098" t="str">
            <v>Fibreglass 180x90 cm</v>
          </cell>
          <cell r="G1098" t="str">
            <v>lembar</v>
          </cell>
          <cell r="H1098">
            <v>59600</v>
          </cell>
        </row>
        <row r="1099">
          <cell r="F1099" t="str">
            <v>Frame 'S' 85.50 tinggi profil 85 dan tebal 0,75  mm</v>
          </cell>
          <cell r="G1099" t="str">
            <v>batang</v>
          </cell>
          <cell r="H1099">
            <v>145000</v>
          </cell>
        </row>
        <row r="1100">
          <cell r="F1100" t="str">
            <v>Galvalum Gelombang Lapis  Pasir</v>
          </cell>
          <cell r="G1100" t="str">
            <v>lembar</v>
          </cell>
          <cell r="H1100">
            <v>61200</v>
          </cell>
        </row>
        <row r="1101">
          <cell r="F1101" t="str">
            <v>Genteng aspal 80x100 cm</v>
          </cell>
          <cell r="G1101" t="str">
            <v>buah</v>
          </cell>
          <cell r="H1101">
            <v>149700</v>
          </cell>
        </row>
        <row r="1102">
          <cell r="F1102" t="str">
            <v>Genteng beton</v>
          </cell>
          <cell r="G1102" t="str">
            <v>buah</v>
          </cell>
          <cell r="H1102">
            <v>6800</v>
          </cell>
        </row>
        <row r="1103">
          <cell r="F1103" t="str">
            <v>Genteng decra bond</v>
          </cell>
          <cell r="G1103" t="str">
            <v>buah</v>
          </cell>
          <cell r="H1103">
            <v>9800</v>
          </cell>
        </row>
        <row r="1104">
          <cell r="F1104" t="str">
            <v>Genteng kodok</v>
          </cell>
          <cell r="G1104" t="str">
            <v>buah</v>
          </cell>
          <cell r="H1104">
            <v>3400</v>
          </cell>
        </row>
        <row r="1105">
          <cell r="F1105" t="str">
            <v>Genteng kodok glazuur</v>
          </cell>
          <cell r="G1105" t="str">
            <v>buah</v>
          </cell>
          <cell r="H1105">
            <v>5800</v>
          </cell>
        </row>
        <row r="1106">
          <cell r="F1106" t="str">
            <v>Genteng metal</v>
          </cell>
          <cell r="G1106" t="str">
            <v>lembar</v>
          </cell>
          <cell r="H1106">
            <v>50700</v>
          </cell>
        </row>
        <row r="1107">
          <cell r="F1107" t="str">
            <v>Genteng metal berpasir</v>
          </cell>
          <cell r="G1107" t="str">
            <v>lembar</v>
          </cell>
          <cell r="H1107">
            <v>30500</v>
          </cell>
        </row>
        <row r="1108">
          <cell r="F1108" t="str">
            <v>Genteng palentong</v>
          </cell>
          <cell r="G1108" t="str">
            <v>buah</v>
          </cell>
          <cell r="H1108">
            <v>2800</v>
          </cell>
        </row>
        <row r="1109">
          <cell r="F1109" t="str">
            <v>Genteng palentong super</v>
          </cell>
          <cell r="G1109" t="str">
            <v>buah</v>
          </cell>
          <cell r="H1109">
            <v>5300</v>
          </cell>
        </row>
        <row r="1110">
          <cell r="F1110" t="str">
            <v>Listplang papan kalsiboard</v>
          </cell>
          <cell r="G1110" t="str">
            <v>buah</v>
          </cell>
          <cell r="H1110">
            <v>56200</v>
          </cell>
        </row>
        <row r="1111">
          <cell r="F1111" t="str">
            <v>Listplang tekstur kayu</v>
          </cell>
          <cell r="G1111" t="str">
            <v>buah</v>
          </cell>
          <cell r="H1111">
            <v>54500</v>
          </cell>
        </row>
        <row r="1112">
          <cell r="F1112" t="str">
            <v>Nok genteng aspal</v>
          </cell>
          <cell r="G1112" t="str">
            <v>buah</v>
          </cell>
          <cell r="H1112">
            <v>95000</v>
          </cell>
        </row>
        <row r="1113">
          <cell r="F1113" t="str">
            <v>Nok genteng beton</v>
          </cell>
          <cell r="G1113" t="str">
            <v>buah</v>
          </cell>
          <cell r="H1113">
            <v>9600</v>
          </cell>
        </row>
        <row r="1114">
          <cell r="F1114" t="str">
            <v>Nok genteng metal</v>
          </cell>
          <cell r="G1114" t="str">
            <v>buah</v>
          </cell>
          <cell r="H1114">
            <v>25600</v>
          </cell>
        </row>
        <row r="1115">
          <cell r="F1115" t="str">
            <v>Nok paten 105 cm</v>
          </cell>
          <cell r="G1115" t="str">
            <v>lembar</v>
          </cell>
          <cell r="H1115">
            <v>70000</v>
          </cell>
        </row>
        <row r="1116">
          <cell r="F1116" t="str">
            <v>Nok paten 108 cm</v>
          </cell>
          <cell r="G1116" t="str">
            <v>lembar</v>
          </cell>
          <cell r="H1116">
            <v>75000</v>
          </cell>
        </row>
        <row r="1117">
          <cell r="F1117" t="str">
            <v>Nok paten 92 cm</v>
          </cell>
          <cell r="G1117" t="str">
            <v>lembar</v>
          </cell>
          <cell r="H1117">
            <v>65000</v>
          </cell>
        </row>
        <row r="1118">
          <cell r="F1118" t="str">
            <v>Nok setel rata 105 cm</v>
          </cell>
          <cell r="G1118" t="str">
            <v>lembar</v>
          </cell>
          <cell r="H1118">
            <v>75000</v>
          </cell>
        </row>
        <row r="1119">
          <cell r="F1119" t="str">
            <v>Nok setel rata 108 cm</v>
          </cell>
          <cell r="G1119" t="str">
            <v>lembar</v>
          </cell>
          <cell r="H1119">
            <v>80000</v>
          </cell>
        </row>
        <row r="1120">
          <cell r="F1120" t="str">
            <v>Nok setel rata 92 cm</v>
          </cell>
          <cell r="G1120" t="str">
            <v>lembar</v>
          </cell>
          <cell r="H1120">
            <v>70000</v>
          </cell>
        </row>
        <row r="1121">
          <cell r="F1121" t="str">
            <v>Nok standar</v>
          </cell>
          <cell r="G1121" t="str">
            <v>lembar</v>
          </cell>
          <cell r="H1121">
            <v>67000</v>
          </cell>
        </row>
        <row r="1122">
          <cell r="F1122" t="str">
            <v>Nok stel gelombang 105 cm</v>
          </cell>
          <cell r="G1122" t="str">
            <v>lembar</v>
          </cell>
          <cell r="H1122">
            <v>70000</v>
          </cell>
        </row>
        <row r="1123">
          <cell r="F1123" t="str">
            <v>Nok stel gelombang 108 cm</v>
          </cell>
          <cell r="G1123" t="str">
            <v>lembar</v>
          </cell>
          <cell r="H1123">
            <v>80000</v>
          </cell>
        </row>
        <row r="1124">
          <cell r="F1124" t="str">
            <v>Nok stel gelombang 92 cm</v>
          </cell>
          <cell r="G1124" t="str">
            <v>lembar</v>
          </cell>
          <cell r="H1124">
            <v>60000</v>
          </cell>
        </row>
        <row r="1125">
          <cell r="F1125" t="str">
            <v>Reng  batten  0,5</v>
          </cell>
          <cell r="G1125" t="str">
            <v>batang</v>
          </cell>
          <cell r="H1125">
            <v>35000</v>
          </cell>
        </row>
        <row r="1126">
          <cell r="F1126" t="str">
            <v>Roof light fiberglass</v>
          </cell>
          <cell r="G1126" t="str">
            <v>lembar</v>
          </cell>
          <cell r="H1126">
            <v>116300</v>
          </cell>
        </row>
        <row r="1127">
          <cell r="F1127" t="str">
            <v>Seng gelombang</v>
          </cell>
          <cell r="G1127" t="str">
            <v>lembar</v>
          </cell>
          <cell r="H1127">
            <v>85000</v>
          </cell>
        </row>
        <row r="1128">
          <cell r="F1128" t="str">
            <v>Seng gelombang 3x6 inch</v>
          </cell>
          <cell r="G1128" t="str">
            <v>lembar</v>
          </cell>
          <cell r="H1128">
            <v>83100</v>
          </cell>
        </row>
        <row r="1129">
          <cell r="F1129" t="str">
            <v>Seng Gelombang 105 cm x 180 cm</v>
          </cell>
          <cell r="G1129" t="str">
            <v xml:space="preserve">Lembar </v>
          </cell>
          <cell r="H1129">
            <v>85000</v>
          </cell>
        </row>
        <row r="1130">
          <cell r="F1130" t="str">
            <v>Seng gelombang bjls  0.18 panjang 180 cm</v>
          </cell>
          <cell r="G1130" t="str">
            <v>lembar</v>
          </cell>
          <cell r="H1130">
            <v>55200</v>
          </cell>
        </row>
        <row r="1131">
          <cell r="F1131" t="str">
            <v>Seng gelombang bjls  0.20 panjang 180 cm</v>
          </cell>
          <cell r="G1131" t="str">
            <v>lembar</v>
          </cell>
          <cell r="H1131">
            <v>63900</v>
          </cell>
        </row>
        <row r="1132">
          <cell r="F1132" t="str">
            <v>Seng gelombang bjls  30 panjang 180 cm</v>
          </cell>
          <cell r="G1132" t="str">
            <v>lembar</v>
          </cell>
          <cell r="H1132">
            <v>73300</v>
          </cell>
        </row>
        <row r="1133">
          <cell r="F1133" t="str">
            <v>Seng gelombang bjls  0.40 panjang 180 cm</v>
          </cell>
          <cell r="G1133" t="str">
            <v>lembar</v>
          </cell>
          <cell r="H1133">
            <v>73000</v>
          </cell>
        </row>
        <row r="1134">
          <cell r="F1134" t="str">
            <v>Seng gelombang bjls  28</v>
          </cell>
          <cell r="G1134" t="str">
            <v>lembar</v>
          </cell>
          <cell r="H1134">
            <v>85500</v>
          </cell>
        </row>
        <row r="1135">
          <cell r="F1135" t="str">
            <v>Seng gelombang bljs 30</v>
          </cell>
          <cell r="G1135" t="str">
            <v>lembar</v>
          </cell>
          <cell r="H1135">
            <v>79000</v>
          </cell>
        </row>
        <row r="1136">
          <cell r="F1136" t="str">
            <v>Seng gelombang panjang 200 cm</v>
          </cell>
          <cell r="G1136" t="str">
            <v>lembar</v>
          </cell>
          <cell r="H1136">
            <v>85000</v>
          </cell>
        </row>
        <row r="1137">
          <cell r="F1137" t="str">
            <v>Seng plat  BJLS 0.18 lebar 55 cm</v>
          </cell>
          <cell r="G1137" t="str">
            <v>m'</v>
          </cell>
          <cell r="H1137">
            <v>24800</v>
          </cell>
        </row>
        <row r="1138">
          <cell r="F1138" t="str">
            <v>Seng plat  BJLS 0.20 lebar 55 cm</v>
          </cell>
          <cell r="G1138" t="str">
            <v>m'</v>
          </cell>
          <cell r="H1138">
            <v>28100</v>
          </cell>
        </row>
        <row r="1139">
          <cell r="F1139" t="str">
            <v>Seng plat  BJLS 0.28 lebar 55 cm</v>
          </cell>
          <cell r="G1139" t="str">
            <v>m'</v>
          </cell>
          <cell r="H1139">
            <v>30400</v>
          </cell>
        </row>
        <row r="1140">
          <cell r="F1140" t="str">
            <v>Seng plat  BJLS 0.30 lebar 55 cm</v>
          </cell>
          <cell r="G1140" t="str">
            <v>m'</v>
          </cell>
          <cell r="H1140">
            <v>34600</v>
          </cell>
        </row>
        <row r="1141">
          <cell r="F1141" t="str">
            <v>Seng plat 3x6 inch</v>
          </cell>
          <cell r="G1141" t="str">
            <v>lembar</v>
          </cell>
          <cell r="H1141">
            <v>66900</v>
          </cell>
        </row>
        <row r="1142">
          <cell r="F1142" t="str">
            <v>Seng plat 3x6 inch bjls 28</v>
          </cell>
          <cell r="G1142" t="str">
            <v>lembar</v>
          </cell>
          <cell r="H1142">
            <v>72200</v>
          </cell>
        </row>
        <row r="1143">
          <cell r="F1143" t="str">
            <v>Seng pelat</v>
          </cell>
          <cell r="G1143" t="str">
            <v>lembar</v>
          </cell>
          <cell r="H1143">
            <v>72200</v>
          </cell>
        </row>
        <row r="1144">
          <cell r="F1144" t="str">
            <v>Seng Pelat  90x180 cm bjls 28</v>
          </cell>
          <cell r="G1144" t="str">
            <v xml:space="preserve">lembar </v>
          </cell>
          <cell r="H1144">
            <v>72200</v>
          </cell>
        </row>
        <row r="1145">
          <cell r="F1145" t="str">
            <v>Seng plat bjls 28</v>
          </cell>
          <cell r="G1145" t="str">
            <v>m'</v>
          </cell>
          <cell r="H1145">
            <v>70200</v>
          </cell>
        </row>
        <row r="1146">
          <cell r="F1146" t="str">
            <v>Seng plat bjls 30</v>
          </cell>
          <cell r="G1146" t="str">
            <v>m'</v>
          </cell>
          <cell r="H1146">
            <v>74400</v>
          </cell>
        </row>
        <row r="1147">
          <cell r="F1147" t="str">
            <v>Seng plat bjls 30</v>
          </cell>
          <cell r="G1147" t="str">
            <v>lembar</v>
          </cell>
          <cell r="H1147">
            <v>35000</v>
          </cell>
        </row>
        <row r="1148">
          <cell r="F1148" t="str">
            <v>Sirap (100 lbr)</v>
          </cell>
          <cell r="G1148" t="str">
            <v>pak</v>
          </cell>
          <cell r="H1148">
            <v>200000</v>
          </cell>
        </row>
        <row r="1149">
          <cell r="F1149" t="str">
            <v>Sirap kayu</v>
          </cell>
          <cell r="G1149" t="str">
            <v>buah</v>
          </cell>
          <cell r="H1149">
            <v>5000</v>
          </cell>
        </row>
        <row r="1150">
          <cell r="F1150" t="str">
            <v>Wab  capsule 62.27  tinggi 62  mm dan  tebal 0,4mm</v>
          </cell>
          <cell r="G1150" t="str">
            <v>batang</v>
          </cell>
          <cell r="H1150">
            <v>55000</v>
          </cell>
        </row>
        <row r="1151">
          <cell r="F1151" t="str">
            <v>MATERIAL PLAFON</v>
          </cell>
        </row>
        <row r="1152">
          <cell r="F1152" t="str">
            <v>Asbes 1,00  x 1,00  m</v>
          </cell>
          <cell r="G1152" t="str">
            <v>lembar</v>
          </cell>
          <cell r="H1152">
            <v>17400</v>
          </cell>
        </row>
        <row r="1153">
          <cell r="F1153" t="str">
            <v>Compon Flafond</v>
          </cell>
          <cell r="G1153" t="str">
            <v>kg</v>
          </cell>
          <cell r="H1153">
            <v>5000</v>
          </cell>
        </row>
        <row r="1154">
          <cell r="F1154" t="str">
            <v>cross tee</v>
          </cell>
          <cell r="G1154" t="str">
            <v>batang</v>
          </cell>
          <cell r="H1154">
            <v>18000</v>
          </cell>
        </row>
        <row r="1155">
          <cell r="F1155" t="str">
            <v>GRC Pelat t=4 mm uk 122x244 cm</v>
          </cell>
          <cell r="G1155" t="str">
            <v>lembar</v>
          </cell>
          <cell r="H1155">
            <v>200000</v>
          </cell>
        </row>
        <row r="1156">
          <cell r="F1156" t="str">
            <v>GRCboard (120 cm x  240 cm x  5 mm)</v>
          </cell>
          <cell r="G1156" t="str">
            <v>m2</v>
          </cell>
          <cell r="H1156">
            <v>80800</v>
          </cell>
        </row>
        <row r="1157">
          <cell r="F1157" t="str">
            <v>GRCboard (120 cm x  240 cm x  6 mm)</v>
          </cell>
          <cell r="G1157" t="str">
            <v>m2</v>
          </cell>
          <cell r="H1157">
            <v>99300</v>
          </cell>
        </row>
        <row r="1158">
          <cell r="F1158" t="str">
            <v>Gypsum Board (120 cm x  240 cm x  12 mm)</v>
          </cell>
          <cell r="G1158" t="str">
            <v>lembar</v>
          </cell>
          <cell r="H1158">
            <v>93000</v>
          </cell>
        </row>
        <row r="1159">
          <cell r="F1159" t="str">
            <v>Gypsum Board (122 cm x  244 cm x  12 mm)</v>
          </cell>
          <cell r="G1159" t="str">
            <v xml:space="preserve">Lembar </v>
          </cell>
          <cell r="H1159">
            <v>96000</v>
          </cell>
        </row>
        <row r="1160">
          <cell r="F1160" t="str">
            <v>Gypsum board (120 cm x 240 cm x 9 mm)</v>
          </cell>
          <cell r="G1160" t="str">
            <v>lembar</v>
          </cell>
          <cell r="H1160">
            <v>70000</v>
          </cell>
        </row>
        <row r="1161">
          <cell r="F1161" t="str">
            <v>Rockwool tebal 50 mm</v>
          </cell>
          <cell r="G1161" t="str">
            <v>m2</v>
          </cell>
          <cell r="H1161">
            <v>290000</v>
          </cell>
        </row>
        <row r="1162">
          <cell r="F1162" t="str">
            <v>Lambersening plafon ˂3</v>
          </cell>
          <cell r="G1162" t="str">
            <v>m2</v>
          </cell>
          <cell r="H1162">
            <v>180000</v>
          </cell>
        </row>
        <row r="1163">
          <cell r="F1163" t="str">
            <v>Lambersening plafon ˃3</v>
          </cell>
          <cell r="G1163" t="str">
            <v>m2</v>
          </cell>
          <cell r="H1163">
            <v>200000</v>
          </cell>
        </row>
        <row r="1164">
          <cell r="F1164" t="str">
            <v>List gypsum profil</v>
          </cell>
          <cell r="G1164" t="str">
            <v>m'</v>
          </cell>
          <cell r="H1164">
            <v>15800</v>
          </cell>
        </row>
        <row r="1165">
          <cell r="F1165" t="str">
            <v>Listplank GRC lebar 20 cm</v>
          </cell>
          <cell r="G1165" t="str">
            <v>m'</v>
          </cell>
          <cell r="H1165">
            <v>21000</v>
          </cell>
        </row>
        <row r="1166">
          <cell r="F1166" t="str">
            <v>Listplank GRC lebar 30 cm</v>
          </cell>
          <cell r="G1166" t="str">
            <v>m'</v>
          </cell>
          <cell r="H1166">
            <v>23000</v>
          </cell>
        </row>
        <row r="1167">
          <cell r="F1167" t="str">
            <v>Main tee</v>
          </cell>
          <cell r="G1167" t="str">
            <v>batang</v>
          </cell>
          <cell r="H1167">
            <v>34000</v>
          </cell>
        </row>
        <row r="1168">
          <cell r="F1168" t="str">
            <v>Papan semen</v>
          </cell>
          <cell r="G1168" t="str">
            <v>m2</v>
          </cell>
          <cell r="H1168">
            <v>45000</v>
          </cell>
        </row>
        <row r="1169">
          <cell r="F1169" t="str">
            <v>Asbes gelombang</v>
          </cell>
          <cell r="G1169" t="str">
            <v>lembar</v>
          </cell>
          <cell r="H1169">
            <v>62400</v>
          </cell>
        </row>
        <row r="1170">
          <cell r="F1170" t="str">
            <v>Pelat  asbes  tebal 3,5 mm</v>
          </cell>
          <cell r="G1170" t="str">
            <v>lembar</v>
          </cell>
          <cell r="H1170">
            <v>62400</v>
          </cell>
        </row>
        <row r="1171">
          <cell r="F1171" t="str">
            <v>Pelat  asbes  tebal 4 mm</v>
          </cell>
          <cell r="G1171" t="str">
            <v>lembar</v>
          </cell>
          <cell r="H1171">
            <v>69800</v>
          </cell>
        </row>
        <row r="1172">
          <cell r="F1172" t="str">
            <v>Plafon akustik 30x30 cm</v>
          </cell>
          <cell r="G1172" t="str">
            <v>lembar</v>
          </cell>
          <cell r="H1172">
            <v>6200</v>
          </cell>
        </row>
        <row r="1173">
          <cell r="F1173" t="str">
            <v>Plafon akustik 30x60 cm</v>
          </cell>
          <cell r="G1173" t="str">
            <v>lembar</v>
          </cell>
          <cell r="H1173">
            <v>13900</v>
          </cell>
        </row>
        <row r="1174">
          <cell r="F1174" t="str">
            <v>Plafon akustik 60x120 cm</v>
          </cell>
          <cell r="G1174" t="str">
            <v>lembar</v>
          </cell>
          <cell r="H1174">
            <v>24000</v>
          </cell>
        </row>
        <row r="1176">
          <cell r="F1176" t="str">
            <v>Bata Ekspose Tempel warna natural 8x24x2 cm</v>
          </cell>
          <cell r="G1176" t="str">
            <v>m'</v>
          </cell>
          <cell r="H1176">
            <v>125000</v>
          </cell>
        </row>
        <row r="1177">
          <cell r="F1177" t="str">
            <v>Bata tempel</v>
          </cell>
          <cell r="G1177" t="str">
            <v>buah</v>
          </cell>
          <cell r="H1177">
            <v>2500</v>
          </cell>
        </row>
        <row r="1178">
          <cell r="F1178" t="str">
            <v>Batako 20x40x10 cm</v>
          </cell>
          <cell r="G1178" t="str">
            <v>buah</v>
          </cell>
          <cell r="H1178">
            <v>3000</v>
          </cell>
        </row>
        <row r="1179">
          <cell r="F1179" t="str">
            <v>Batu andesit  30x30 t=3cm</v>
          </cell>
          <cell r="G1179" t="str">
            <v>m2</v>
          </cell>
          <cell r="H1179">
            <v>165000</v>
          </cell>
        </row>
        <row r="1180">
          <cell r="F1180" t="str">
            <v>Batu andesit  30x30 t=5cm</v>
          </cell>
          <cell r="G1180" t="str">
            <v>m2</v>
          </cell>
          <cell r="H1180">
            <v>265000</v>
          </cell>
        </row>
        <row r="1181">
          <cell r="F1181" t="str">
            <v>Batu paras</v>
          </cell>
          <cell r="G1181" t="str">
            <v>m2</v>
          </cell>
          <cell r="H1181">
            <v>125000</v>
          </cell>
        </row>
        <row r="1182">
          <cell r="F1182" t="str">
            <v>Batu paros</v>
          </cell>
          <cell r="G1182" t="str">
            <v>m2</v>
          </cell>
          <cell r="H1182">
            <v>131600</v>
          </cell>
        </row>
        <row r="1183">
          <cell r="F1183" t="str">
            <v>Batu tempel hitam</v>
          </cell>
          <cell r="G1183" t="str">
            <v>m2</v>
          </cell>
          <cell r="H1183">
            <v>121600</v>
          </cell>
        </row>
        <row r="1184">
          <cell r="F1184" t="str">
            <v>Floor hardener</v>
          </cell>
          <cell r="G1184" t="str">
            <v>kg</v>
          </cell>
          <cell r="H1184">
            <v>5000</v>
          </cell>
        </row>
        <row r="1185">
          <cell r="F1185" t="str">
            <v>Flooring Kayu Kruing   1,5x13,5x60 cm</v>
          </cell>
          <cell r="G1185" t="str">
            <v>m2</v>
          </cell>
          <cell r="H1185">
            <v>195000</v>
          </cell>
        </row>
        <row r="1186">
          <cell r="F1186" t="str">
            <v>Flooring Kayu Merbau 1,5x9x30cm</v>
          </cell>
          <cell r="G1186" t="str">
            <v>m2</v>
          </cell>
          <cell r="H1186">
            <v>420000</v>
          </cell>
        </row>
        <row r="1187">
          <cell r="F1187" t="str">
            <v>Flooring Kayu Sonokeling Grade B  1,5x9x30cm</v>
          </cell>
          <cell r="G1187" t="str">
            <v>m2</v>
          </cell>
          <cell r="H1187">
            <v>420000</v>
          </cell>
        </row>
        <row r="1188">
          <cell r="F1188" t="str">
            <v>Granit  bakar 10x10, t=2cm</v>
          </cell>
          <cell r="G1188" t="str">
            <v>m2</v>
          </cell>
          <cell r="H1188">
            <v>275000</v>
          </cell>
        </row>
        <row r="1189">
          <cell r="F1189" t="str">
            <v>Granit  bakar 30x30, t=2cm</v>
          </cell>
          <cell r="G1189" t="str">
            <v>m2</v>
          </cell>
          <cell r="H1189">
            <v>315000</v>
          </cell>
        </row>
        <row r="1190">
          <cell r="F1190" t="str">
            <v>Granit  tile unpolish /  anti skid</v>
          </cell>
          <cell r="G1190" t="str">
            <v>m2</v>
          </cell>
          <cell r="H1190">
            <v>220100</v>
          </cell>
        </row>
        <row r="1191">
          <cell r="F1191" t="str">
            <v>Granit tile 30x30 cm (double loading)</v>
          </cell>
          <cell r="G1191" t="str">
            <v>buah</v>
          </cell>
          <cell r="H1191">
            <v>27700</v>
          </cell>
        </row>
        <row r="1192">
          <cell r="F1192" t="str">
            <v>Granit tile 40x40 cm (double loading)</v>
          </cell>
          <cell r="G1192" t="str">
            <v>buah</v>
          </cell>
          <cell r="H1192">
            <v>39200</v>
          </cell>
        </row>
        <row r="1193">
          <cell r="F1193" t="str">
            <v>Granit tile 60x60 cm (double loading)</v>
          </cell>
          <cell r="G1193" t="str">
            <v>buah</v>
          </cell>
          <cell r="H1193">
            <v>92800</v>
          </cell>
        </row>
        <row r="1194">
          <cell r="F1194" t="str">
            <v>Granito  30 x  30 cm</v>
          </cell>
          <cell r="G1194" t="str">
            <v>m2</v>
          </cell>
          <cell r="H1194">
            <v>326400</v>
          </cell>
        </row>
        <row r="1195">
          <cell r="F1195" t="str">
            <v>Granito  40 x  40 cm</v>
          </cell>
          <cell r="G1195" t="str">
            <v>m2</v>
          </cell>
          <cell r="H1195">
            <v>242500</v>
          </cell>
        </row>
        <row r="1196">
          <cell r="F1196" t="str">
            <v>Guiding Block Warna t  =  6 cm</v>
          </cell>
          <cell r="G1196" t="str">
            <v>m2</v>
          </cell>
          <cell r="H1196">
            <v>330600</v>
          </cell>
        </row>
        <row r="1197">
          <cell r="F1197" t="str">
            <v>Homogenous tile 30x30 cm</v>
          </cell>
          <cell r="G1197" t="str">
            <v>buah</v>
          </cell>
          <cell r="H1197">
            <v>20000</v>
          </cell>
        </row>
        <row r="1198">
          <cell r="F1198" t="str">
            <v>Homogenous tile 40x40 cm</v>
          </cell>
          <cell r="G1198" t="str">
            <v>buah</v>
          </cell>
          <cell r="H1198">
            <v>30000</v>
          </cell>
        </row>
        <row r="1199">
          <cell r="F1199" t="str">
            <v>Homogenous tile 60x60 cm</v>
          </cell>
          <cell r="G1199" t="str">
            <v>buah</v>
          </cell>
          <cell r="H1199">
            <v>50000</v>
          </cell>
        </row>
        <row r="1200">
          <cell r="F1200" t="str">
            <v>Homogenous tile unpolish 30x30 cm</v>
          </cell>
          <cell r="G1200" t="str">
            <v>buah</v>
          </cell>
          <cell r="H1200">
            <v>27000</v>
          </cell>
        </row>
        <row r="1201">
          <cell r="F1201" t="str">
            <v>Homogenous tile unpolish 40x40 cm</v>
          </cell>
          <cell r="G1201" t="str">
            <v>buah</v>
          </cell>
          <cell r="H1201">
            <v>39000</v>
          </cell>
        </row>
        <row r="1202">
          <cell r="F1202" t="str">
            <v>Homogenous tile unpolish 60x60 cm</v>
          </cell>
          <cell r="G1202" t="str">
            <v>buah</v>
          </cell>
          <cell r="H1202">
            <v>56000</v>
          </cell>
        </row>
        <row r="1203">
          <cell r="F1203" t="str">
            <v>Homogenous tile dinding 30x30 cm</v>
          </cell>
          <cell r="G1203" t="str">
            <v>buah</v>
          </cell>
          <cell r="H1203">
            <v>22000</v>
          </cell>
        </row>
        <row r="1204">
          <cell r="F1204" t="str">
            <v>Homogenous tile dinding 40x40 cm</v>
          </cell>
          <cell r="G1204" t="str">
            <v>buah</v>
          </cell>
          <cell r="H1204">
            <v>30000</v>
          </cell>
        </row>
        <row r="1205">
          <cell r="F1205" t="str">
            <v>Homogenous tile dinding 60x60 cm</v>
          </cell>
          <cell r="G1205" t="str">
            <v>buah</v>
          </cell>
          <cell r="H1205">
            <v>35000</v>
          </cell>
        </row>
        <row r="1206">
          <cell r="F1206" t="str">
            <v>Karpet</v>
          </cell>
          <cell r="G1206" t="str">
            <v>m2</v>
          </cell>
          <cell r="H1206">
            <v>45000</v>
          </cell>
        </row>
        <row r="1207">
          <cell r="F1207" t="str">
            <v>Keramik  20  x 25  cm</v>
          </cell>
          <cell r="G1207" t="str">
            <v>buah</v>
          </cell>
          <cell r="H1207">
            <v>2400</v>
          </cell>
        </row>
        <row r="1208">
          <cell r="F1208" t="str">
            <v>Keramik 10 x  20 cm</v>
          </cell>
          <cell r="G1208" t="str">
            <v>buah</v>
          </cell>
          <cell r="H1208">
            <v>2300</v>
          </cell>
        </row>
        <row r="1209">
          <cell r="F1209" t="str">
            <v>Keramik 20x20 cm</v>
          </cell>
          <cell r="G1209" t="str">
            <v>buah</v>
          </cell>
          <cell r="H1209">
            <v>2200</v>
          </cell>
        </row>
        <row r="1210">
          <cell r="F1210" t="str">
            <v>Keramik 25 x  25 cm</v>
          </cell>
          <cell r="G1210" t="str">
            <v>buah</v>
          </cell>
          <cell r="H1210">
            <v>3100</v>
          </cell>
        </row>
        <row r="1211">
          <cell r="F1211" t="str">
            <v>Keramik 30x30 cm</v>
          </cell>
          <cell r="G1211" t="str">
            <v>buah</v>
          </cell>
          <cell r="H1211">
            <v>4000</v>
          </cell>
        </row>
        <row r="1212">
          <cell r="F1212" t="str">
            <v>Keramik 40x40 cm</v>
          </cell>
          <cell r="G1212" t="str">
            <v>buah</v>
          </cell>
          <cell r="H1212">
            <v>8100</v>
          </cell>
        </row>
        <row r="1213">
          <cell r="F1213" t="str">
            <v>Keramik 60x60 cm</v>
          </cell>
          <cell r="G1213" t="str">
            <v>buah</v>
          </cell>
          <cell r="H1213">
            <v>12000</v>
          </cell>
        </row>
        <row r="1214">
          <cell r="F1214" t="str">
            <v>Keramik Variasi 30x30 cm</v>
          </cell>
          <cell r="G1214" t="str">
            <v>buah</v>
          </cell>
          <cell r="H1214">
            <v>4000</v>
          </cell>
        </row>
        <row r="1215">
          <cell r="F1215" t="str">
            <v>Keramik Variasi 40x40 cm</v>
          </cell>
          <cell r="G1215" t="str">
            <v>buah</v>
          </cell>
          <cell r="H1215">
            <v>8100</v>
          </cell>
        </row>
        <row r="1216">
          <cell r="F1216" t="str">
            <v>KeramikVariasi  60x60 cm</v>
          </cell>
          <cell r="G1216" t="str">
            <v>buah</v>
          </cell>
          <cell r="H1216">
            <v>12000</v>
          </cell>
        </row>
        <row r="1217">
          <cell r="F1217" t="str">
            <v>Step Nosing Keramik 10x60 cm</v>
          </cell>
          <cell r="G1217" t="str">
            <v xml:space="preserve">buah </v>
          </cell>
          <cell r="H1217">
            <v>28000</v>
          </cell>
        </row>
        <row r="1218">
          <cell r="F1218" t="str">
            <v xml:space="preserve">Keramik Tactile 30x30 cm </v>
          </cell>
          <cell r="G1218" t="str">
            <v xml:space="preserve">buah </v>
          </cell>
          <cell r="H1218">
            <v>37000</v>
          </cell>
        </row>
        <row r="1219">
          <cell r="F1219" t="str">
            <v>Keramik Tactile 40x40 cm</v>
          </cell>
          <cell r="G1219" t="str">
            <v xml:space="preserve">buah </v>
          </cell>
          <cell r="H1219">
            <v>39500</v>
          </cell>
        </row>
        <row r="1220">
          <cell r="F1220" t="str">
            <v>Keramik artistik 10x10 cm</v>
          </cell>
          <cell r="G1220" t="str">
            <v>buah</v>
          </cell>
          <cell r="H1220">
            <v>1500</v>
          </cell>
        </row>
        <row r="1221">
          <cell r="F1221" t="str">
            <v>Keramik artistik 20x20 cm</v>
          </cell>
          <cell r="G1221" t="str">
            <v>buah</v>
          </cell>
          <cell r="H1221">
            <v>2000</v>
          </cell>
        </row>
        <row r="1222">
          <cell r="F1222" t="str">
            <v>Keramik artistik 30x30 cm</v>
          </cell>
          <cell r="G1222" t="str">
            <v>buah</v>
          </cell>
          <cell r="H1222">
            <v>3000</v>
          </cell>
        </row>
        <row r="1223">
          <cell r="F1223" t="str">
            <v>Keramik artistik 40x40 cm</v>
          </cell>
          <cell r="G1223" t="str">
            <v>buah</v>
          </cell>
          <cell r="H1223">
            <v>4000</v>
          </cell>
        </row>
        <row r="1224">
          <cell r="F1224" t="str">
            <v>Keramik artistik 8x8 cm</v>
          </cell>
          <cell r="G1224" t="str">
            <v>buah</v>
          </cell>
          <cell r="H1224">
            <v>1000</v>
          </cell>
        </row>
        <row r="1225">
          <cell r="F1225" t="str">
            <v>Keramik cuting 50x50</v>
          </cell>
          <cell r="G1225" t="str">
            <v>buah</v>
          </cell>
          <cell r="H1225">
            <v>27500</v>
          </cell>
        </row>
        <row r="1226">
          <cell r="F1226" t="str">
            <v>Keramik dinding 10x20 cm</v>
          </cell>
          <cell r="G1226" t="str">
            <v>buah</v>
          </cell>
          <cell r="H1226">
            <v>2000</v>
          </cell>
        </row>
        <row r="1227">
          <cell r="F1227" t="str">
            <v>Keramik dinding 20x20 cm</v>
          </cell>
          <cell r="G1227" t="str">
            <v>buah</v>
          </cell>
          <cell r="H1227">
            <v>3000</v>
          </cell>
        </row>
        <row r="1228">
          <cell r="F1228" t="str">
            <v>Keramik dinding artistik 10x20 cm</v>
          </cell>
          <cell r="G1228" t="str">
            <v>buah</v>
          </cell>
          <cell r="H1228">
            <v>2500</v>
          </cell>
        </row>
        <row r="1229">
          <cell r="F1229" t="str">
            <v>Keramik dinding artistik 5x20 cm</v>
          </cell>
          <cell r="G1229" t="str">
            <v>buah</v>
          </cell>
          <cell r="H1229">
            <v>2000</v>
          </cell>
        </row>
        <row r="1230">
          <cell r="F1230" t="str">
            <v>Lamparquet  Kayu Merbau 1x6x20cm</v>
          </cell>
          <cell r="G1230" t="str">
            <v>m2</v>
          </cell>
          <cell r="H1230">
            <v>190000</v>
          </cell>
        </row>
        <row r="1231">
          <cell r="F1231" t="str">
            <v>Lamparquet  Kayu Merbau 1x9x20cm</v>
          </cell>
          <cell r="G1231" t="str">
            <v>m2</v>
          </cell>
          <cell r="H1231">
            <v>200000</v>
          </cell>
        </row>
        <row r="1232">
          <cell r="F1232" t="str">
            <v>Lantai engineering wood</v>
          </cell>
          <cell r="G1232" t="str">
            <v>m2</v>
          </cell>
          <cell r="H1232">
            <v>200000</v>
          </cell>
        </row>
        <row r="1233">
          <cell r="F1233" t="str">
            <v>Lantai Parket  Jati grade A   1,2x5x17 cm</v>
          </cell>
          <cell r="G1233" t="str">
            <v>m2</v>
          </cell>
          <cell r="H1233">
            <v>175000</v>
          </cell>
        </row>
        <row r="1234">
          <cell r="F1234" t="str">
            <v>Lantai Parket  Jati grade A   1,2x5x20cm</v>
          </cell>
          <cell r="G1234" t="str">
            <v>m2</v>
          </cell>
          <cell r="H1234">
            <v>222000</v>
          </cell>
        </row>
        <row r="1235">
          <cell r="F1235" t="str">
            <v>Lantai Parket  Jati grade A   1,2x5x25 cm</v>
          </cell>
          <cell r="G1235" t="str">
            <v>m2</v>
          </cell>
          <cell r="H1235">
            <v>250000</v>
          </cell>
        </row>
        <row r="1236">
          <cell r="F1236" t="str">
            <v>Lantai Parket  Jati grade A   1,2x5x30 cm</v>
          </cell>
          <cell r="G1236" t="str">
            <v>m2</v>
          </cell>
          <cell r="H1236">
            <v>280000</v>
          </cell>
        </row>
        <row r="1237">
          <cell r="F1237" t="str">
            <v>Lantai Parket  Jati grade B   1,2x5x17 cm</v>
          </cell>
          <cell r="G1237" t="str">
            <v>m2</v>
          </cell>
          <cell r="H1237">
            <v>160000</v>
          </cell>
        </row>
        <row r="1238">
          <cell r="F1238" t="str">
            <v>Lantai Parket  Jati grade B   1,2x5x20cm</v>
          </cell>
          <cell r="G1238" t="str">
            <v>m2</v>
          </cell>
          <cell r="H1238">
            <v>195000</v>
          </cell>
        </row>
        <row r="1239">
          <cell r="F1239" t="str">
            <v>Lantai Parket  Jati grade B   1,2x5x25 cm</v>
          </cell>
          <cell r="G1239" t="str">
            <v>m2</v>
          </cell>
          <cell r="H1239">
            <v>210000</v>
          </cell>
        </row>
        <row r="1240">
          <cell r="F1240" t="str">
            <v>Lantai Parket  Jati grade B   1,2x5x30 cm</v>
          </cell>
          <cell r="G1240" t="str">
            <v>m2</v>
          </cell>
          <cell r="H1240">
            <v>250000</v>
          </cell>
        </row>
        <row r="1241">
          <cell r="F1241" t="str">
            <v>Lantai Parket  Jati grade C   1,2x5x20cm</v>
          </cell>
          <cell r="G1241" t="str">
            <v>m2</v>
          </cell>
          <cell r="H1241">
            <v>140000</v>
          </cell>
        </row>
        <row r="1242">
          <cell r="F1242" t="str">
            <v>Lantai Parket  Jati grade C   1,2x5x25 cm</v>
          </cell>
          <cell r="G1242" t="str">
            <v>m2</v>
          </cell>
          <cell r="H1242">
            <v>150000</v>
          </cell>
        </row>
        <row r="1243">
          <cell r="F1243" t="str">
            <v>Lantai Parket  Jati grade C   1,2x5x30 cm</v>
          </cell>
          <cell r="G1243" t="str">
            <v>m2</v>
          </cell>
          <cell r="H1243">
            <v>160000</v>
          </cell>
        </row>
        <row r="1244">
          <cell r="F1244" t="str">
            <v>Lem</v>
          </cell>
          <cell r="G1244" t="str">
            <v>kg</v>
          </cell>
          <cell r="H1244">
            <v>60000</v>
          </cell>
        </row>
        <row r="1245">
          <cell r="F1245" t="str">
            <v>Marmer</v>
          </cell>
          <cell r="G1245" t="str">
            <v>buah</v>
          </cell>
          <cell r="H1245">
            <v>800000</v>
          </cell>
        </row>
        <row r="1246">
          <cell r="F1246" t="str">
            <v>Marmer</v>
          </cell>
          <cell r="G1246" t="str">
            <v>m2</v>
          </cell>
          <cell r="H1246">
            <v>492600</v>
          </cell>
        </row>
        <row r="1247">
          <cell r="F1247" t="str">
            <v>Marmer Graphir 10x10 cm</v>
          </cell>
          <cell r="G1247" t="str">
            <v>buah</v>
          </cell>
          <cell r="H1247">
            <v>20000</v>
          </cell>
        </row>
        <row r="1248">
          <cell r="F1248" t="str">
            <v>Marmer Graphir 12x12 cm</v>
          </cell>
          <cell r="G1248" t="str">
            <v>buah</v>
          </cell>
          <cell r="H1248">
            <v>25000</v>
          </cell>
        </row>
        <row r="1249">
          <cell r="F1249" t="str">
            <v>Pen Kuningan titik acuan</v>
          </cell>
          <cell r="G1249" t="str">
            <v xml:space="preserve">buah </v>
          </cell>
          <cell r="H1249">
            <v>27000</v>
          </cell>
        </row>
        <row r="1250">
          <cell r="F1250" t="str">
            <v>Mozaik porselen 10 x  20 cm</v>
          </cell>
          <cell r="G1250" t="str">
            <v>m2</v>
          </cell>
          <cell r="H1250">
            <v>73400</v>
          </cell>
        </row>
        <row r="1251">
          <cell r="F1251" t="str">
            <v>Mozaik porselen 15 x  15 cm</v>
          </cell>
          <cell r="G1251" t="str">
            <v>m2</v>
          </cell>
          <cell r="H1251">
            <v>74400</v>
          </cell>
        </row>
        <row r="1252">
          <cell r="F1252" t="str">
            <v>Mozaik porselen 20 x  20 cm</v>
          </cell>
          <cell r="G1252" t="str">
            <v>m2</v>
          </cell>
          <cell r="H1252">
            <v>75400</v>
          </cell>
        </row>
        <row r="1253">
          <cell r="F1253" t="str">
            <v>Mozaik porselen 20 x  25 cm</v>
          </cell>
          <cell r="G1253" t="str">
            <v>m2</v>
          </cell>
          <cell r="H1253">
            <v>75400</v>
          </cell>
        </row>
        <row r="1254">
          <cell r="F1254" t="str">
            <v>Parquet kayu solid</v>
          </cell>
          <cell r="G1254" t="str">
            <v>m2</v>
          </cell>
          <cell r="H1254">
            <v>306600</v>
          </cell>
        </row>
        <row r="1255">
          <cell r="F1255" t="str">
            <v>Plint  Kayu 10 cm</v>
          </cell>
          <cell r="G1255" t="str">
            <v>buah</v>
          </cell>
          <cell r="H1255">
            <v>85000</v>
          </cell>
        </row>
        <row r="1256">
          <cell r="F1256" t="str">
            <v>Plint  keramik 10 x  20 cm</v>
          </cell>
          <cell r="G1256" t="str">
            <v>buah</v>
          </cell>
          <cell r="H1256">
            <v>8200</v>
          </cell>
        </row>
        <row r="1257">
          <cell r="F1257" t="str">
            <v>Plint  keramik 5 x  20 cm</v>
          </cell>
          <cell r="G1257" t="str">
            <v>buah</v>
          </cell>
          <cell r="H1257">
            <v>3400</v>
          </cell>
        </row>
        <row r="1258">
          <cell r="F1258" t="str">
            <v>Plint granit 10 cm x 40 cm</v>
          </cell>
          <cell r="G1258" t="str">
            <v>buah</v>
          </cell>
          <cell r="H1258">
            <v>24000</v>
          </cell>
        </row>
        <row r="1259">
          <cell r="F1259" t="str">
            <v>Plint granit 10cm x 30cm</v>
          </cell>
          <cell r="G1259" t="str">
            <v>buah</v>
          </cell>
          <cell r="H1259">
            <v>22600</v>
          </cell>
        </row>
        <row r="1260">
          <cell r="F1260" t="str">
            <v>Plint homogenous tile uk. 10-15x30 cm</v>
          </cell>
          <cell r="G1260" t="str">
            <v>buah</v>
          </cell>
          <cell r="H1260">
            <v>5000</v>
          </cell>
        </row>
        <row r="1261">
          <cell r="F1261" t="str">
            <v>Plint homogenous tile uk. 10-15x40 cm</v>
          </cell>
          <cell r="G1261" t="str">
            <v>buah</v>
          </cell>
          <cell r="H1261">
            <v>7000</v>
          </cell>
        </row>
        <row r="1262">
          <cell r="F1262" t="str">
            <v>Plint homogenous tile uk. 10-15x60 cm</v>
          </cell>
          <cell r="G1262" t="str">
            <v>buah</v>
          </cell>
          <cell r="H1262">
            <v>10000</v>
          </cell>
        </row>
        <row r="1263">
          <cell r="F1263" t="str">
            <v>Plint homogenous tile unpolish uk. 10-15x30 cm</v>
          </cell>
          <cell r="G1263" t="str">
            <v>buah</v>
          </cell>
          <cell r="H1263">
            <v>7000</v>
          </cell>
        </row>
        <row r="1264">
          <cell r="F1264" t="str">
            <v>Plint homogenous tile unpolish uk. 10-15x40 cm</v>
          </cell>
          <cell r="G1264" t="str">
            <v>buah</v>
          </cell>
          <cell r="H1264">
            <v>9000</v>
          </cell>
        </row>
        <row r="1265">
          <cell r="F1265" t="str">
            <v>Plint homogenous tile unpolish uk. 10-15x60 cm</v>
          </cell>
          <cell r="G1265" t="str">
            <v>buah</v>
          </cell>
          <cell r="H1265">
            <v>13000</v>
          </cell>
        </row>
        <row r="1266">
          <cell r="F1266" t="str">
            <v>Plint internal cove uk. 5x5x20 cm</v>
          </cell>
          <cell r="G1266" t="str">
            <v>buah</v>
          </cell>
          <cell r="H1266">
            <v>5000</v>
          </cell>
        </row>
        <row r="1267">
          <cell r="F1267" t="str">
            <v>Plint keramik  10  x 30  cm</v>
          </cell>
          <cell r="G1267" t="str">
            <v>buah</v>
          </cell>
          <cell r="H1267">
            <v>15300</v>
          </cell>
        </row>
        <row r="1268">
          <cell r="F1268" t="str">
            <v>Plint keramik uk. 10-15x20 cm</v>
          </cell>
          <cell r="G1268" t="str">
            <v>buah</v>
          </cell>
          <cell r="H1268">
            <v>2000</v>
          </cell>
        </row>
        <row r="1269">
          <cell r="F1269" t="str">
            <v>Plint keramik uk. 10-15x30 cm</v>
          </cell>
          <cell r="G1269" t="str">
            <v>buah</v>
          </cell>
          <cell r="H1269">
            <v>3000</v>
          </cell>
        </row>
        <row r="1270">
          <cell r="F1270" t="str">
            <v>Plint keramik uk. 10-15x40 cm</v>
          </cell>
          <cell r="G1270" t="str">
            <v>buah</v>
          </cell>
          <cell r="H1270">
            <v>4000</v>
          </cell>
        </row>
        <row r="1271">
          <cell r="F1271" t="str">
            <v>Plint keramik uk. 10-15x60 cm</v>
          </cell>
          <cell r="G1271" t="str">
            <v>buah</v>
          </cell>
          <cell r="H1271">
            <v>5000</v>
          </cell>
        </row>
        <row r="1272">
          <cell r="F1272" t="str">
            <v>Plint teralux kerang uk. 10-15x30 cm</v>
          </cell>
          <cell r="G1272" t="str">
            <v>buah</v>
          </cell>
          <cell r="H1272">
            <v>2000</v>
          </cell>
        </row>
        <row r="1273">
          <cell r="F1273" t="str">
            <v>Plint teralux kerang uk. 10-15x40 cm</v>
          </cell>
          <cell r="G1273" t="str">
            <v>buah</v>
          </cell>
          <cell r="H1273">
            <v>3000</v>
          </cell>
        </row>
        <row r="1274">
          <cell r="F1274" t="str">
            <v>Plint teralux kerang uk. 10-15x60 cm</v>
          </cell>
          <cell r="G1274" t="str">
            <v>buah</v>
          </cell>
          <cell r="H1274">
            <v>4000</v>
          </cell>
        </row>
        <row r="1275">
          <cell r="F1275" t="str">
            <v>Plint teralux marmer uk. 10-15x30 cm</v>
          </cell>
          <cell r="G1275" t="str">
            <v>buah</v>
          </cell>
          <cell r="H1275">
            <v>2500</v>
          </cell>
        </row>
        <row r="1276">
          <cell r="F1276" t="str">
            <v>Plint teralux marmer uk. 10-15x40 cm</v>
          </cell>
          <cell r="G1276" t="str">
            <v>buah</v>
          </cell>
          <cell r="H1276">
            <v>3000</v>
          </cell>
        </row>
        <row r="1277">
          <cell r="F1277" t="str">
            <v>Plint teralux marmer uk. 10-15x60 cm</v>
          </cell>
          <cell r="G1277" t="str">
            <v>buah</v>
          </cell>
          <cell r="H1277">
            <v>4000</v>
          </cell>
        </row>
        <row r="1278">
          <cell r="F1278" t="str">
            <v>Plint ubin granit uk. 10-15x30 cm</v>
          </cell>
          <cell r="G1278" t="str">
            <v>buah</v>
          </cell>
          <cell r="H1278">
            <v>6000</v>
          </cell>
        </row>
        <row r="1279">
          <cell r="F1279" t="str">
            <v>Plint ubin granit uk. 10-15x40 cm</v>
          </cell>
          <cell r="G1279" t="str">
            <v>buah</v>
          </cell>
          <cell r="H1279">
            <v>8000</v>
          </cell>
        </row>
        <row r="1280">
          <cell r="F1280" t="str">
            <v>Plint ubin granit uk. 10-15x60 cm</v>
          </cell>
          <cell r="G1280" t="str">
            <v>buah</v>
          </cell>
          <cell r="H1280">
            <v>10000</v>
          </cell>
        </row>
        <row r="1281">
          <cell r="F1281" t="str">
            <v>Plint ubin PC abu-abu uk. 10-15x20 cm</v>
          </cell>
          <cell r="G1281" t="str">
            <v>buah</v>
          </cell>
          <cell r="H1281">
            <v>1000</v>
          </cell>
        </row>
        <row r="1282">
          <cell r="F1282" t="str">
            <v>Plint ubin PC abu-abu uk. 10-15x30 cm</v>
          </cell>
          <cell r="G1282" t="str">
            <v>buah</v>
          </cell>
          <cell r="H1282">
            <v>1500</v>
          </cell>
        </row>
        <row r="1283">
          <cell r="F1283" t="str">
            <v>Plint ubin PC abu-abu uk. 10-15x40 cm</v>
          </cell>
          <cell r="G1283" t="str">
            <v>buah</v>
          </cell>
          <cell r="H1283">
            <v>2000</v>
          </cell>
        </row>
        <row r="1284">
          <cell r="F1284" t="str">
            <v>Plint ubin PC abu-abu uk. 10-15x60 cm</v>
          </cell>
          <cell r="G1284" t="str">
            <v>buah</v>
          </cell>
          <cell r="H1284">
            <v>2500</v>
          </cell>
        </row>
        <row r="1285">
          <cell r="F1285" t="str">
            <v>Plint ubin teraso uk. 10-15x30 cm</v>
          </cell>
          <cell r="G1285" t="str">
            <v>buah</v>
          </cell>
          <cell r="H1285">
            <v>4000</v>
          </cell>
        </row>
        <row r="1286">
          <cell r="F1286" t="str">
            <v>Plint ubin teraso uk. 10-15x40 cm</v>
          </cell>
          <cell r="G1286" t="str">
            <v>buah</v>
          </cell>
          <cell r="H1286">
            <v>6000</v>
          </cell>
        </row>
        <row r="1287">
          <cell r="F1287" t="str">
            <v>Plint ubin warna uk. 10-15x20 cm</v>
          </cell>
          <cell r="G1287" t="str">
            <v>buah</v>
          </cell>
          <cell r="H1287">
            <v>1500</v>
          </cell>
        </row>
        <row r="1288">
          <cell r="F1288" t="str">
            <v>Plint ubin warna uk. 10-15x30 cm</v>
          </cell>
          <cell r="G1288" t="str">
            <v>buah</v>
          </cell>
          <cell r="H1288">
            <v>2000</v>
          </cell>
        </row>
        <row r="1289">
          <cell r="F1289" t="str">
            <v>Plint ubin warna uk. 10-15x40 cm</v>
          </cell>
          <cell r="G1289" t="str">
            <v>buah</v>
          </cell>
          <cell r="H1289">
            <v>3000</v>
          </cell>
        </row>
        <row r="1290">
          <cell r="F1290" t="str">
            <v>Plint ubin warna uk. 10-15x60 cm</v>
          </cell>
          <cell r="G1290" t="str">
            <v>buah</v>
          </cell>
          <cell r="H1290">
            <v>4500</v>
          </cell>
        </row>
        <row r="1291">
          <cell r="F1291" t="str">
            <v>Porselen 10x20 cm</v>
          </cell>
          <cell r="G1291" t="str">
            <v>buah</v>
          </cell>
          <cell r="H1291">
            <v>2000</v>
          </cell>
        </row>
        <row r="1292">
          <cell r="F1292" t="str">
            <v>Porselen 11x11 cm</v>
          </cell>
          <cell r="G1292" t="str">
            <v>buah</v>
          </cell>
          <cell r="H1292">
            <v>1000</v>
          </cell>
        </row>
        <row r="1293">
          <cell r="F1293" t="str">
            <v>Porselen 11x11 cm (dus)</v>
          </cell>
          <cell r="G1293" t="str">
            <v>dus</v>
          </cell>
          <cell r="H1293">
            <v>83000</v>
          </cell>
        </row>
        <row r="1294">
          <cell r="F1294" t="str">
            <v>Porselen 20x20 cm</v>
          </cell>
          <cell r="G1294" t="str">
            <v>buah</v>
          </cell>
          <cell r="H1294">
            <v>4000</v>
          </cell>
        </row>
        <row r="1295">
          <cell r="F1295" t="str">
            <v>Tangga Papan</v>
          </cell>
          <cell r="G1295" t="str">
            <v>m2</v>
          </cell>
          <cell r="H1295">
            <v>160000</v>
          </cell>
        </row>
        <row r="1296">
          <cell r="F1296" t="str">
            <v>Tangga Parquet  /  Flooring</v>
          </cell>
          <cell r="G1296" t="str">
            <v>m2</v>
          </cell>
          <cell r="H1296">
            <v>180000</v>
          </cell>
        </row>
        <row r="1297">
          <cell r="F1297" t="str">
            <v>Tegel plint, PC  abu-abu 15 x  20 cm</v>
          </cell>
          <cell r="G1297" t="str">
            <v>buah</v>
          </cell>
          <cell r="H1297">
            <v>6100</v>
          </cell>
        </row>
        <row r="1298">
          <cell r="F1298" t="str">
            <v>Tegel plint, PC  warna 10 x  20 cm</v>
          </cell>
          <cell r="G1298" t="str">
            <v>buah</v>
          </cell>
          <cell r="H1298">
            <v>5300</v>
          </cell>
        </row>
        <row r="1299">
          <cell r="F1299" t="str">
            <v>Teraso cor</v>
          </cell>
          <cell r="G1299" t="str">
            <v>m3</v>
          </cell>
          <cell r="H1299">
            <v>3500000</v>
          </cell>
        </row>
        <row r="1300">
          <cell r="F1300" t="str">
            <v>Ubin granit 30x30 cm</v>
          </cell>
          <cell r="G1300" t="str">
            <v>buah</v>
          </cell>
          <cell r="H1300">
            <v>14200</v>
          </cell>
        </row>
        <row r="1301">
          <cell r="F1301" t="str">
            <v>Ubin granit 40x40 cm</v>
          </cell>
          <cell r="G1301" t="str">
            <v>buah</v>
          </cell>
          <cell r="H1301">
            <v>20000</v>
          </cell>
        </row>
        <row r="1302">
          <cell r="F1302" t="str">
            <v>Ubin granit 60x60 cm</v>
          </cell>
          <cell r="G1302" t="str">
            <v>buah</v>
          </cell>
          <cell r="H1302">
            <v>30000</v>
          </cell>
        </row>
        <row r="1303">
          <cell r="F1303" t="str">
            <v>Ubin PC abu-abu 20x20 cm</v>
          </cell>
          <cell r="G1303" t="str">
            <v>buah</v>
          </cell>
          <cell r="H1303">
            <v>2000</v>
          </cell>
        </row>
        <row r="1304">
          <cell r="F1304" t="str">
            <v>Ubin PC abu-abu 30x30 cm</v>
          </cell>
          <cell r="G1304" t="str">
            <v>buah</v>
          </cell>
          <cell r="H1304">
            <v>3400</v>
          </cell>
        </row>
        <row r="1305">
          <cell r="F1305" t="str">
            <v>Ubin PC abu-abu 40x40 cm</v>
          </cell>
          <cell r="G1305" t="str">
            <v>buah</v>
          </cell>
          <cell r="H1305">
            <v>4600</v>
          </cell>
        </row>
        <row r="1306">
          <cell r="F1306" t="str">
            <v>Ubin PC abu-abu 60x60 cm</v>
          </cell>
          <cell r="G1306" t="str">
            <v>buah</v>
          </cell>
          <cell r="H1306">
            <v>6000</v>
          </cell>
        </row>
        <row r="1307">
          <cell r="F1307" t="str">
            <v>Ubin porselen lokal 11 x  11 putih</v>
          </cell>
          <cell r="G1307" t="str">
            <v>dos</v>
          </cell>
          <cell r="H1307">
            <v>43800</v>
          </cell>
        </row>
        <row r="1308">
          <cell r="F1308" t="str">
            <v>Ubin porselen lokal 11 x  11 warna</v>
          </cell>
          <cell r="G1308" t="str">
            <v>dos</v>
          </cell>
          <cell r="H1308">
            <v>46900</v>
          </cell>
        </row>
        <row r="1309">
          <cell r="F1309" t="str">
            <v>Ubin porselen lokal 15 x  15 putih</v>
          </cell>
          <cell r="G1309" t="str">
            <v>dos</v>
          </cell>
          <cell r="H1309">
            <v>48400</v>
          </cell>
        </row>
        <row r="1310">
          <cell r="F1310" t="str">
            <v>Ubin porselen lokal 15 x  15 warna</v>
          </cell>
          <cell r="G1310" t="str">
            <v>dos</v>
          </cell>
          <cell r="H1310">
            <v>49900</v>
          </cell>
        </row>
        <row r="1311">
          <cell r="F1311" t="str">
            <v>Ubin teralux marmer 30x30 cm</v>
          </cell>
          <cell r="G1311" t="str">
            <v>buah</v>
          </cell>
          <cell r="H1311">
            <v>45000</v>
          </cell>
        </row>
        <row r="1312">
          <cell r="F1312" t="str">
            <v>Ubin teralux marmer 40x40 cm</v>
          </cell>
          <cell r="G1312" t="str">
            <v>buah</v>
          </cell>
          <cell r="H1312">
            <v>60000</v>
          </cell>
        </row>
        <row r="1313">
          <cell r="F1313" t="str">
            <v>Ubin teralux marmer 60x60 cm</v>
          </cell>
          <cell r="G1313" t="str">
            <v>buah</v>
          </cell>
          <cell r="H1313">
            <v>70000</v>
          </cell>
        </row>
        <row r="1314">
          <cell r="F1314" t="str">
            <v>Ubin teraso 30x30 cm</v>
          </cell>
          <cell r="G1314" t="str">
            <v>buah</v>
          </cell>
          <cell r="H1314">
            <v>24000</v>
          </cell>
        </row>
        <row r="1315">
          <cell r="F1315" t="str">
            <v>Ubin teraso 40x40 cm</v>
          </cell>
          <cell r="G1315" t="str">
            <v>buah</v>
          </cell>
          <cell r="H1315">
            <v>30000</v>
          </cell>
        </row>
        <row r="1316">
          <cell r="F1316" t="str">
            <v>Ubin warna 20x20 cm</v>
          </cell>
          <cell r="G1316" t="str">
            <v>buah</v>
          </cell>
          <cell r="H1316">
            <v>2000</v>
          </cell>
        </row>
        <row r="1317">
          <cell r="F1317" t="str">
            <v>Ubin warna 30x30 cm</v>
          </cell>
          <cell r="G1317" t="str">
            <v>buah</v>
          </cell>
          <cell r="H1317">
            <v>4500</v>
          </cell>
        </row>
        <row r="1318">
          <cell r="F1318" t="str">
            <v>Ubin warna 40x40 cm</v>
          </cell>
          <cell r="G1318" t="str">
            <v>buah</v>
          </cell>
          <cell r="H1318">
            <v>6000</v>
          </cell>
        </row>
        <row r="1319">
          <cell r="F1319" t="str">
            <v>Ubin warna 60x60 cm</v>
          </cell>
          <cell r="G1319" t="str">
            <v>buah</v>
          </cell>
          <cell r="H1319">
            <v>8000</v>
          </cell>
        </row>
        <row r="1320">
          <cell r="F1320" t="str">
            <v>Underlayer karpet</v>
          </cell>
          <cell r="G1320" t="str">
            <v>m2</v>
          </cell>
          <cell r="H1320">
            <v>10000</v>
          </cell>
        </row>
        <row r="1321">
          <cell r="F1321" t="str">
            <v>UPVC decking</v>
          </cell>
          <cell r="G1321" t="str">
            <v>m2</v>
          </cell>
          <cell r="H1321">
            <v>500000</v>
          </cell>
        </row>
        <row r="1322">
          <cell r="F1322" t="str">
            <v>Vinyl</v>
          </cell>
          <cell r="G1322" t="str">
            <v>buah</v>
          </cell>
          <cell r="H1322">
            <v>7000</v>
          </cell>
        </row>
        <row r="1324">
          <cell r="F1324" t="str">
            <v>Additive</v>
          </cell>
          <cell r="G1324" t="str">
            <v>liter</v>
          </cell>
          <cell r="H1324">
            <v>51600</v>
          </cell>
        </row>
        <row r="1325">
          <cell r="F1325" t="str">
            <v xml:space="preserve">Zat Aditif </v>
          </cell>
          <cell r="G1325" t="str">
            <v xml:space="preserve">kg </v>
          </cell>
          <cell r="H1325">
            <v>25000</v>
          </cell>
        </row>
        <row r="1326">
          <cell r="F1326" t="str">
            <v>Floor lantai (Beton lantai kerja)</v>
          </cell>
          <cell r="G1326" t="str">
            <v>m3</v>
          </cell>
          <cell r="H1326">
            <v>805600</v>
          </cell>
        </row>
        <row r="1327">
          <cell r="F1327" t="str">
            <v>Lantai Kerja</v>
          </cell>
          <cell r="G1327" t="str">
            <v>m3</v>
          </cell>
          <cell r="H1327">
            <v>805000</v>
          </cell>
        </row>
        <row r="1328">
          <cell r="F1328" t="str">
            <v>Adukan beton berpori (Aggregat  10/20mm) ready mix</v>
          </cell>
          <cell r="G1328" t="str">
            <v>m3</v>
          </cell>
          <cell r="H1328">
            <v>2250000</v>
          </cell>
        </row>
        <row r="1329">
          <cell r="F1329" t="str">
            <v>Adukan beton K-100 ready mix</v>
          </cell>
          <cell r="G1329" t="str">
            <v>m3</v>
          </cell>
          <cell r="H1329">
            <v>788100</v>
          </cell>
        </row>
        <row r="1330">
          <cell r="F1330" t="str">
            <v>Adukan beton K-125 ready mix</v>
          </cell>
          <cell r="G1330" t="str">
            <v>m3</v>
          </cell>
          <cell r="H1330">
            <v>805600</v>
          </cell>
        </row>
        <row r="1331">
          <cell r="F1331" t="str">
            <v>Adukan beton K-175 ready mix</v>
          </cell>
          <cell r="G1331" t="str">
            <v>m3</v>
          </cell>
          <cell r="H1331">
            <v>848100</v>
          </cell>
        </row>
        <row r="1332">
          <cell r="F1332" t="str">
            <v>Adukan beton K-200 ready mix</v>
          </cell>
          <cell r="G1332" t="str">
            <v>m3</v>
          </cell>
          <cell r="H1332">
            <v>869200</v>
          </cell>
        </row>
        <row r="1333">
          <cell r="F1333" t="str">
            <v>Adukan beton K-225 ready mix</v>
          </cell>
          <cell r="G1333" t="str">
            <v>m3</v>
          </cell>
          <cell r="H1333">
            <v>887700</v>
          </cell>
        </row>
        <row r="1334">
          <cell r="F1334" t="str">
            <v>Adukan beton K-250 ready mix</v>
          </cell>
          <cell r="G1334" t="str">
            <v>m3</v>
          </cell>
          <cell r="H1334">
            <v>911300</v>
          </cell>
        </row>
        <row r="1335">
          <cell r="F1335" t="str">
            <v>Adukan beton K-275 ready mix</v>
          </cell>
          <cell r="G1335" t="str">
            <v>m3</v>
          </cell>
          <cell r="H1335">
            <v>937100</v>
          </cell>
        </row>
        <row r="1336">
          <cell r="F1336" t="str">
            <v>Adukan beton K-300 ready mix</v>
          </cell>
          <cell r="G1336" t="str">
            <v>m3</v>
          </cell>
          <cell r="H1336">
            <v>961200</v>
          </cell>
        </row>
        <row r="1337">
          <cell r="F1337" t="str">
            <v>Adukan beton K-350 ready mix</v>
          </cell>
          <cell r="G1337" t="str">
            <v>m3</v>
          </cell>
          <cell r="H1337">
            <v>1001900</v>
          </cell>
        </row>
        <row r="1338">
          <cell r="F1338" t="str">
            <v>Adukan beton K-400 ready mix</v>
          </cell>
          <cell r="G1338" t="str">
            <v>m3</v>
          </cell>
          <cell r="H1338">
            <v>1066100</v>
          </cell>
        </row>
        <row r="1339">
          <cell r="F1339" t="str">
            <v>Adukan beton K-500 ready mix</v>
          </cell>
          <cell r="G1339" t="str">
            <v>m3</v>
          </cell>
          <cell r="H1339">
            <v>1152800</v>
          </cell>
        </row>
        <row r="1340">
          <cell r="F1340" t="str">
            <v>Beton fc' 15 Mpa</v>
          </cell>
          <cell r="G1340" t="str">
            <v>m3</v>
          </cell>
          <cell r="H1340">
            <v>848100</v>
          </cell>
        </row>
        <row r="1341">
          <cell r="F1341" t="str">
            <v>Compound gypsum</v>
          </cell>
          <cell r="G1341" t="str">
            <v>kg</v>
          </cell>
          <cell r="H1341">
            <v>3500</v>
          </cell>
        </row>
        <row r="1342">
          <cell r="F1342" t="str">
            <v>Compound hardboard</v>
          </cell>
          <cell r="G1342" t="str">
            <v>kg</v>
          </cell>
          <cell r="H1342">
            <v>3700</v>
          </cell>
        </row>
        <row r="1343">
          <cell r="F1343" t="str">
            <v>Curing compound</v>
          </cell>
          <cell r="G1343" t="str">
            <v>liter</v>
          </cell>
          <cell r="H1343">
            <v>44100</v>
          </cell>
        </row>
        <row r="1344">
          <cell r="F1344" t="str">
            <v>Flexible waterproofing</v>
          </cell>
          <cell r="G1344" t="str">
            <v>kg</v>
          </cell>
          <cell r="H1344">
            <v>52400</v>
          </cell>
        </row>
        <row r="1345">
          <cell r="F1345" t="str">
            <v xml:space="preserve">Membran Bakar </v>
          </cell>
          <cell r="G1345" t="str">
            <v>m2</v>
          </cell>
          <cell r="H1345">
            <v>150000</v>
          </cell>
        </row>
        <row r="1346">
          <cell r="F1346" t="str">
            <v xml:space="preserve">Cairan Primer </v>
          </cell>
          <cell r="G1346" t="str">
            <v xml:space="preserve">kg </v>
          </cell>
          <cell r="H1346">
            <v>57500</v>
          </cell>
        </row>
        <row r="1347">
          <cell r="F1347" t="str">
            <v>Formtie/penjaga jarak bekesting/spacer</v>
          </cell>
          <cell r="G1347" t="str">
            <v>buah</v>
          </cell>
          <cell r="H1347">
            <v>7000</v>
          </cell>
        </row>
        <row r="1348">
          <cell r="F1348" t="str">
            <v>Kassa</v>
          </cell>
          <cell r="G1348" t="str">
            <v>m'</v>
          </cell>
          <cell r="H1348">
            <v>8100</v>
          </cell>
        </row>
        <row r="1349">
          <cell r="F1349" t="str">
            <v>Kolom beton pracetak</v>
          </cell>
          <cell r="G1349" t="str">
            <v>batang</v>
          </cell>
          <cell r="H1349">
            <v>282000</v>
          </cell>
        </row>
        <row r="1350">
          <cell r="F1350" t="str">
            <v>Panel beton pracetak</v>
          </cell>
          <cell r="G1350" t="str">
            <v>lembar</v>
          </cell>
          <cell r="H1350">
            <v>125000</v>
          </cell>
        </row>
        <row r="1351">
          <cell r="F1351" t="str">
            <v>Paper tape hardboard</v>
          </cell>
          <cell r="G1351" t="str">
            <v>m'</v>
          </cell>
          <cell r="H1351">
            <v>4800</v>
          </cell>
        </row>
        <row r="1352">
          <cell r="F1352" t="str">
            <v>Pengisi khusus  rongga nat</v>
          </cell>
          <cell r="G1352" t="str">
            <v>kg</v>
          </cell>
          <cell r="H1352">
            <v>15500</v>
          </cell>
        </row>
        <row r="1353">
          <cell r="F1353" t="str">
            <v>Perekat  khusus  penutup dinding</v>
          </cell>
          <cell r="G1353" t="str">
            <v>kg</v>
          </cell>
          <cell r="H1353">
            <v>21100</v>
          </cell>
        </row>
        <row r="1354">
          <cell r="F1354" t="str">
            <v>Perekat  khusus  penutup lantai</v>
          </cell>
          <cell r="G1354" t="str">
            <v>kg</v>
          </cell>
          <cell r="H1354">
            <v>17200</v>
          </cell>
        </row>
        <row r="1355">
          <cell r="F1355" t="str">
            <v>Semen 40 Kg</v>
          </cell>
          <cell r="G1355" t="str">
            <v>zak</v>
          </cell>
          <cell r="H1355">
            <v>46600</v>
          </cell>
        </row>
        <row r="1356">
          <cell r="F1356" t="str">
            <v>Semen 50 Kg</v>
          </cell>
          <cell r="G1356" t="str">
            <v>zak</v>
          </cell>
          <cell r="H1356">
            <v>58200</v>
          </cell>
        </row>
        <row r="1357">
          <cell r="F1357" t="str">
            <v>Semen grout</v>
          </cell>
          <cell r="G1357" t="str">
            <v>kg</v>
          </cell>
          <cell r="H1357">
            <v>6000</v>
          </cell>
        </row>
        <row r="1358">
          <cell r="F1358" t="str">
            <v>Semen merah</v>
          </cell>
          <cell r="G1358" t="str">
            <v>kg</v>
          </cell>
          <cell r="H1358">
            <v>15800</v>
          </cell>
        </row>
        <row r="1359">
          <cell r="F1359" t="str">
            <v>Semen Merk II 40 Kg</v>
          </cell>
          <cell r="G1359" t="str">
            <v>zak</v>
          </cell>
          <cell r="H1359">
            <v>46500</v>
          </cell>
        </row>
        <row r="1360">
          <cell r="F1360" t="str">
            <v>Semen Merk II 50 Kg</v>
          </cell>
          <cell r="G1360" t="str">
            <v>zak</v>
          </cell>
          <cell r="H1360">
            <v>57600</v>
          </cell>
        </row>
        <row r="1361">
          <cell r="F1361" t="str">
            <v>Semen nat</v>
          </cell>
          <cell r="G1361" t="str">
            <v>kg</v>
          </cell>
          <cell r="H1361">
            <v>16100</v>
          </cell>
        </row>
        <row r="1362">
          <cell r="F1362" t="str">
            <v>Semen Portland (PC)</v>
          </cell>
          <cell r="G1362" t="str">
            <v>kg</v>
          </cell>
          <cell r="H1362">
            <v>1300</v>
          </cell>
        </row>
        <row r="1363">
          <cell r="F1363" t="str">
            <v>Semen putih 40 Kg</v>
          </cell>
          <cell r="G1363" t="str">
            <v>zak</v>
          </cell>
          <cell r="H1363">
            <v>89700</v>
          </cell>
        </row>
        <row r="1364">
          <cell r="F1364" t="str">
            <v>Semen putih 50 Kg</v>
          </cell>
          <cell r="G1364" t="str">
            <v>zak</v>
          </cell>
          <cell r="H1364">
            <v>97700</v>
          </cell>
        </row>
        <row r="1365">
          <cell r="F1365" t="str">
            <v>Semen warna</v>
          </cell>
          <cell r="G1365" t="str">
            <v>kg</v>
          </cell>
          <cell r="H1365">
            <v>7800</v>
          </cell>
        </row>
        <row r="1366">
          <cell r="F1366" t="str">
            <v>Waterproofing</v>
          </cell>
          <cell r="G1366" t="str">
            <v>kg</v>
          </cell>
          <cell r="H1366">
            <v>61200</v>
          </cell>
        </row>
        <row r="1367">
          <cell r="F1367" t="str">
            <v>Waterproofing Cristalin</v>
          </cell>
          <cell r="G1367" t="str">
            <v>kg</v>
          </cell>
          <cell r="H1367">
            <v>62000</v>
          </cell>
        </row>
        <row r="1368">
          <cell r="F1368" t="str">
            <v>Waterproofing Semen Base</v>
          </cell>
          <cell r="G1368" t="str">
            <v>kg</v>
          </cell>
          <cell r="H1368">
            <v>74500</v>
          </cell>
        </row>
        <row r="1369">
          <cell r="F1369" t="str">
            <v>Waterproofing Acrylic Base</v>
          </cell>
          <cell r="G1369" t="str">
            <v>kg</v>
          </cell>
          <cell r="H1369">
            <v>64000</v>
          </cell>
        </row>
        <row r="1370">
          <cell r="F1370" t="str">
            <v>Joint Sealant</v>
          </cell>
          <cell r="G1370" t="str">
            <v>kg</v>
          </cell>
          <cell r="H1370">
            <v>22000</v>
          </cell>
        </row>
        <row r="1371">
          <cell r="F1371" t="str">
            <v>Polytene 125 Mikron</v>
          </cell>
          <cell r="G1371" t="str">
            <v xml:space="preserve">kg </v>
          </cell>
          <cell r="H1371">
            <v>46000</v>
          </cell>
        </row>
        <row r="1372">
          <cell r="F1372" t="str">
            <v>Dowel dia. 25 mm (BjTs)</v>
          </cell>
          <cell r="G1372" t="str">
            <v>Kg</v>
          </cell>
          <cell r="H1372">
            <v>15367.965367965367</v>
          </cell>
        </row>
        <row r="1373">
          <cell r="F1373" t="str">
            <v>Tie Bar Dia. 16 mm (BjTS)</v>
          </cell>
          <cell r="G1373" t="str">
            <v xml:space="preserve">Kg </v>
          </cell>
          <cell r="H1373">
            <v>17721.518987341773</v>
          </cell>
        </row>
        <row r="1374">
          <cell r="F1374" t="str">
            <v>Lolos screen 2 ukuran 9,5-19,0</v>
          </cell>
          <cell r="G1374" t="str">
            <v>m3</v>
          </cell>
          <cell r="H1374">
            <v>1970000</v>
          </cell>
        </row>
        <row r="1375">
          <cell r="F1375" t="str">
            <v>Lolos screen 2 ukuran 0-5</v>
          </cell>
          <cell r="G1375" t="str">
            <v>m3</v>
          </cell>
          <cell r="H1375">
            <v>1799000</v>
          </cell>
        </row>
        <row r="1376">
          <cell r="F1376" t="str">
            <v>Lantai Kerja fc 10 Mpa</v>
          </cell>
          <cell r="G1376" t="str">
            <v>m3</v>
          </cell>
          <cell r="H1376">
            <v>1236000</v>
          </cell>
        </row>
        <row r="1377">
          <cell r="F1377" t="str">
            <v>Lantai Kerja fc 7,5 Mpa</v>
          </cell>
          <cell r="G1377" t="str">
            <v>m3</v>
          </cell>
          <cell r="H1377">
            <v>928000</v>
          </cell>
        </row>
        <row r="1378">
          <cell r="F1378" t="str">
            <v xml:space="preserve">U-Ditch 30x30x120 cm </v>
          </cell>
          <cell r="G1378" t="str">
            <v>Buah</v>
          </cell>
          <cell r="H1378">
            <v>220000</v>
          </cell>
        </row>
        <row r="1379">
          <cell r="F1379" t="str">
            <v xml:space="preserve">U-Ditch 30x40x120 cm </v>
          </cell>
          <cell r="G1379" t="str">
            <v>Buah</v>
          </cell>
          <cell r="H1379">
            <v>240000</v>
          </cell>
        </row>
        <row r="1380">
          <cell r="F1380" t="str">
            <v xml:space="preserve">U-Ditch 40x40x120 cm </v>
          </cell>
          <cell r="G1380" t="str">
            <v>Buah</v>
          </cell>
          <cell r="H1380">
            <v>270000</v>
          </cell>
        </row>
        <row r="1381">
          <cell r="F1381" t="str">
            <v xml:space="preserve">U-Ditch 40x50x120 cm </v>
          </cell>
          <cell r="G1381" t="str">
            <v>Buah</v>
          </cell>
          <cell r="H1381">
            <v>290000</v>
          </cell>
        </row>
        <row r="1382">
          <cell r="F1382" t="str">
            <v xml:space="preserve">U-Ditch 40x60x120 cm </v>
          </cell>
          <cell r="G1382" t="str">
            <v>Buah</v>
          </cell>
          <cell r="H1382">
            <v>320000</v>
          </cell>
        </row>
        <row r="1383">
          <cell r="F1383" t="str">
            <v xml:space="preserve">U-Ditch 50x50x120 cm </v>
          </cell>
          <cell r="G1383" t="str">
            <v>Buah</v>
          </cell>
          <cell r="H1383">
            <v>340000</v>
          </cell>
        </row>
        <row r="1384">
          <cell r="F1384" t="str">
            <v xml:space="preserve">U-Ditch 50x60x120 cm </v>
          </cell>
          <cell r="G1384" t="str">
            <v>Buah</v>
          </cell>
          <cell r="H1384">
            <v>370000</v>
          </cell>
        </row>
        <row r="1385">
          <cell r="F1385" t="str">
            <v xml:space="preserve">U-Ditch 50x70x120 cm </v>
          </cell>
          <cell r="G1385" t="str">
            <v>Buah</v>
          </cell>
          <cell r="H1385">
            <v>390000</v>
          </cell>
        </row>
        <row r="1386">
          <cell r="F1386" t="str">
            <v xml:space="preserve">U-Ditch 60x60x120 cm </v>
          </cell>
          <cell r="G1386" t="str">
            <v>Buah</v>
          </cell>
          <cell r="H1386">
            <v>420000</v>
          </cell>
        </row>
        <row r="1387">
          <cell r="F1387" t="str">
            <v xml:space="preserve">U-Ditch 60x70x120 cm </v>
          </cell>
          <cell r="G1387" t="str">
            <v>Buah</v>
          </cell>
          <cell r="H1387">
            <v>440000</v>
          </cell>
        </row>
        <row r="1388">
          <cell r="F1388" t="str">
            <v xml:space="preserve">U-Ditch 60x80x120 cm </v>
          </cell>
          <cell r="G1388" t="str">
            <v>Buah</v>
          </cell>
          <cell r="H1388">
            <v>470000</v>
          </cell>
        </row>
        <row r="1389">
          <cell r="F1389" t="str">
            <v xml:space="preserve">U-Ditch 80x60x120 cm </v>
          </cell>
          <cell r="G1389" t="str">
            <v>Buah</v>
          </cell>
          <cell r="H1389">
            <v>490000</v>
          </cell>
        </row>
        <row r="1390">
          <cell r="F1390" t="str">
            <v xml:space="preserve">U-Ditch 80x80x120 cm </v>
          </cell>
          <cell r="G1390" t="str">
            <v>Buah</v>
          </cell>
          <cell r="H1390">
            <v>520000</v>
          </cell>
        </row>
        <row r="1391">
          <cell r="F1391" t="str">
            <v xml:space="preserve">U-Ditch 80x100x120 cm </v>
          </cell>
          <cell r="G1391" t="str">
            <v>Buah</v>
          </cell>
          <cell r="H1391">
            <v>540000</v>
          </cell>
        </row>
        <row r="1392">
          <cell r="F1392" t="str">
            <v xml:space="preserve">U-Ditch 100x100x120 cm </v>
          </cell>
          <cell r="G1392" t="str">
            <v>Buah</v>
          </cell>
          <cell r="H1392">
            <v>570000</v>
          </cell>
        </row>
        <row r="1393">
          <cell r="F1393" t="str">
            <v xml:space="preserve">U-Ditch 100x120x120 cm </v>
          </cell>
          <cell r="G1393" t="str">
            <v>Buah</v>
          </cell>
          <cell r="H1393">
            <v>590000</v>
          </cell>
        </row>
        <row r="1394">
          <cell r="F1394" t="str">
            <v xml:space="preserve">U-Ditch 120x120x120 cm </v>
          </cell>
          <cell r="G1394" t="str">
            <v>Buah</v>
          </cell>
          <cell r="H1394">
            <v>620000</v>
          </cell>
        </row>
        <row r="1395">
          <cell r="F1395" t="str">
            <v xml:space="preserve">U-Ditch 120x140x120 cm </v>
          </cell>
          <cell r="G1395" t="str">
            <v>Buah</v>
          </cell>
          <cell r="H1395">
            <v>640000</v>
          </cell>
        </row>
        <row r="1396">
          <cell r="F1396" t="str">
            <v xml:space="preserve">U-Ditch 140x140x120 cm </v>
          </cell>
          <cell r="G1396" t="str">
            <v>Buah</v>
          </cell>
          <cell r="H1396">
            <v>670000</v>
          </cell>
        </row>
        <row r="1397">
          <cell r="F1397" t="str">
            <v xml:space="preserve">U-Ditch 150x100x120 cm </v>
          </cell>
          <cell r="G1397" t="str">
            <v>Buah</v>
          </cell>
          <cell r="H1397">
            <v>680000</v>
          </cell>
        </row>
        <row r="1398">
          <cell r="F1398" t="str">
            <v xml:space="preserve">U-Ditch 150x150x120 cm </v>
          </cell>
          <cell r="G1398" t="str">
            <v>Buah</v>
          </cell>
          <cell r="H1398">
            <v>710000</v>
          </cell>
        </row>
        <row r="1399">
          <cell r="F1399" t="str">
            <v xml:space="preserve">U-Ditch 150x170x120 cm </v>
          </cell>
          <cell r="G1399" t="str">
            <v>Buah</v>
          </cell>
          <cell r="H1399">
            <v>730000</v>
          </cell>
        </row>
        <row r="1400">
          <cell r="F1400" t="str">
            <v xml:space="preserve">U-Ditch 160x160x120 cm </v>
          </cell>
          <cell r="G1400" t="str">
            <v>Buah</v>
          </cell>
          <cell r="H1400">
            <v>750000</v>
          </cell>
        </row>
        <row r="1401">
          <cell r="F1401" t="str">
            <v xml:space="preserve">U-Ditch 160x180x120 cm </v>
          </cell>
          <cell r="G1401" t="str">
            <v>Buah</v>
          </cell>
          <cell r="H1401">
            <v>780000</v>
          </cell>
        </row>
        <row r="1402">
          <cell r="F1402" t="str">
            <v xml:space="preserve">U-Ditch 180x180x120 cm </v>
          </cell>
          <cell r="G1402" t="str">
            <v>Buah</v>
          </cell>
          <cell r="H1402">
            <v>800000</v>
          </cell>
        </row>
        <row r="1403">
          <cell r="F1403" t="str">
            <v xml:space="preserve">U-Ditch 180x200x120 cm </v>
          </cell>
          <cell r="G1403" t="str">
            <v>Buah</v>
          </cell>
          <cell r="H1403">
            <v>830000</v>
          </cell>
        </row>
        <row r="1404">
          <cell r="F1404" t="str">
            <v xml:space="preserve">U-Ditch 200x200x120 cm </v>
          </cell>
          <cell r="G1404" t="str">
            <v>Buah</v>
          </cell>
          <cell r="H1404">
            <v>850000</v>
          </cell>
        </row>
        <row r="1405">
          <cell r="F1405" t="str">
            <v>Tutup U-Ditch 39x60x6 (tipe LD)</v>
          </cell>
          <cell r="G1405" t="str">
            <v xml:space="preserve">buah </v>
          </cell>
          <cell r="H1405">
            <v>70000</v>
          </cell>
        </row>
        <row r="1406">
          <cell r="F1406" t="str">
            <v>Tutup U-Ditch 51x60x7 (tipe LD)</v>
          </cell>
          <cell r="G1406" t="str">
            <v xml:space="preserve">buah </v>
          </cell>
          <cell r="H1406">
            <v>100000</v>
          </cell>
        </row>
        <row r="1407">
          <cell r="F1407" t="str">
            <v>Tutup U-Ditch 62x60x7,5 (tipe LD)</v>
          </cell>
          <cell r="G1407" t="str">
            <v xml:space="preserve">buah </v>
          </cell>
          <cell r="H1407">
            <v>125000</v>
          </cell>
        </row>
        <row r="1408">
          <cell r="F1408" t="str">
            <v>Tutup U-Ditch 73x60x7,8 (tipe LD)</v>
          </cell>
          <cell r="G1408" t="str">
            <v>buah</v>
          </cell>
          <cell r="H1408">
            <v>165000</v>
          </cell>
        </row>
        <row r="1409">
          <cell r="F1409" t="str">
            <v>Tutup U-Ditch 94x60x10 (tipe LD)</v>
          </cell>
          <cell r="G1409" t="str">
            <v xml:space="preserve">buah </v>
          </cell>
          <cell r="H1409">
            <v>195000</v>
          </cell>
        </row>
        <row r="1410">
          <cell r="F1410" t="str">
            <v>Tutup U-Ditch 39x60x9 (tipe HD)</v>
          </cell>
          <cell r="G1410" t="str">
            <v xml:space="preserve">buah </v>
          </cell>
          <cell r="H1410">
            <v>125000</v>
          </cell>
        </row>
        <row r="1411">
          <cell r="F1411" t="str">
            <v>Tutup U-Ditch 51x60x10 (tipe HD)</v>
          </cell>
          <cell r="G1411" t="str">
            <v xml:space="preserve">buah </v>
          </cell>
          <cell r="H1411">
            <v>176000</v>
          </cell>
        </row>
        <row r="1412">
          <cell r="F1412" t="str">
            <v>Tutup U-Ditch 73x60x14 (tipe HD)</v>
          </cell>
          <cell r="G1412" t="str">
            <v xml:space="preserve">buah </v>
          </cell>
          <cell r="H1412">
            <v>235000</v>
          </cell>
        </row>
        <row r="1413">
          <cell r="F1413" t="str">
            <v>Tutup U-Ditch 94x60x15 (tipe HD)</v>
          </cell>
          <cell r="G1413" t="str">
            <v xml:space="preserve">Buah </v>
          </cell>
          <cell r="H1413">
            <v>375000</v>
          </cell>
        </row>
        <row r="1415">
          <cell r="F1415" t="str">
            <v>Cat  anti karat</v>
          </cell>
          <cell r="G1415" t="str">
            <v>kg</v>
          </cell>
          <cell r="H1415">
            <v>58200</v>
          </cell>
        </row>
        <row r="1416">
          <cell r="F1416" t="str">
            <v>Cat  besi</v>
          </cell>
          <cell r="G1416" t="str">
            <v>kg</v>
          </cell>
          <cell r="H1416">
            <v>62800</v>
          </cell>
        </row>
        <row r="1417">
          <cell r="F1417" t="str">
            <v>Cat  coating</v>
          </cell>
          <cell r="G1417" t="str">
            <v>liter</v>
          </cell>
          <cell r="H1417">
            <v>75700</v>
          </cell>
        </row>
        <row r="1418">
          <cell r="F1418" t="str">
            <v>Cat  genteng</v>
          </cell>
          <cell r="G1418" t="str">
            <v>kg</v>
          </cell>
          <cell r="H1418">
            <v>52800</v>
          </cell>
        </row>
        <row r="1419">
          <cell r="F1419" t="str">
            <v>Cat  tembok per 20 kg</v>
          </cell>
          <cell r="G1419" t="str">
            <v>kg</v>
          </cell>
          <cell r="H1419">
            <v>528800</v>
          </cell>
        </row>
        <row r="1420">
          <cell r="F1420" t="str">
            <v>Cat antara (cat besi)</v>
          </cell>
          <cell r="G1420" t="str">
            <v>kg</v>
          </cell>
          <cell r="H1420">
            <v>49700</v>
          </cell>
        </row>
        <row r="1421">
          <cell r="F1421" t="str">
            <v>Cat dasar (cat besi)</v>
          </cell>
          <cell r="G1421" t="str">
            <v>kg</v>
          </cell>
          <cell r="H1421">
            <v>52300</v>
          </cell>
        </row>
        <row r="1422">
          <cell r="F1422" t="str">
            <v>Cat dasar (cat kayu)</v>
          </cell>
          <cell r="G1422" t="str">
            <v>kg</v>
          </cell>
          <cell r="H1422">
            <v>38200</v>
          </cell>
        </row>
        <row r="1423">
          <cell r="F1423" t="str">
            <v>Cat kayu</v>
          </cell>
          <cell r="G1423" t="str">
            <v>kg</v>
          </cell>
          <cell r="H1423">
            <v>50000</v>
          </cell>
        </row>
        <row r="1424">
          <cell r="F1424" t="str">
            <v>Cat dasar (cat tembok eksterior)</v>
          </cell>
          <cell r="G1424" t="str">
            <v>kg</v>
          </cell>
          <cell r="H1424">
            <v>128500</v>
          </cell>
        </row>
        <row r="1425">
          <cell r="F1425" t="str">
            <v>Cat dasar (cat tembok interior)</v>
          </cell>
          <cell r="G1425" t="str">
            <v>kg</v>
          </cell>
          <cell r="H1425">
            <v>119100</v>
          </cell>
        </row>
        <row r="1426">
          <cell r="F1426" t="str">
            <v>Cat Dasar Plafond</v>
          </cell>
          <cell r="G1426" t="str">
            <v xml:space="preserve">Kg </v>
          </cell>
          <cell r="H1426">
            <v>128500</v>
          </cell>
        </row>
        <row r="1427">
          <cell r="F1427" t="str">
            <v>Cat Plafond Eksterior</v>
          </cell>
          <cell r="G1427" t="str">
            <v>kg</v>
          </cell>
          <cell r="H1427">
            <v>119100</v>
          </cell>
        </row>
        <row r="1428">
          <cell r="F1428" t="str">
            <v>Cat epoxy</v>
          </cell>
          <cell r="G1428" t="str">
            <v>kg</v>
          </cell>
          <cell r="H1428">
            <v>30000</v>
          </cell>
        </row>
        <row r="1429">
          <cell r="F1429" t="str">
            <v>Cat kedap  air  ( water  base)</v>
          </cell>
          <cell r="G1429" t="str">
            <v>kg</v>
          </cell>
          <cell r="H1429">
            <v>53300</v>
          </cell>
        </row>
        <row r="1430">
          <cell r="F1430" t="str">
            <v>Cat penutup (cat besi)</v>
          </cell>
          <cell r="G1430" t="str">
            <v>kg</v>
          </cell>
          <cell r="H1430">
            <v>54700</v>
          </cell>
        </row>
        <row r="1431">
          <cell r="F1431" t="str">
            <v>Cat penutup (cat kayu)</v>
          </cell>
          <cell r="G1431" t="str">
            <v>kg</v>
          </cell>
          <cell r="H1431">
            <v>58500</v>
          </cell>
        </row>
        <row r="1432">
          <cell r="F1432" t="str">
            <v>Cat penutup (cat tembok eksterior)</v>
          </cell>
          <cell r="G1432" t="str">
            <v>kg</v>
          </cell>
          <cell r="H1432">
            <v>136600</v>
          </cell>
        </row>
        <row r="1433">
          <cell r="F1433" t="str">
            <v>Cat penutup (cat tembok interior)</v>
          </cell>
          <cell r="G1433" t="str">
            <v>kg</v>
          </cell>
          <cell r="H1433">
            <v>130500</v>
          </cell>
        </row>
        <row r="1434">
          <cell r="F1434" t="str">
            <v>Cat dinding</v>
          </cell>
          <cell r="G1434" t="str">
            <v>m2</v>
          </cell>
          <cell r="H1434">
            <v>25000</v>
          </cell>
        </row>
        <row r="1435">
          <cell r="F1435" t="str">
            <v>Cat zyncromate</v>
          </cell>
          <cell r="G1435" t="str">
            <v>kg</v>
          </cell>
          <cell r="H1435">
            <v>26000</v>
          </cell>
        </row>
        <row r="1436">
          <cell r="F1436" t="str">
            <v xml:space="preserve">Cat Thermoplast </v>
          </cell>
          <cell r="G1436" t="str">
            <v xml:space="preserve">kg </v>
          </cell>
          <cell r="H1436">
            <v>29120</v>
          </cell>
        </row>
        <row r="1437">
          <cell r="F1437" t="str">
            <v xml:space="preserve">Glass Beads </v>
          </cell>
          <cell r="G1437" t="str">
            <v>kg</v>
          </cell>
          <cell r="H1437">
            <v>18000</v>
          </cell>
        </row>
        <row r="1438">
          <cell r="F1438" t="str">
            <v xml:space="preserve">Compressor </v>
          </cell>
          <cell r="G1438" t="str">
            <v xml:space="preserve">jam </v>
          </cell>
          <cell r="H1438">
            <v>92500</v>
          </cell>
        </row>
        <row r="1439">
          <cell r="F1439" t="str">
            <v xml:space="preserve">Logo PU Akrilik 40x40 cm </v>
          </cell>
          <cell r="G1439" t="str">
            <v xml:space="preserve">buah </v>
          </cell>
          <cell r="H1439">
            <v>400000</v>
          </cell>
        </row>
        <row r="1440">
          <cell r="F1440" t="str">
            <v xml:space="preserve">Logo PU Plat Baja 80x80 cm </v>
          </cell>
          <cell r="G1440" t="str">
            <v xml:space="preserve">buah </v>
          </cell>
          <cell r="H1440">
            <v>450000</v>
          </cell>
        </row>
        <row r="1441">
          <cell r="F1441" t="str">
            <v>Nomor Rumah Akrilik 15x30 cm</v>
          </cell>
          <cell r="G1441" t="str">
            <v xml:space="preserve">buah </v>
          </cell>
          <cell r="H1441">
            <v>55000</v>
          </cell>
        </row>
        <row r="1442">
          <cell r="F1442" t="str">
            <v xml:space="preserve">Bak Cuci Piring </v>
          </cell>
          <cell r="G1442" t="str">
            <v xml:space="preserve">unit </v>
          </cell>
          <cell r="H1442">
            <v>436500</v>
          </cell>
        </row>
        <row r="1443">
          <cell r="F1443" t="str">
            <v>Shower Set</v>
          </cell>
          <cell r="G1443" t="str">
            <v>unit</v>
          </cell>
          <cell r="H1443">
            <v>666000</v>
          </cell>
        </row>
        <row r="1444">
          <cell r="F1444" t="str">
            <v>Dempul</v>
          </cell>
          <cell r="G1444" t="str">
            <v>kg</v>
          </cell>
          <cell r="H1444">
            <v>33500</v>
          </cell>
        </row>
        <row r="1445">
          <cell r="F1445" t="str">
            <v>Dempul jadi</v>
          </cell>
          <cell r="G1445" t="str">
            <v>kg</v>
          </cell>
          <cell r="H1445">
            <v>35500</v>
          </cell>
        </row>
        <row r="1446">
          <cell r="F1446" t="str">
            <v>Kuas  1"</v>
          </cell>
          <cell r="G1446" t="str">
            <v>buah</v>
          </cell>
          <cell r="H1446">
            <v>7100</v>
          </cell>
        </row>
        <row r="1447">
          <cell r="F1447" t="str">
            <v>Kuas  2"</v>
          </cell>
          <cell r="G1447" t="str">
            <v>buah</v>
          </cell>
          <cell r="H1447">
            <v>9800</v>
          </cell>
        </row>
        <row r="1448">
          <cell r="F1448" t="str">
            <v>Kuas  4"</v>
          </cell>
          <cell r="G1448" t="str">
            <v>buah</v>
          </cell>
          <cell r="H1448">
            <v>14100</v>
          </cell>
        </row>
        <row r="1449">
          <cell r="F1449" t="str">
            <v>Kuas 3 inch</v>
          </cell>
          <cell r="G1449" t="str">
            <v>buah</v>
          </cell>
          <cell r="H1449">
            <v>10400</v>
          </cell>
        </row>
        <row r="1450">
          <cell r="F1450" t="str">
            <v>Melamic</v>
          </cell>
          <cell r="G1450" t="str">
            <v>kg</v>
          </cell>
          <cell r="H1450">
            <v>60000</v>
          </cell>
        </row>
        <row r="1451">
          <cell r="F1451" t="str">
            <v>Meni besi</v>
          </cell>
          <cell r="G1451" t="str">
            <v>kg</v>
          </cell>
          <cell r="H1451">
            <v>39700</v>
          </cell>
        </row>
        <row r="1452">
          <cell r="F1452" t="str">
            <v>Meni kayu</v>
          </cell>
          <cell r="G1452" t="str">
            <v>kg</v>
          </cell>
          <cell r="H1452">
            <v>34500</v>
          </cell>
        </row>
        <row r="1453">
          <cell r="F1453" t="str">
            <v>Pelitur</v>
          </cell>
          <cell r="G1453" t="str">
            <v>liter</v>
          </cell>
          <cell r="H1453">
            <v>73700</v>
          </cell>
        </row>
        <row r="1454">
          <cell r="F1454" t="str">
            <v>Pelitur jadi</v>
          </cell>
          <cell r="G1454" t="str">
            <v>liter</v>
          </cell>
          <cell r="H1454">
            <v>66200</v>
          </cell>
        </row>
        <row r="1455">
          <cell r="F1455" t="str">
            <v>Pengencer cat kayu/besi</v>
          </cell>
          <cell r="G1455" t="str">
            <v>liter</v>
          </cell>
          <cell r="H1455">
            <v>20000</v>
          </cell>
        </row>
        <row r="1456">
          <cell r="F1456" t="str">
            <v>Pengencer cat kayu/besi</v>
          </cell>
          <cell r="G1456" t="str">
            <v>kg</v>
          </cell>
          <cell r="H1456">
            <v>17400</v>
          </cell>
        </row>
        <row r="1457">
          <cell r="F1457" t="str">
            <v>Pewarna Beton</v>
          </cell>
          <cell r="G1457" t="str">
            <v>kg</v>
          </cell>
          <cell r="H1457">
            <v>75000</v>
          </cell>
        </row>
        <row r="1458">
          <cell r="F1458" t="str">
            <v>Plamir kayu</v>
          </cell>
          <cell r="G1458" t="str">
            <v>kg</v>
          </cell>
          <cell r="H1458">
            <v>30100</v>
          </cell>
        </row>
        <row r="1459">
          <cell r="F1459" t="str">
            <v>Plamir tembok</v>
          </cell>
          <cell r="G1459" t="str">
            <v>kg</v>
          </cell>
          <cell r="H1459">
            <v>26500</v>
          </cell>
        </row>
        <row r="1460">
          <cell r="F1460" t="str">
            <v>Sanding</v>
          </cell>
          <cell r="G1460" t="str">
            <v>kg</v>
          </cell>
          <cell r="H1460">
            <v>90000</v>
          </cell>
        </row>
        <row r="1461">
          <cell r="F1461" t="str">
            <v>Vernis</v>
          </cell>
          <cell r="G1461" t="str">
            <v>liter</v>
          </cell>
          <cell r="H1461">
            <v>44500</v>
          </cell>
        </row>
        <row r="1462">
          <cell r="F1462" t="str">
            <v>Wood filler</v>
          </cell>
          <cell r="G1462" t="str">
            <v>kg</v>
          </cell>
          <cell r="H1462">
            <v>53000</v>
          </cell>
        </row>
        <row r="1463">
          <cell r="F1463" t="str">
            <v>Woodstain</v>
          </cell>
          <cell r="G1463" t="str">
            <v>kg</v>
          </cell>
          <cell r="H1463">
            <v>87000</v>
          </cell>
        </row>
        <row r="1465">
          <cell r="F1465" t="str">
            <v>1 set  kunci pintu (kw  1)</v>
          </cell>
          <cell r="G1465" t="str">
            <v>buah</v>
          </cell>
          <cell r="H1465">
            <v>180900</v>
          </cell>
        </row>
        <row r="1466">
          <cell r="F1466" t="str">
            <v>1 set  kunci pintu (kw  2)</v>
          </cell>
          <cell r="G1466" t="str">
            <v>buah</v>
          </cell>
          <cell r="H1466">
            <v>117900</v>
          </cell>
        </row>
        <row r="1467">
          <cell r="F1467" t="str">
            <v>1 set handle+kunci</v>
          </cell>
          <cell r="G1467" t="str">
            <v>buah</v>
          </cell>
          <cell r="H1467">
            <v>279000</v>
          </cell>
        </row>
        <row r="1468">
          <cell r="F1468" t="str">
            <v>Door closer</v>
          </cell>
          <cell r="G1468" t="str">
            <v>buah</v>
          </cell>
          <cell r="H1468">
            <v>167500</v>
          </cell>
        </row>
        <row r="1469">
          <cell r="F1469" t="str">
            <v>Door holder</v>
          </cell>
          <cell r="G1469" t="str">
            <v>buah</v>
          </cell>
          <cell r="H1469">
            <v>81000</v>
          </cell>
        </row>
        <row r="1470">
          <cell r="F1470" t="str">
            <v>Door stop</v>
          </cell>
          <cell r="G1470" t="str">
            <v>buah</v>
          </cell>
          <cell r="H1470">
            <v>58500</v>
          </cell>
        </row>
        <row r="1471">
          <cell r="F1471" t="str">
            <v>Engsel angin</v>
          </cell>
          <cell r="G1471" t="str">
            <v>buah</v>
          </cell>
          <cell r="H1471">
            <v>27400</v>
          </cell>
        </row>
        <row r="1472">
          <cell r="F1472" t="str">
            <v>Engsel jendela</v>
          </cell>
          <cell r="G1472" t="str">
            <v>buah</v>
          </cell>
          <cell r="H1472">
            <v>18900</v>
          </cell>
        </row>
        <row r="1473">
          <cell r="F1473" t="str">
            <v>Engsel kupu-kupu</v>
          </cell>
          <cell r="G1473" t="str">
            <v>buah</v>
          </cell>
          <cell r="H1473">
            <v>41700</v>
          </cell>
        </row>
        <row r="1474">
          <cell r="F1474" t="str">
            <v>Engsel lengan jendela</v>
          </cell>
          <cell r="G1474" t="str">
            <v>buah</v>
          </cell>
          <cell r="H1474">
            <v>26500</v>
          </cell>
        </row>
        <row r="1475">
          <cell r="F1475" t="str">
            <v>Engsel pintu (kw 1)</v>
          </cell>
          <cell r="G1475" t="str">
            <v>buah</v>
          </cell>
          <cell r="H1475">
            <v>31500</v>
          </cell>
        </row>
        <row r="1476">
          <cell r="F1476" t="str">
            <v>Engsel pintu (kw 2)</v>
          </cell>
          <cell r="G1476" t="str">
            <v>buah</v>
          </cell>
          <cell r="H1476">
            <v>23700</v>
          </cell>
        </row>
        <row r="1477">
          <cell r="F1477" t="str">
            <v>Floor hinge</v>
          </cell>
          <cell r="G1477" t="str">
            <v>buah</v>
          </cell>
          <cell r="H1477">
            <v>500000</v>
          </cell>
        </row>
        <row r="1478">
          <cell r="F1478" t="str">
            <v>Gerendel Biasa</v>
          </cell>
          <cell r="G1478" t="str">
            <v>buah</v>
          </cell>
          <cell r="H1478">
            <v>32600</v>
          </cell>
        </row>
        <row r="1479">
          <cell r="F1479" t="str">
            <v>Grendel</v>
          </cell>
          <cell r="G1479" t="str">
            <v>buah</v>
          </cell>
          <cell r="H1479">
            <v>15000</v>
          </cell>
        </row>
        <row r="1480">
          <cell r="F1480" t="str">
            <v>Grendel tanam</v>
          </cell>
          <cell r="G1480" t="str">
            <v>buah</v>
          </cell>
          <cell r="H1480">
            <v>150000</v>
          </cell>
        </row>
        <row r="1481">
          <cell r="F1481" t="str">
            <v>Handle pintu (kw  1)</v>
          </cell>
          <cell r="G1481" t="str">
            <v>buah</v>
          </cell>
          <cell r="H1481">
            <v>140800</v>
          </cell>
        </row>
        <row r="1482">
          <cell r="F1482" t="str">
            <v xml:space="preserve">Hendle Jendela </v>
          </cell>
          <cell r="G1482" t="str">
            <v xml:space="preserve">buah </v>
          </cell>
          <cell r="H1482">
            <v>58500</v>
          </cell>
        </row>
        <row r="1483">
          <cell r="F1483" t="str">
            <v>Kait angin</v>
          </cell>
          <cell r="G1483" t="str">
            <v>buah</v>
          </cell>
          <cell r="H1483">
            <v>12000</v>
          </cell>
        </row>
        <row r="1484">
          <cell r="F1484" t="str">
            <v>Kunci lemari</v>
          </cell>
          <cell r="G1484" t="str">
            <v>buah</v>
          </cell>
          <cell r="H1484">
            <v>14100</v>
          </cell>
        </row>
        <row r="1485">
          <cell r="F1485" t="str">
            <v>Kunci silinder</v>
          </cell>
          <cell r="G1485" t="str">
            <v>buah</v>
          </cell>
          <cell r="H1485">
            <v>70000</v>
          </cell>
        </row>
        <row r="1486">
          <cell r="F1486" t="str">
            <v>Kunci slot</v>
          </cell>
          <cell r="G1486" t="str">
            <v>buah</v>
          </cell>
          <cell r="H1486">
            <v>101300</v>
          </cell>
        </row>
        <row r="1487">
          <cell r="F1487" t="str">
            <v>Kunci tanam</v>
          </cell>
          <cell r="G1487" t="str">
            <v>buah</v>
          </cell>
          <cell r="H1487">
            <v>65800</v>
          </cell>
        </row>
        <row r="1488">
          <cell r="F1488" t="str">
            <v>Kunci tanam antik</v>
          </cell>
          <cell r="G1488" t="str">
            <v>buah</v>
          </cell>
          <cell r="H1488">
            <v>144300</v>
          </cell>
        </row>
        <row r="1489">
          <cell r="F1489" t="str">
            <v>Kunci tanam biasa</v>
          </cell>
          <cell r="G1489" t="str">
            <v>buah</v>
          </cell>
          <cell r="H1489">
            <v>65800</v>
          </cell>
        </row>
        <row r="1490">
          <cell r="F1490" t="str">
            <v>Kunci Tanam ex  lokal 2x  slag</v>
          </cell>
          <cell r="G1490" t="str">
            <v>buah</v>
          </cell>
          <cell r="H1490">
            <v>75000</v>
          </cell>
        </row>
        <row r="1491">
          <cell r="F1491" t="str">
            <v>Kunci tanam kamar mandi</v>
          </cell>
          <cell r="G1491" t="str">
            <v>buah</v>
          </cell>
          <cell r="H1491">
            <v>46900</v>
          </cell>
        </row>
        <row r="1492">
          <cell r="F1492" t="str">
            <v>Pull handle (kw  1)</v>
          </cell>
          <cell r="G1492" t="str">
            <v>buah</v>
          </cell>
          <cell r="H1492">
            <v>290800</v>
          </cell>
        </row>
        <row r="1493">
          <cell r="F1493" t="str">
            <v>Pull handle stainless  jumbo  (kw  1)</v>
          </cell>
          <cell r="G1493" t="str">
            <v>buah</v>
          </cell>
          <cell r="H1493">
            <v>435200</v>
          </cell>
        </row>
        <row r="1494">
          <cell r="F1494" t="str">
            <v>Rel pintu dorong</v>
          </cell>
          <cell r="G1494" t="str">
            <v>set</v>
          </cell>
          <cell r="H1494">
            <v>243100</v>
          </cell>
        </row>
        <row r="1495">
          <cell r="F1495" t="str">
            <v>Spring knip</v>
          </cell>
          <cell r="G1495" t="str">
            <v>buah</v>
          </cell>
          <cell r="H1495">
            <v>21600</v>
          </cell>
        </row>
        <row r="1496">
          <cell r="F1496" t="str">
            <v>Tarikan Pintu Stainless</v>
          </cell>
          <cell r="G1496" t="str">
            <v>buah</v>
          </cell>
          <cell r="H1496">
            <v>60000</v>
          </cell>
        </row>
        <row r="1497">
          <cell r="F1497" t="str">
            <v>Venetions blinds dan vertical blinds</v>
          </cell>
          <cell r="G1497" t="str">
            <v>m2</v>
          </cell>
          <cell r="H1497">
            <v>140000</v>
          </cell>
        </row>
        <row r="1499">
          <cell r="F1499" t="str">
            <v>Glass block 20x20 cm</v>
          </cell>
          <cell r="G1499" t="str">
            <v>buah</v>
          </cell>
          <cell r="H1499">
            <v>2500</v>
          </cell>
        </row>
        <row r="1500">
          <cell r="F1500" t="str">
            <v>Frame besi kaca nako</v>
          </cell>
          <cell r="G1500" t="str">
            <v>daun</v>
          </cell>
          <cell r="H1500">
            <v>400000</v>
          </cell>
        </row>
        <row r="1501">
          <cell r="F1501" t="str">
            <v>Jendela nako</v>
          </cell>
          <cell r="G1501" t="str">
            <v>buah</v>
          </cell>
          <cell r="H1501">
            <v>400000</v>
          </cell>
        </row>
        <row r="1502">
          <cell r="F1502" t="str">
            <v xml:space="preserve">Jendela Kaca Upvc 2 daun </v>
          </cell>
          <cell r="G1502" t="str">
            <v xml:space="preserve">buah </v>
          </cell>
          <cell r="H1502">
            <v>2000000</v>
          </cell>
        </row>
        <row r="1503">
          <cell r="F1503" t="str">
            <v xml:space="preserve">Jendela Ornamen GRC </v>
          </cell>
          <cell r="G1503" t="str">
            <v xml:space="preserve">buah </v>
          </cell>
          <cell r="H1503">
            <v>596000</v>
          </cell>
        </row>
        <row r="1504">
          <cell r="F1504" t="str">
            <v>Jendela Nako Rangka Aluminium (rangka+kaca 5 mm)</v>
          </cell>
          <cell r="G1504" t="str">
            <v>m2</v>
          </cell>
          <cell r="H1504">
            <v>242000</v>
          </cell>
        </row>
        <row r="1505">
          <cell r="F1505" t="str">
            <v>Kaca buram 12mm</v>
          </cell>
          <cell r="G1505" t="str">
            <v>m2</v>
          </cell>
          <cell r="H1505">
            <v>317000</v>
          </cell>
        </row>
        <row r="1506">
          <cell r="F1506" t="str">
            <v>Kaca cermin 5 mm</v>
          </cell>
          <cell r="G1506" t="str">
            <v>m2</v>
          </cell>
          <cell r="H1506">
            <v>221400</v>
          </cell>
        </row>
        <row r="1507">
          <cell r="F1507" t="str">
            <v>Kaca cermin 6mm</v>
          </cell>
          <cell r="G1507" t="str">
            <v>m2</v>
          </cell>
          <cell r="H1507">
            <v>270900</v>
          </cell>
        </row>
        <row r="1508">
          <cell r="F1508" t="str">
            <v>Kaca cermin 8 mm</v>
          </cell>
          <cell r="G1508" t="str">
            <v>m2</v>
          </cell>
          <cell r="H1508">
            <v>796100</v>
          </cell>
        </row>
        <row r="1509">
          <cell r="F1509" t="str">
            <v>Kaca es  kabur 3 mm</v>
          </cell>
          <cell r="G1509" t="str">
            <v>m2</v>
          </cell>
          <cell r="H1509">
            <v>85000</v>
          </cell>
        </row>
        <row r="1510">
          <cell r="F1510" t="str">
            <v>Kaca es  kabur 5 mm</v>
          </cell>
          <cell r="G1510" t="str">
            <v>m2</v>
          </cell>
          <cell r="H1510">
            <v>95000</v>
          </cell>
        </row>
        <row r="1511">
          <cell r="F1511" t="str">
            <v>Kaca gravire 5mm</v>
          </cell>
          <cell r="G1511" t="str">
            <v>m2</v>
          </cell>
          <cell r="H1511">
            <v>794400</v>
          </cell>
        </row>
        <row r="1512">
          <cell r="F1512" t="str">
            <v>Kaca gravire putih 5mm</v>
          </cell>
          <cell r="G1512" t="str">
            <v>m2</v>
          </cell>
          <cell r="H1512">
            <v>750000</v>
          </cell>
        </row>
        <row r="1513">
          <cell r="F1513" t="str">
            <v>Kaca laminated 12 mm</v>
          </cell>
          <cell r="G1513" t="str">
            <v>m2</v>
          </cell>
          <cell r="H1513">
            <v>900000</v>
          </cell>
        </row>
        <row r="1514">
          <cell r="F1514" t="str">
            <v>Kaca laminated 8 mm</v>
          </cell>
          <cell r="G1514" t="str">
            <v>m2</v>
          </cell>
          <cell r="H1514">
            <v>700000</v>
          </cell>
        </row>
        <row r="1515">
          <cell r="F1515" t="str">
            <v>Kaca lukis  alur 5mm</v>
          </cell>
          <cell r="G1515" t="str">
            <v>m2</v>
          </cell>
          <cell r="H1515">
            <v>688700</v>
          </cell>
        </row>
        <row r="1516">
          <cell r="F1516" t="str">
            <v>Kaca patri 5 mm</v>
          </cell>
          <cell r="G1516" t="str">
            <v>m2</v>
          </cell>
          <cell r="H1516">
            <v>1516300</v>
          </cell>
        </row>
        <row r="1517">
          <cell r="F1517" t="str">
            <v>Kaca polos</v>
          </cell>
          <cell r="G1517" t="str">
            <v>m2</v>
          </cell>
          <cell r="H1517">
            <v>120000</v>
          </cell>
        </row>
        <row r="1518">
          <cell r="F1518" t="str">
            <v>Kaca polos 3 mm</v>
          </cell>
          <cell r="G1518" t="str">
            <v>m2</v>
          </cell>
          <cell r="H1518">
            <v>120000</v>
          </cell>
        </row>
        <row r="1519">
          <cell r="F1519" t="str">
            <v>Kaca polos 5 mm</v>
          </cell>
          <cell r="G1519" t="str">
            <v>m2</v>
          </cell>
          <cell r="H1519">
            <v>198000</v>
          </cell>
        </row>
        <row r="1520">
          <cell r="F1520" t="str">
            <v>Kaca polos 6 mm</v>
          </cell>
          <cell r="G1520" t="str">
            <v>m2</v>
          </cell>
          <cell r="H1520">
            <v>237000</v>
          </cell>
        </row>
        <row r="1521">
          <cell r="F1521" t="str">
            <v>Kaca polos 8 mm</v>
          </cell>
          <cell r="G1521" t="str">
            <v>m2</v>
          </cell>
          <cell r="H1521">
            <v>226400</v>
          </cell>
        </row>
        <row r="1522">
          <cell r="F1522" t="str">
            <v>Kaca tanpa tripel 5mm</v>
          </cell>
          <cell r="G1522" t="str">
            <v>m2</v>
          </cell>
          <cell r="H1522">
            <v>3447000</v>
          </cell>
        </row>
        <row r="1523">
          <cell r="F1523" t="str">
            <v>Kaca tempered 12 mm</v>
          </cell>
          <cell r="G1523" t="str">
            <v>m2</v>
          </cell>
          <cell r="H1523">
            <v>600000</v>
          </cell>
        </row>
        <row r="1524">
          <cell r="F1524" t="str">
            <v>Kaca triple 5mm</v>
          </cell>
          <cell r="G1524" t="str">
            <v>m2</v>
          </cell>
          <cell r="H1524">
            <v>3179400</v>
          </cell>
        </row>
        <row r="1525">
          <cell r="F1525" t="str">
            <v>Kaca triple platinum 5mm</v>
          </cell>
          <cell r="G1525" t="str">
            <v>m2</v>
          </cell>
          <cell r="H1525">
            <v>3702800</v>
          </cell>
        </row>
        <row r="1526">
          <cell r="F1526" t="str">
            <v>Kaca wireglass 5 mm</v>
          </cell>
          <cell r="G1526" t="str">
            <v>m2</v>
          </cell>
          <cell r="H1526">
            <v>144800</v>
          </cell>
        </row>
        <row r="1527">
          <cell r="F1527" t="str">
            <v>Profil kaca</v>
          </cell>
          <cell r="G1527" t="str">
            <v>m¹</v>
          </cell>
          <cell r="H1527">
            <v>14500</v>
          </cell>
        </row>
        <row r="1528">
          <cell r="F1528" t="str">
            <v>Profil kaca tebal 6 mm</v>
          </cell>
          <cell r="G1528" t="str">
            <v>m2</v>
          </cell>
          <cell r="H1528">
            <v>15000</v>
          </cell>
        </row>
        <row r="1529">
          <cell r="F1529" t="str">
            <v>Ray Band 3mm</v>
          </cell>
          <cell r="G1529" t="str">
            <v>m2</v>
          </cell>
          <cell r="H1529">
            <v>85100</v>
          </cell>
        </row>
        <row r="1530">
          <cell r="F1530" t="str">
            <v>Ray Band 5mm</v>
          </cell>
          <cell r="G1530" t="str">
            <v>m2</v>
          </cell>
          <cell r="H1530">
            <v>112400</v>
          </cell>
        </row>
        <row r="1532">
          <cell r="F1532" t="str">
            <v>Bak  reservoir  fibreglass (kapasitas 1050  liter)</v>
          </cell>
          <cell r="G1532" t="str">
            <v>buah</v>
          </cell>
          <cell r="H1532">
            <v>1793400</v>
          </cell>
        </row>
        <row r="1533">
          <cell r="F1533" t="str">
            <v>Bak  reservoir  fibreglass (kapasitas 1200  liter)</v>
          </cell>
          <cell r="G1533" t="str">
            <v>buah</v>
          </cell>
          <cell r="H1533">
            <v>1448700</v>
          </cell>
        </row>
        <row r="1534">
          <cell r="F1534" t="str">
            <v>Bak  reservoir  fibreglass (kapasitas 1550  liter)</v>
          </cell>
          <cell r="G1534" t="str">
            <v>buah</v>
          </cell>
          <cell r="H1534">
            <v>2125600</v>
          </cell>
        </row>
        <row r="1535">
          <cell r="F1535" t="str">
            <v>Bak  reservoir  fibreglass (kapasitas 2000  liter)</v>
          </cell>
          <cell r="G1535" t="str">
            <v>buah</v>
          </cell>
          <cell r="H1535">
            <v>2778200</v>
          </cell>
        </row>
        <row r="1536">
          <cell r="F1536" t="str">
            <v>Bak  reservoir  fibreglass (kapasitas 650  liter)</v>
          </cell>
          <cell r="G1536" t="str">
            <v>buah</v>
          </cell>
          <cell r="H1536">
            <v>868300</v>
          </cell>
        </row>
        <row r="1537">
          <cell r="F1537" t="str">
            <v>Bak cuci stainlesteel</v>
          </cell>
          <cell r="G1537" t="str">
            <v>buah</v>
          </cell>
          <cell r="H1537">
            <v>230600</v>
          </cell>
        </row>
        <row r="1538">
          <cell r="F1538" t="str">
            <v>Bak cuci teraso</v>
          </cell>
          <cell r="G1538" t="str">
            <v>buah</v>
          </cell>
          <cell r="H1538">
            <v>600000</v>
          </cell>
        </row>
        <row r="1539">
          <cell r="F1539" t="str">
            <v>Bak fiberglass 1 m3</v>
          </cell>
          <cell r="G1539" t="str">
            <v>buah</v>
          </cell>
          <cell r="H1539">
            <v>400000</v>
          </cell>
        </row>
        <row r="1540">
          <cell r="F1540" t="str">
            <v>Bak fiberglass 70x70x66 cm</v>
          </cell>
          <cell r="G1540" t="str">
            <v>buah</v>
          </cell>
          <cell r="H1540">
            <v>328400</v>
          </cell>
        </row>
        <row r="1541">
          <cell r="F1541" t="str">
            <v>Bak teraso</v>
          </cell>
          <cell r="G1541" t="str">
            <v>buah</v>
          </cell>
          <cell r="H1541">
            <v>450000</v>
          </cell>
        </row>
        <row r="1542">
          <cell r="F1542" t="str">
            <v>Bathup</v>
          </cell>
          <cell r="G1542" t="str">
            <v>unit</v>
          </cell>
          <cell r="H1542">
            <v>2500000</v>
          </cell>
        </row>
        <row r="1543">
          <cell r="F1543" t="str">
            <v>Carbon filter kap. 0,1 m3/hari</v>
          </cell>
          <cell r="G1543" t="str">
            <v>unit</v>
          </cell>
          <cell r="H1543">
            <v>650000</v>
          </cell>
        </row>
        <row r="1544">
          <cell r="F1544" t="str">
            <v>Carbon filter kap. 0,6 m3/hari</v>
          </cell>
          <cell r="G1544" t="str">
            <v>unit</v>
          </cell>
          <cell r="H1544">
            <v>3000000</v>
          </cell>
        </row>
        <row r="1545">
          <cell r="F1545" t="str">
            <v>Clean out</v>
          </cell>
          <cell r="G1545" t="str">
            <v>buah</v>
          </cell>
          <cell r="H1545">
            <v>70000</v>
          </cell>
        </row>
        <row r="1546">
          <cell r="F1546" t="str">
            <v>Flexible hose</v>
          </cell>
          <cell r="G1546" t="str">
            <v>m'</v>
          </cell>
          <cell r="H1546">
            <v>55000</v>
          </cell>
        </row>
        <row r="1547">
          <cell r="F1547" t="str">
            <v>Flexible hose</v>
          </cell>
          <cell r="G1547" t="str">
            <v>buah</v>
          </cell>
          <cell r="H1547">
            <v>50000</v>
          </cell>
        </row>
        <row r="1548">
          <cell r="F1548" t="str">
            <v>Floor drain stainles steel</v>
          </cell>
          <cell r="G1548" t="str">
            <v>buah</v>
          </cell>
          <cell r="H1548">
            <v>44700</v>
          </cell>
        </row>
        <row r="1549">
          <cell r="F1549" t="str">
            <v>Grab bar</v>
          </cell>
          <cell r="G1549" t="str">
            <v>buah</v>
          </cell>
          <cell r="H1549">
            <v>120000</v>
          </cell>
        </row>
        <row r="1550">
          <cell r="F1550" t="str">
            <v>Grease trap central fiberglass, kap. 5 m3</v>
          </cell>
          <cell r="G1550" t="str">
            <v>unit</v>
          </cell>
          <cell r="H1550">
            <v>20000000</v>
          </cell>
        </row>
        <row r="1551">
          <cell r="F1551" t="str">
            <v>Grease trap portable fiberglass, kap. 30 Liter</v>
          </cell>
          <cell r="G1551" t="str">
            <v>unit</v>
          </cell>
          <cell r="H1551">
            <v>1000000</v>
          </cell>
        </row>
        <row r="1552">
          <cell r="F1552" t="str">
            <v>Grease trap portable stainless, kap. 30 Liter</v>
          </cell>
          <cell r="G1552" t="str">
            <v>unit</v>
          </cell>
          <cell r="H1552">
            <v>1500000</v>
          </cell>
        </row>
        <row r="1553">
          <cell r="F1553" t="str">
            <v>Jet washer</v>
          </cell>
          <cell r="G1553" t="str">
            <v>buah</v>
          </cell>
          <cell r="H1553">
            <v>100000</v>
          </cell>
        </row>
        <row r="1554">
          <cell r="F1554" t="str">
            <v>Kloset duduk/monoblok</v>
          </cell>
          <cell r="G1554" t="str">
            <v>buah</v>
          </cell>
          <cell r="H1554">
            <v>1490000</v>
          </cell>
        </row>
        <row r="1555">
          <cell r="F1555" t="str">
            <v>Kloset jongkok</v>
          </cell>
          <cell r="G1555" t="str">
            <v>buah</v>
          </cell>
          <cell r="H1555">
            <v>250000</v>
          </cell>
        </row>
        <row r="1556">
          <cell r="F1556" t="str">
            <v>Komunal 10</v>
          </cell>
          <cell r="G1556" t="str">
            <v>unit</v>
          </cell>
          <cell r="H1556">
            <v>30000000</v>
          </cell>
        </row>
        <row r="1557">
          <cell r="F1557" t="str">
            <v>Komunal 100</v>
          </cell>
          <cell r="G1557" t="str">
            <v>unit</v>
          </cell>
          <cell r="H1557">
            <v>310000000</v>
          </cell>
        </row>
        <row r="1558">
          <cell r="F1558" t="str">
            <v>Komunal 125</v>
          </cell>
          <cell r="G1558" t="str">
            <v>unit</v>
          </cell>
          <cell r="H1558">
            <v>390000000</v>
          </cell>
        </row>
        <row r="1559">
          <cell r="F1559" t="str">
            <v>Komunal 150</v>
          </cell>
          <cell r="G1559" t="str">
            <v>unit</v>
          </cell>
          <cell r="H1559">
            <v>465000000</v>
          </cell>
        </row>
        <row r="1560">
          <cell r="F1560" t="str">
            <v>Komunal 25</v>
          </cell>
          <cell r="G1560" t="str">
            <v>unit</v>
          </cell>
          <cell r="H1560">
            <v>70000000</v>
          </cell>
        </row>
        <row r="1561">
          <cell r="F1561" t="str">
            <v>Komunal 50</v>
          </cell>
          <cell r="G1561" t="str">
            <v>unit</v>
          </cell>
          <cell r="H1561">
            <v>135000000</v>
          </cell>
        </row>
        <row r="1562">
          <cell r="F1562" t="str">
            <v>Komunal 75</v>
          </cell>
          <cell r="G1562" t="str">
            <v>unit</v>
          </cell>
          <cell r="H1562">
            <v>245000000</v>
          </cell>
        </row>
        <row r="1563">
          <cell r="F1563" t="str">
            <v>Kran air</v>
          </cell>
          <cell r="G1563" t="str">
            <v>buah</v>
          </cell>
          <cell r="H1563">
            <v>41700</v>
          </cell>
        </row>
        <row r="1564">
          <cell r="F1564" t="str">
            <v>Partisi urinoir</v>
          </cell>
          <cell r="G1564" t="str">
            <v>buah</v>
          </cell>
          <cell r="H1564">
            <v>700000</v>
          </cell>
        </row>
        <row r="1565">
          <cell r="F1565" t="str">
            <v>Pintu kubikel</v>
          </cell>
          <cell r="G1565" t="str">
            <v>set</v>
          </cell>
          <cell r="H1565">
            <v>1000000</v>
          </cell>
        </row>
        <row r="1566">
          <cell r="F1566" t="str">
            <v>Pompa booster 150 lpm (vertical in line-packaged)</v>
          </cell>
          <cell r="G1566" t="str">
            <v>unit</v>
          </cell>
          <cell r="H1566">
            <v>1200000</v>
          </cell>
        </row>
        <row r="1567">
          <cell r="F1567" t="str">
            <v>Pompa booster 450 lpm (centrifugal end suction)</v>
          </cell>
          <cell r="G1567" t="str">
            <v>unit</v>
          </cell>
          <cell r="H1567">
            <v>2970000</v>
          </cell>
        </row>
        <row r="1568">
          <cell r="F1568" t="str">
            <v>Pompa jet 100 lpm</v>
          </cell>
          <cell r="G1568" t="str">
            <v>unit</v>
          </cell>
          <cell r="H1568">
            <v>2000000</v>
          </cell>
        </row>
        <row r="1569">
          <cell r="F1569" t="str">
            <v>Pompa jet 27 lpm</v>
          </cell>
          <cell r="G1569" t="str">
            <v>unit</v>
          </cell>
          <cell r="H1569">
            <v>900000</v>
          </cell>
        </row>
        <row r="1570">
          <cell r="F1570" t="str">
            <v>Pompa jet 34 lpm</v>
          </cell>
          <cell r="G1570" t="str">
            <v>unit</v>
          </cell>
          <cell r="H1570">
            <v>1200000</v>
          </cell>
        </row>
        <row r="1571">
          <cell r="F1571" t="str">
            <v>Pompa lift 250 lpm</v>
          </cell>
          <cell r="G1571" t="str">
            <v>unit</v>
          </cell>
          <cell r="H1571">
            <v>3500000</v>
          </cell>
        </row>
        <row r="1572">
          <cell r="F1572" t="str">
            <v>Pompa lift 80 lpm</v>
          </cell>
          <cell r="G1572" t="str">
            <v>unit</v>
          </cell>
          <cell r="H1572">
            <v>1000000</v>
          </cell>
        </row>
        <row r="1573">
          <cell r="F1573" t="str">
            <v>Pompa transfer 150 lpm (centrifugal end suction)</v>
          </cell>
          <cell r="G1573" t="str">
            <v>unit</v>
          </cell>
          <cell r="H1573">
            <v>1000000</v>
          </cell>
        </row>
        <row r="1574">
          <cell r="F1574" t="str">
            <v>Pressure tank 1.000 liter</v>
          </cell>
          <cell r="G1574" t="str">
            <v>unit</v>
          </cell>
          <cell r="H1574">
            <v>17000000</v>
          </cell>
        </row>
        <row r="1575">
          <cell r="F1575" t="str">
            <v>Priming tank fiber 1.000 liter</v>
          </cell>
          <cell r="G1575" t="str">
            <v>unit</v>
          </cell>
          <cell r="H1575">
            <v>2850000</v>
          </cell>
        </row>
        <row r="1576">
          <cell r="F1576" t="str">
            <v>Priming tank fiber 2.000 liter</v>
          </cell>
          <cell r="G1576" t="str">
            <v>unit</v>
          </cell>
          <cell r="H1576">
            <v>4000000</v>
          </cell>
        </row>
        <row r="1577">
          <cell r="F1577" t="str">
            <v>Priming tank fiber 500 liter</v>
          </cell>
          <cell r="G1577" t="str">
            <v>unit</v>
          </cell>
          <cell r="H1577">
            <v>1300000</v>
          </cell>
        </row>
        <row r="1578">
          <cell r="F1578" t="str">
            <v>Priming tank fiber 800 liter</v>
          </cell>
          <cell r="G1578" t="str">
            <v>unit</v>
          </cell>
          <cell r="H1578">
            <v>2080000</v>
          </cell>
        </row>
        <row r="1579">
          <cell r="F1579" t="str">
            <v>Robe hook</v>
          </cell>
          <cell r="G1579" t="str">
            <v>buah</v>
          </cell>
          <cell r="H1579">
            <v>70000</v>
          </cell>
        </row>
        <row r="1580">
          <cell r="F1580" t="str">
            <v>Roof tank fiberglass kap. 12 m3</v>
          </cell>
          <cell r="G1580" t="str">
            <v>unit</v>
          </cell>
          <cell r="H1580">
            <v>36000000</v>
          </cell>
        </row>
        <row r="1581">
          <cell r="F1581" t="str">
            <v>Roof tank fiberglass kap. 2 m3</v>
          </cell>
          <cell r="G1581" t="str">
            <v>unit</v>
          </cell>
          <cell r="H1581">
            <v>6000000</v>
          </cell>
        </row>
        <row r="1582">
          <cell r="F1582" t="str">
            <v>Roof tank fiberglass kap. 4 m3</v>
          </cell>
          <cell r="G1582" t="str">
            <v>unit</v>
          </cell>
          <cell r="H1582">
            <v>12000000</v>
          </cell>
        </row>
        <row r="1583">
          <cell r="F1583" t="str">
            <v>Roof tank stainless kap. 12 m3</v>
          </cell>
          <cell r="G1583" t="str">
            <v>unit</v>
          </cell>
          <cell r="H1583">
            <v>48000000</v>
          </cell>
        </row>
        <row r="1584">
          <cell r="F1584" t="str">
            <v>Roof tank stainless kap. 2 m3</v>
          </cell>
          <cell r="G1584" t="str">
            <v>unit</v>
          </cell>
          <cell r="H1584">
            <v>6400000</v>
          </cell>
        </row>
        <row r="1585">
          <cell r="F1585" t="str">
            <v>Roof tank stainless kap. 4 m3</v>
          </cell>
          <cell r="G1585" t="str">
            <v>unit</v>
          </cell>
          <cell r="H1585">
            <v>15000000</v>
          </cell>
        </row>
        <row r="1586">
          <cell r="F1586" t="str">
            <v>Sand filter kap. 0,1 m3/hari</v>
          </cell>
          <cell r="G1586" t="str">
            <v>unit</v>
          </cell>
          <cell r="H1586">
            <v>2500000</v>
          </cell>
        </row>
        <row r="1587">
          <cell r="F1587" t="str">
            <v>Sand filter kap. 14 m3/hari</v>
          </cell>
          <cell r="G1587" t="str">
            <v>unit</v>
          </cell>
          <cell r="H1587">
            <v>4800000</v>
          </cell>
        </row>
        <row r="1588">
          <cell r="F1588" t="str">
            <v>Sekat kubikel</v>
          </cell>
          <cell r="G1588" t="str">
            <v>m2</v>
          </cell>
          <cell r="H1588">
            <v>1200000</v>
          </cell>
        </row>
        <row r="1589">
          <cell r="F1589" t="str">
            <v>Septic  0,6</v>
          </cell>
          <cell r="G1589" t="str">
            <v>unit</v>
          </cell>
          <cell r="H1589">
            <v>3200000</v>
          </cell>
        </row>
        <row r="1590">
          <cell r="F1590" t="str">
            <v>Septic  0,8</v>
          </cell>
          <cell r="G1590" t="str">
            <v>unit</v>
          </cell>
          <cell r="H1590">
            <v>3500000</v>
          </cell>
        </row>
        <row r="1591">
          <cell r="F1591" t="str">
            <v>Septic  1</v>
          </cell>
          <cell r="G1591" t="str">
            <v>unit</v>
          </cell>
          <cell r="H1591">
            <v>3600000</v>
          </cell>
        </row>
        <row r="1592">
          <cell r="F1592" t="str">
            <v>Septic  2</v>
          </cell>
          <cell r="G1592" t="str">
            <v>unit</v>
          </cell>
          <cell r="H1592">
            <v>4600000</v>
          </cell>
        </row>
        <row r="1593">
          <cell r="F1593" t="str">
            <v>Septic  5</v>
          </cell>
          <cell r="G1593" t="str">
            <v>unit</v>
          </cell>
          <cell r="H1593">
            <v>16000000</v>
          </cell>
        </row>
        <row r="1594">
          <cell r="F1594" t="str">
            <v>Sewage Treatment Plant (STP) fiberglass kap. 10 m3</v>
          </cell>
          <cell r="G1594" t="str">
            <v>unit</v>
          </cell>
          <cell r="H1594">
            <v>53200000</v>
          </cell>
        </row>
        <row r="1595">
          <cell r="F1595" t="str">
            <v>Sewage Treatment Plant (STP) fiberglass kap. 2 m3</v>
          </cell>
          <cell r="G1595" t="str">
            <v>unit</v>
          </cell>
          <cell r="H1595">
            <v>19500000</v>
          </cell>
        </row>
        <row r="1596">
          <cell r="F1596" t="str">
            <v>Sewage Treatment Plant (STP) fiberglass kap. 30 m3</v>
          </cell>
          <cell r="G1596" t="str">
            <v>unit</v>
          </cell>
          <cell r="H1596">
            <v>100000000</v>
          </cell>
        </row>
        <row r="1597">
          <cell r="F1597" t="str">
            <v>Sewage Treatment Plant (STP) fiberglass kap. 5 m3</v>
          </cell>
          <cell r="G1597" t="str">
            <v>unit</v>
          </cell>
          <cell r="H1597">
            <v>33000000</v>
          </cell>
        </row>
        <row r="1598">
          <cell r="F1598" t="str">
            <v>Sewage Treatment Plant (STP) precast kap. 30 m3</v>
          </cell>
          <cell r="G1598" t="str">
            <v>unit</v>
          </cell>
          <cell r="H1598">
            <v>84000000</v>
          </cell>
        </row>
        <row r="1599">
          <cell r="F1599" t="str">
            <v>Silika filter kap. 0,1 m3/hari</v>
          </cell>
          <cell r="G1599" t="str">
            <v>unit</v>
          </cell>
          <cell r="H1599">
            <v>500000</v>
          </cell>
        </row>
        <row r="1600">
          <cell r="F1600" t="str">
            <v>Soap holder</v>
          </cell>
          <cell r="G1600" t="str">
            <v>buah</v>
          </cell>
          <cell r="H1600">
            <v>150000</v>
          </cell>
        </row>
        <row r="1601">
          <cell r="F1601" t="str">
            <v>Stop kran PVC 1/2"</v>
          </cell>
          <cell r="G1601" t="str">
            <v>buah</v>
          </cell>
          <cell r="H1601">
            <v>4000</v>
          </cell>
        </row>
        <row r="1602">
          <cell r="F1602" t="str">
            <v>Stop kran PVC 3/4"</v>
          </cell>
          <cell r="G1602" t="str">
            <v>buah</v>
          </cell>
          <cell r="H1602">
            <v>6000</v>
          </cell>
        </row>
        <row r="1603">
          <cell r="F1603" t="str">
            <v>Submersible cutter pump kap. 100 lpm</v>
          </cell>
          <cell r="G1603" t="str">
            <v>unit</v>
          </cell>
          <cell r="H1603">
            <v>8500000</v>
          </cell>
        </row>
        <row r="1604">
          <cell r="F1604" t="str">
            <v>Tangki toren kap. 0,7 m3</v>
          </cell>
          <cell r="G1604" t="str">
            <v>unit</v>
          </cell>
          <cell r="H1604">
            <v>1100000</v>
          </cell>
        </row>
        <row r="1605">
          <cell r="F1605" t="str">
            <v>Tangki toren kap. 1,5 m3</v>
          </cell>
          <cell r="G1605" t="str">
            <v>unit</v>
          </cell>
          <cell r="H1605">
            <v>1700000</v>
          </cell>
        </row>
        <row r="1606">
          <cell r="F1606" t="str">
            <v>Tangki toren kap. 2,5 m3</v>
          </cell>
          <cell r="G1606" t="str">
            <v>unit</v>
          </cell>
          <cell r="H1606">
            <v>3400000</v>
          </cell>
        </row>
        <row r="1607">
          <cell r="F1607" t="str">
            <v>Tangki toren kap. 3 m3</v>
          </cell>
          <cell r="G1607" t="str">
            <v>unit</v>
          </cell>
          <cell r="H1607">
            <v>4600000</v>
          </cell>
        </row>
        <row r="1608">
          <cell r="F1608" t="str">
            <v>Tangki toren kap. 4 m3</v>
          </cell>
          <cell r="G1608" t="str">
            <v>unit</v>
          </cell>
          <cell r="H1608">
            <v>5500000</v>
          </cell>
        </row>
        <row r="1609">
          <cell r="F1609" t="str">
            <v>Tangki toren kap. 5 m3</v>
          </cell>
          <cell r="G1609" t="str">
            <v>unit</v>
          </cell>
          <cell r="H1609">
            <v>6900000</v>
          </cell>
        </row>
        <row r="1610">
          <cell r="F1610" t="str">
            <v>Tangki toren kap. 5,5 m3</v>
          </cell>
          <cell r="G1610" t="str">
            <v>unit</v>
          </cell>
          <cell r="H1610">
            <v>7100000</v>
          </cell>
        </row>
        <row r="1611">
          <cell r="F1611" t="str">
            <v>Tangki toren kap. 6 m3</v>
          </cell>
          <cell r="G1611" t="str">
            <v>unit</v>
          </cell>
          <cell r="H1611">
            <v>7850000</v>
          </cell>
        </row>
        <row r="1612">
          <cell r="F1612" t="str">
            <v>Tangki Panel FRP kap. 12 m3</v>
          </cell>
          <cell r="G1612" t="str">
            <v xml:space="preserve">unit </v>
          </cell>
          <cell r="H1612">
            <v>15000000</v>
          </cell>
        </row>
        <row r="1613">
          <cell r="F1613" t="str">
            <v>Tangki panel Stainless Steel kapasitas 12 m3 + Material Bantu / Aksesoris</v>
          </cell>
          <cell r="G1613" t="str">
            <v xml:space="preserve">Unit </v>
          </cell>
          <cell r="H1613">
            <v>12500000</v>
          </cell>
        </row>
        <row r="1614">
          <cell r="F1614" t="str">
            <v>Tangki panel GRP
kapasitas 12 m3 +
Material Bantu /
Aksesoris</v>
          </cell>
          <cell r="G1614" t="str">
            <v xml:space="preserve">Unit </v>
          </cell>
          <cell r="H1614">
            <v>12000000</v>
          </cell>
        </row>
        <row r="1615">
          <cell r="F1615" t="str">
            <v>Tangki Toren Kapasitas 0,5 m3</v>
          </cell>
          <cell r="G1615" t="str">
            <v xml:space="preserve">Unit </v>
          </cell>
          <cell r="H1615">
            <v>650000</v>
          </cell>
        </row>
        <row r="1616">
          <cell r="F1616" t="str">
            <v xml:space="preserve">Pompa Jet 30 lpm </v>
          </cell>
          <cell r="G1616" t="str">
            <v>unit</v>
          </cell>
          <cell r="H1616">
            <v>730000</v>
          </cell>
        </row>
        <row r="1617">
          <cell r="F1617" t="str">
            <v>Galian tanah biasa</v>
          </cell>
          <cell r="G1617" t="str">
            <v>m3</v>
          </cell>
          <cell r="H1617">
            <v>45000</v>
          </cell>
        </row>
        <row r="1618">
          <cell r="F1618" t="str">
            <v xml:space="preserve">Urukan Tanah </v>
          </cell>
          <cell r="G1618" t="str">
            <v>m2</v>
          </cell>
          <cell r="H1618">
            <v>65000</v>
          </cell>
        </row>
        <row r="1619">
          <cell r="F1619" t="str">
            <v xml:space="preserve">Timbunan Pasir </v>
          </cell>
          <cell r="G1619" t="str">
            <v>m3</v>
          </cell>
          <cell r="H1619">
            <v>150000</v>
          </cell>
        </row>
        <row r="1620">
          <cell r="F1620" t="str">
            <v xml:space="preserve">Buis Beton 1/2 dia. 30 cm </v>
          </cell>
          <cell r="G1620" t="str">
            <v xml:space="preserve">buah </v>
          </cell>
          <cell r="H1620">
            <v>93000</v>
          </cell>
        </row>
        <row r="1621">
          <cell r="F1621" t="str">
            <v xml:space="preserve">Buis Beton 1/2 dia. 40 cm </v>
          </cell>
          <cell r="G1621" t="str">
            <v xml:space="preserve">buah </v>
          </cell>
          <cell r="H1621">
            <v>110250</v>
          </cell>
        </row>
        <row r="1622">
          <cell r="F1622" t="str">
            <v xml:space="preserve">Buis Beton 1/2 dia. 50 cm </v>
          </cell>
          <cell r="G1622" t="str">
            <v xml:space="preserve">buah </v>
          </cell>
          <cell r="H1622">
            <v>115000</v>
          </cell>
        </row>
        <row r="1623">
          <cell r="F1623" t="str">
            <v xml:space="preserve">Buis Beton 1/2 dia. 60 cm </v>
          </cell>
          <cell r="G1623" t="str">
            <v xml:space="preserve">buah </v>
          </cell>
          <cell r="H1623">
            <v>125500</v>
          </cell>
        </row>
        <row r="1624">
          <cell r="F1624" t="str">
            <v xml:space="preserve">Buis beton 1/2 dia. 80 cm </v>
          </cell>
          <cell r="G1624" t="str">
            <v xml:space="preserve">buah </v>
          </cell>
          <cell r="H1624">
            <v>150600</v>
          </cell>
        </row>
        <row r="1625">
          <cell r="F1625" t="str">
            <v xml:space="preserve">Buis Beton 1/2 dia. 100 cm </v>
          </cell>
          <cell r="G1625" t="str">
            <v xml:space="preserve">buah </v>
          </cell>
          <cell r="H1625">
            <v>190000</v>
          </cell>
        </row>
        <row r="1626">
          <cell r="F1626" t="str">
            <v xml:space="preserve">Buis Beton dia. 30 cm </v>
          </cell>
          <cell r="G1626" t="str">
            <v xml:space="preserve">buah </v>
          </cell>
          <cell r="H1626">
            <v>75000</v>
          </cell>
        </row>
        <row r="1627">
          <cell r="F1627" t="str">
            <v xml:space="preserve">Buis Beton dia. 40 cm </v>
          </cell>
          <cell r="G1627" t="str">
            <v xml:space="preserve">buah </v>
          </cell>
          <cell r="H1627">
            <v>120000</v>
          </cell>
        </row>
        <row r="1628">
          <cell r="F1628" t="str">
            <v xml:space="preserve">Buis Beton dia. 50 cm </v>
          </cell>
          <cell r="G1628" t="str">
            <v xml:space="preserve">buah </v>
          </cell>
          <cell r="H1628">
            <v>150000</v>
          </cell>
        </row>
        <row r="1629">
          <cell r="F1629" t="str">
            <v xml:space="preserve">Buis Beton dia. 60 cm </v>
          </cell>
          <cell r="G1629" t="str">
            <v xml:space="preserve">buah </v>
          </cell>
          <cell r="H1629">
            <v>250000</v>
          </cell>
        </row>
        <row r="1630">
          <cell r="F1630" t="str">
            <v xml:space="preserve">Buis beton dia. 80 cm </v>
          </cell>
          <cell r="G1630" t="str">
            <v xml:space="preserve">buah </v>
          </cell>
          <cell r="H1630">
            <v>255400</v>
          </cell>
        </row>
        <row r="1631">
          <cell r="F1631" t="str">
            <v xml:space="preserve">Buis Beton dia. 100 cm </v>
          </cell>
          <cell r="G1631" t="str">
            <v xml:space="preserve">buah </v>
          </cell>
          <cell r="H1631">
            <v>269500</v>
          </cell>
        </row>
        <row r="1632">
          <cell r="F1632" t="str">
            <v xml:space="preserve">Ijuk </v>
          </cell>
          <cell r="G1632" t="str">
            <v xml:space="preserve">kg </v>
          </cell>
          <cell r="H1632">
            <v>7000</v>
          </cell>
        </row>
        <row r="1633">
          <cell r="F1633" t="str">
            <v xml:space="preserve">Beton </v>
          </cell>
          <cell r="G1633" t="str">
            <v>m3</v>
          </cell>
          <cell r="H1633">
            <v>825000</v>
          </cell>
        </row>
        <row r="1634">
          <cell r="F1634" t="str">
            <v xml:space="preserve">tulangan </v>
          </cell>
          <cell r="G1634" t="str">
            <v>kg</v>
          </cell>
          <cell r="H1634">
            <v>10300</v>
          </cell>
        </row>
        <row r="1635">
          <cell r="F1635" t="str">
            <v xml:space="preserve">Bekisting </v>
          </cell>
          <cell r="G1635" t="str">
            <v>m2</v>
          </cell>
          <cell r="H1635">
            <v>37500</v>
          </cell>
        </row>
        <row r="1636">
          <cell r="F1636" t="str">
            <v>Kanstin uk. 10x20x40</v>
          </cell>
          <cell r="G1636" t="str">
            <v xml:space="preserve">Buah </v>
          </cell>
          <cell r="H1636">
            <v>27383</v>
          </cell>
        </row>
        <row r="1637">
          <cell r="F1637" t="str">
            <v>Kanstin uk. 15x40x60</v>
          </cell>
          <cell r="G1637" t="str">
            <v xml:space="preserve">buah </v>
          </cell>
          <cell r="H1637">
            <v>93000</v>
          </cell>
        </row>
        <row r="1638">
          <cell r="F1638" t="str">
            <v>Box Culvert 40x40x100 cm</v>
          </cell>
          <cell r="G1638" t="str">
            <v xml:space="preserve">buah </v>
          </cell>
          <cell r="H1638">
            <v>855000</v>
          </cell>
        </row>
        <row r="1639">
          <cell r="F1639" t="str">
            <v>Box Culvert 50x50x100 cm</v>
          </cell>
          <cell r="G1639" t="str">
            <v xml:space="preserve">buah </v>
          </cell>
          <cell r="H1639">
            <v>1119000</v>
          </cell>
        </row>
        <row r="1640">
          <cell r="F1640" t="str">
            <v>Box Culvert 60x60x100 cm</v>
          </cell>
          <cell r="G1640" t="str">
            <v xml:space="preserve">buah </v>
          </cell>
          <cell r="H1640">
            <v>1504000</v>
          </cell>
        </row>
        <row r="1641">
          <cell r="F1641" t="str">
            <v>Box Culvert 80x80x100 cm</v>
          </cell>
          <cell r="G1641" t="str">
            <v xml:space="preserve">buah </v>
          </cell>
          <cell r="H1641">
            <v>2560000</v>
          </cell>
        </row>
        <row r="1642">
          <cell r="F1642" t="str">
            <v>Box Culvert 100x100x100 cm</v>
          </cell>
          <cell r="G1642" t="str">
            <v xml:space="preserve">buah </v>
          </cell>
          <cell r="H1642">
            <v>3052000</v>
          </cell>
        </row>
        <row r="1643">
          <cell r="F1643" t="str">
            <v>Box Culvert 150x150x100 cm</v>
          </cell>
          <cell r="G1643" t="str">
            <v xml:space="preserve">buah </v>
          </cell>
          <cell r="H1643">
            <v>3570000</v>
          </cell>
        </row>
        <row r="1644">
          <cell r="F1644" t="str">
            <v>Box Culvert 200x200x100 cm</v>
          </cell>
          <cell r="G1644" t="str">
            <v xml:space="preserve">buah </v>
          </cell>
          <cell r="H1644">
            <v>3930000</v>
          </cell>
        </row>
        <row r="1645">
          <cell r="F1645" t="str">
            <v>Box Culvert 300x300x100 cm</v>
          </cell>
          <cell r="G1645" t="str">
            <v xml:space="preserve">buah </v>
          </cell>
          <cell r="H1645">
            <v>4110000</v>
          </cell>
        </row>
        <row r="1646">
          <cell r="F1646" t="str">
            <v>Tempat  sabun gantung</v>
          </cell>
          <cell r="G1646" t="str">
            <v>buah</v>
          </cell>
          <cell r="H1646">
            <v>70100</v>
          </cell>
        </row>
        <row r="1647">
          <cell r="F1647" t="str">
            <v>Tempat  sabun tanam</v>
          </cell>
          <cell r="G1647" t="str">
            <v>buah</v>
          </cell>
          <cell r="H1647">
            <v>53300</v>
          </cell>
        </row>
        <row r="1648">
          <cell r="F1648" t="str">
            <v>Tissue holder</v>
          </cell>
          <cell r="G1648" t="str">
            <v>buah</v>
          </cell>
          <cell r="H1648">
            <v>150000</v>
          </cell>
        </row>
        <row r="1649">
          <cell r="F1649" t="str">
            <v>Towel bar</v>
          </cell>
          <cell r="G1649" t="str">
            <v>buah</v>
          </cell>
          <cell r="H1649">
            <v>150000</v>
          </cell>
        </row>
        <row r="1650">
          <cell r="F1650" t="str">
            <v>Urinoir</v>
          </cell>
          <cell r="G1650" t="str">
            <v>buah</v>
          </cell>
          <cell r="H1650">
            <v>456800</v>
          </cell>
        </row>
        <row r="1651">
          <cell r="F1651" t="str">
            <v>Wastafel</v>
          </cell>
          <cell r="G1651" t="str">
            <v>buah</v>
          </cell>
          <cell r="H1651">
            <v>325100</v>
          </cell>
        </row>
        <row r="1652">
          <cell r="F1652" t="str">
            <v>Water drain</v>
          </cell>
          <cell r="G1652" t="str">
            <v>set</v>
          </cell>
          <cell r="H1652">
            <v>321900</v>
          </cell>
        </row>
        <row r="1654">
          <cell r="F1654" t="str">
            <v>Bensin</v>
          </cell>
          <cell r="G1654" t="str">
            <v>liter</v>
          </cell>
          <cell r="H1654">
            <v>7800</v>
          </cell>
        </row>
        <row r="1655">
          <cell r="F1655" t="str">
            <v>Bensin (industri)</v>
          </cell>
          <cell r="G1655" t="str">
            <v>liter</v>
          </cell>
          <cell r="H1655">
            <v>8100</v>
          </cell>
        </row>
        <row r="1656">
          <cell r="F1656" t="str">
            <v>Bentonite</v>
          </cell>
          <cell r="G1656" t="str">
            <v>m3</v>
          </cell>
          <cell r="H1656">
            <v>20000000</v>
          </cell>
        </row>
        <row r="1657">
          <cell r="F1657" t="str">
            <v>Cairan perontok karat</v>
          </cell>
          <cell r="G1657" t="str">
            <v>kg</v>
          </cell>
          <cell r="H1657">
            <v>20000</v>
          </cell>
        </row>
        <row r="1658">
          <cell r="F1658" t="str">
            <v>Cuka bibit</v>
          </cell>
          <cell r="G1658" t="str">
            <v>liter</v>
          </cell>
          <cell r="H1658">
            <v>50000</v>
          </cell>
        </row>
        <row r="1659">
          <cell r="F1659" t="str">
            <v>Minyak bekisting</v>
          </cell>
          <cell r="G1659" t="str">
            <v>liter</v>
          </cell>
          <cell r="H1659">
            <v>16800</v>
          </cell>
        </row>
        <row r="1660">
          <cell r="F1660" t="str">
            <v>Minyak cat</v>
          </cell>
          <cell r="G1660" t="str">
            <v>kg</v>
          </cell>
          <cell r="H1660">
            <v>24000</v>
          </cell>
        </row>
        <row r="1661">
          <cell r="F1661" t="str">
            <v>Minyak pelumas</v>
          </cell>
          <cell r="G1661" t="str">
            <v>liter</v>
          </cell>
          <cell r="H1661">
            <v>28000</v>
          </cell>
        </row>
        <row r="1662">
          <cell r="F1662" t="str">
            <v>Minyak tanah</v>
          </cell>
          <cell r="G1662" t="str">
            <v>liter</v>
          </cell>
          <cell r="H1662">
            <v>15300</v>
          </cell>
        </row>
        <row r="1663">
          <cell r="F1663" t="str">
            <v>Oli hidrolis</v>
          </cell>
          <cell r="G1663" t="str">
            <v>liter</v>
          </cell>
          <cell r="H1663">
            <v>31300</v>
          </cell>
        </row>
        <row r="1664">
          <cell r="F1664" t="str">
            <v>Oli mesin</v>
          </cell>
          <cell r="G1664" t="str">
            <v>liter</v>
          </cell>
          <cell r="H1664">
            <v>30300</v>
          </cell>
        </row>
        <row r="1665">
          <cell r="F1665" t="str">
            <v>Premium (industri)</v>
          </cell>
          <cell r="G1665" t="str">
            <v>liter</v>
          </cell>
          <cell r="H1665">
            <v>9400</v>
          </cell>
        </row>
        <row r="1666">
          <cell r="F1666" t="str">
            <v>Residu</v>
          </cell>
          <cell r="G1666" t="str">
            <v>liter</v>
          </cell>
          <cell r="H1666">
            <v>21000</v>
          </cell>
        </row>
        <row r="1667">
          <cell r="F1667" t="str">
            <v>Solar</v>
          </cell>
          <cell r="G1667" t="str">
            <v>liter</v>
          </cell>
          <cell r="H1667">
            <v>6500</v>
          </cell>
        </row>
        <row r="1668">
          <cell r="F1668" t="str">
            <v>Solar (industri)</v>
          </cell>
          <cell r="G1668" t="str">
            <v>liter</v>
          </cell>
          <cell r="H1668">
            <v>8800</v>
          </cell>
        </row>
        <row r="1669">
          <cell r="F1669" t="str">
            <v>Steamvet</v>
          </cell>
          <cell r="G1669" t="str">
            <v>liter</v>
          </cell>
          <cell r="H1669">
            <v>51000</v>
          </cell>
        </row>
        <row r="1670">
          <cell r="F1670" t="str">
            <v>Teak oil</v>
          </cell>
          <cell r="G1670" t="str">
            <v>liter</v>
          </cell>
          <cell r="H1670">
            <v>29200</v>
          </cell>
        </row>
        <row r="1671">
          <cell r="F1671" t="str">
            <v>Thinner</v>
          </cell>
          <cell r="G1671" t="str">
            <v>liter</v>
          </cell>
          <cell r="H1671">
            <v>21800</v>
          </cell>
        </row>
        <row r="1672">
          <cell r="F1672" t="str">
            <v>Thinner A</v>
          </cell>
          <cell r="G1672" t="str">
            <v>liter</v>
          </cell>
          <cell r="H1672">
            <v>18800</v>
          </cell>
        </row>
        <row r="1674">
          <cell r="F1674" t="str">
            <v>Aluminium composite panel</v>
          </cell>
          <cell r="G1674" t="str">
            <v>m2</v>
          </cell>
          <cell r="H1674">
            <v>225800</v>
          </cell>
        </row>
        <row r="1675">
          <cell r="F1675" t="str">
            <v>Aluminium spandrel 10x600 cm</v>
          </cell>
          <cell r="G1675" t="str">
            <v>lembar</v>
          </cell>
          <cell r="H1675">
            <v>200000</v>
          </cell>
        </row>
        <row r="1676">
          <cell r="F1676" t="str">
            <v>Aluminium strip</v>
          </cell>
          <cell r="G1676" t="str">
            <v>m'</v>
          </cell>
          <cell r="H1676">
            <v>50000</v>
          </cell>
        </row>
        <row r="1677">
          <cell r="F1677" t="str">
            <v>Besi as  drat</v>
          </cell>
          <cell r="G1677" t="str">
            <v>kg</v>
          </cell>
          <cell r="H1677">
            <v>40200</v>
          </cell>
        </row>
        <row r="1678">
          <cell r="F1678" t="str">
            <v>Besi profil</v>
          </cell>
          <cell r="G1678" t="str">
            <v>kg</v>
          </cell>
          <cell r="H1678">
            <v>34500</v>
          </cell>
        </row>
        <row r="1679">
          <cell r="F1679" t="str">
            <v>Blok besi cor type skep</v>
          </cell>
          <cell r="G1679" t="str">
            <v>bh</v>
          </cell>
          <cell r="H1679">
            <v>1055700</v>
          </cell>
        </row>
        <row r="1680">
          <cell r="F1680" t="str">
            <v>Blok besi type ronsel</v>
          </cell>
          <cell r="G1680" t="str">
            <v>bh</v>
          </cell>
          <cell r="H1680">
            <v>1508800</v>
          </cell>
        </row>
        <row r="1681">
          <cell r="F1681" t="str">
            <v>Buis  brons</v>
          </cell>
          <cell r="G1681" t="str">
            <v>bh</v>
          </cell>
          <cell r="H1681">
            <v>422000</v>
          </cell>
        </row>
        <row r="1682">
          <cell r="F1682" t="str">
            <v>C  channel galvanis  lebar 40 mm</v>
          </cell>
          <cell r="G1682" t="str">
            <v>m'</v>
          </cell>
          <cell r="H1682">
            <v>10700</v>
          </cell>
        </row>
        <row r="1683">
          <cell r="F1683" t="str">
            <v>C  channel galvanis  lebar 75 mm</v>
          </cell>
          <cell r="G1683" t="str">
            <v>m'</v>
          </cell>
          <cell r="H1683">
            <v>13600</v>
          </cell>
        </row>
        <row r="1684">
          <cell r="F1684" t="str">
            <v>Cat  meni</v>
          </cell>
          <cell r="G1684" t="str">
            <v>kg</v>
          </cell>
          <cell r="H1684">
            <v>50600</v>
          </cell>
        </row>
        <row r="1685">
          <cell r="F1685" t="str">
            <v>Daun Pintu HDF 36x720x2100</v>
          </cell>
          <cell r="G1685" t="str">
            <v>unit</v>
          </cell>
          <cell r="H1685">
            <v>475000</v>
          </cell>
        </row>
        <row r="1686">
          <cell r="F1686" t="str">
            <v xml:space="preserve">Pintu uPVC lebar 80 cm </v>
          </cell>
          <cell r="G1686" t="str">
            <v xml:space="preserve">buah </v>
          </cell>
          <cell r="H1686">
            <v>1043100</v>
          </cell>
        </row>
        <row r="1687">
          <cell r="F1687" t="str">
            <v xml:space="preserve">Pintu uPVC lebar 70 cm </v>
          </cell>
          <cell r="G1687" t="str">
            <v xml:space="preserve">buah </v>
          </cell>
          <cell r="H1687">
            <v>730000</v>
          </cell>
        </row>
        <row r="1688">
          <cell r="F1688" t="str">
            <v>Frame aluminium</v>
          </cell>
          <cell r="G1688" t="str">
            <v>m'</v>
          </cell>
          <cell r="H1688">
            <v>38333</v>
          </cell>
        </row>
        <row r="1689">
          <cell r="F1689" t="str">
            <v>Rangka Aluminium</v>
          </cell>
          <cell r="G1689" t="str">
            <v>m'</v>
          </cell>
          <cell r="H1689">
            <v>39000</v>
          </cell>
        </row>
        <row r="1690">
          <cell r="F1690" t="str">
            <v>Gembok</v>
          </cell>
          <cell r="G1690" t="str">
            <v>bh</v>
          </cell>
          <cell r="H1690">
            <v>102300</v>
          </cell>
        </row>
        <row r="1691">
          <cell r="F1691" t="str">
            <v>Grease</v>
          </cell>
          <cell r="G1691" t="str">
            <v>kg</v>
          </cell>
          <cell r="H1691">
            <v>67800</v>
          </cell>
        </row>
        <row r="1692">
          <cell r="F1692" t="str">
            <v>Hollow  galvanis  20x40x0,4 mm</v>
          </cell>
          <cell r="G1692" t="str">
            <v>m'</v>
          </cell>
          <cell r="H1692">
            <v>7500</v>
          </cell>
        </row>
        <row r="1693">
          <cell r="F1693" t="str">
            <v>Metal Hollow 20x40 mm</v>
          </cell>
          <cell r="G1693" t="str">
            <v>m'</v>
          </cell>
          <cell r="H1693">
            <v>7500</v>
          </cell>
        </row>
        <row r="1694">
          <cell r="F1694" t="str">
            <v>Hollow galvanis 40x40x0,4 mm</v>
          </cell>
          <cell r="G1694" t="str">
            <v>m'</v>
          </cell>
          <cell r="H1694">
            <v>10700</v>
          </cell>
        </row>
        <row r="1695">
          <cell r="F1695" t="str">
            <v>Jalusi aluminium</v>
          </cell>
          <cell r="G1695" t="str">
            <v>m2</v>
          </cell>
          <cell r="H1695">
            <v>600000</v>
          </cell>
        </row>
        <row r="1696">
          <cell r="F1696" t="str">
            <v>Jalusi uPVC</v>
          </cell>
          <cell r="G1696" t="str">
            <v xml:space="preserve">buah </v>
          </cell>
          <cell r="H1696">
            <v>49500</v>
          </cell>
        </row>
        <row r="1697">
          <cell r="F1697" t="str">
            <v>Kontra mur type ronsel</v>
          </cell>
          <cell r="G1697" t="str">
            <v>bh</v>
          </cell>
          <cell r="H1697">
            <v>343800</v>
          </cell>
        </row>
        <row r="1698">
          <cell r="F1698" t="str">
            <v>Kontra mur type skep</v>
          </cell>
          <cell r="G1698" t="str">
            <v>bh</v>
          </cell>
          <cell r="H1698">
            <v>301300</v>
          </cell>
        </row>
        <row r="1699">
          <cell r="F1699" t="str">
            <v>kopel/universal join</v>
          </cell>
          <cell r="G1699" t="str">
            <v>bh</v>
          </cell>
          <cell r="H1699">
            <v>542800</v>
          </cell>
        </row>
        <row r="1700">
          <cell r="F1700" t="str">
            <v>Kusen aluminium 4"  putih</v>
          </cell>
          <cell r="G1700" t="str">
            <v>m'</v>
          </cell>
          <cell r="H1700">
            <v>107000</v>
          </cell>
        </row>
        <row r="1701">
          <cell r="F1701" t="str">
            <v>Kusen Bovenlight Upvc</v>
          </cell>
          <cell r="G1701" t="str">
            <v xml:space="preserve">bauh </v>
          </cell>
          <cell r="H1701">
            <v>270000</v>
          </cell>
        </row>
        <row r="1702">
          <cell r="F1702" t="str">
            <v>Lager type ronsel</v>
          </cell>
          <cell r="G1702" t="str">
            <v>bh</v>
          </cell>
          <cell r="H1702">
            <v>905000</v>
          </cell>
        </row>
        <row r="1703">
          <cell r="F1703" t="str">
            <v>Lager type skep</v>
          </cell>
          <cell r="G1703" t="str">
            <v>bh</v>
          </cell>
          <cell r="H1703">
            <v>693400</v>
          </cell>
        </row>
        <row r="1704">
          <cell r="F1704" t="str">
            <v>Mur baut  1/2"  x  4"</v>
          </cell>
          <cell r="G1704" t="str">
            <v>bh</v>
          </cell>
          <cell r="H1704">
            <v>16100</v>
          </cell>
        </row>
        <row r="1705">
          <cell r="F1705" t="str">
            <v>Mur baut  5/8"  x  4"</v>
          </cell>
          <cell r="G1705" t="str">
            <v>bh</v>
          </cell>
          <cell r="H1705">
            <v>19500</v>
          </cell>
        </row>
        <row r="1706">
          <cell r="F1706" t="str">
            <v>Mur baut  M8 steinless</v>
          </cell>
          <cell r="G1706" t="str">
            <v>bh</v>
          </cell>
          <cell r="H1706">
            <v>19500</v>
          </cell>
        </row>
        <row r="1707">
          <cell r="F1707" t="str">
            <v xml:space="preserve">Baut dan Mur f12 L=4" </v>
          </cell>
          <cell r="G1707" t="str">
            <v xml:space="preserve">buah </v>
          </cell>
          <cell r="H1707">
            <v>20000</v>
          </cell>
        </row>
        <row r="1708">
          <cell r="F1708" t="str">
            <v>Baut dan Mur f12, L=6"</v>
          </cell>
          <cell r="G1708" t="str">
            <v xml:space="preserve">buah </v>
          </cell>
          <cell r="H1708">
            <v>22000</v>
          </cell>
        </row>
        <row r="1709">
          <cell r="F1709" t="str">
            <v>Baut dan Mur f12, L=7"</v>
          </cell>
          <cell r="G1709" t="str">
            <v xml:space="preserve">buah </v>
          </cell>
          <cell r="H1709">
            <v>23000</v>
          </cell>
        </row>
        <row r="1710">
          <cell r="F1710" t="str">
            <v xml:space="preserve">Ring Plat </v>
          </cell>
          <cell r="G1710" t="str">
            <v xml:space="preserve">buah </v>
          </cell>
          <cell r="H1710">
            <v>2500</v>
          </cell>
        </row>
        <row r="1711">
          <cell r="F1711" t="str">
            <v>Mur brons  ronsel</v>
          </cell>
          <cell r="G1711" t="str">
            <v>kg</v>
          </cell>
          <cell r="H1711">
            <v>210400</v>
          </cell>
        </row>
        <row r="1712">
          <cell r="F1712" t="str">
            <v>Mur brons  type skep</v>
          </cell>
          <cell r="G1712" t="str">
            <v>kg</v>
          </cell>
          <cell r="H1712">
            <v>210400</v>
          </cell>
        </row>
        <row r="1713">
          <cell r="F1713" t="str">
            <v>Pen spindie type ronsel</v>
          </cell>
          <cell r="G1713" t="str">
            <v>bh</v>
          </cell>
          <cell r="H1713">
            <v>102300</v>
          </cell>
        </row>
        <row r="1714">
          <cell r="F1714" t="str">
            <v>Penyangga roda gigi</v>
          </cell>
          <cell r="G1714" t="str">
            <v>bh</v>
          </cell>
          <cell r="H1714">
            <v>542800</v>
          </cell>
        </row>
        <row r="1715">
          <cell r="F1715" t="str">
            <v>Pintu alluminium</v>
          </cell>
          <cell r="G1715" t="str">
            <v>m'</v>
          </cell>
          <cell r="H1715">
            <v>73600</v>
          </cell>
        </row>
        <row r="1716">
          <cell r="F1716" t="str">
            <v>Pintu KM  aluminium</v>
          </cell>
          <cell r="G1716" t="str">
            <v>unit</v>
          </cell>
          <cell r="H1716">
            <v>1500000</v>
          </cell>
        </row>
        <row r="1717">
          <cell r="F1717" t="str">
            <v>Pintu lipat  besi</v>
          </cell>
          <cell r="G1717" t="str">
            <v>m2</v>
          </cell>
          <cell r="H1717">
            <v>494200</v>
          </cell>
        </row>
        <row r="1718">
          <cell r="F1718" t="str">
            <v>Pintu lipat PVC</v>
          </cell>
          <cell r="G1718" t="str">
            <v>m2</v>
          </cell>
          <cell r="H1718">
            <v>750000</v>
          </cell>
        </row>
        <row r="1719">
          <cell r="F1719" t="str">
            <v>Plat  peluncur</v>
          </cell>
          <cell r="G1719" t="str">
            <v>kg</v>
          </cell>
          <cell r="H1719">
            <v>210400</v>
          </cell>
        </row>
        <row r="1720">
          <cell r="F1720" t="str">
            <v>Plat besi 3 mm</v>
          </cell>
          <cell r="G1720" t="str">
            <v>kg</v>
          </cell>
          <cell r="H1720">
            <v>34500</v>
          </cell>
        </row>
        <row r="1721">
          <cell r="F1721" t="str">
            <v>Profil aluminium</v>
          </cell>
          <cell r="G1721" t="str">
            <v>m'</v>
          </cell>
          <cell r="H1721">
            <v>130000</v>
          </cell>
        </row>
        <row r="1722">
          <cell r="F1722" t="str">
            <v>Profil Aluminium ”T”</v>
          </cell>
          <cell r="G1722" t="str">
            <v>m'</v>
          </cell>
          <cell r="H1722">
            <v>15000</v>
          </cell>
        </row>
        <row r="1723">
          <cell r="F1723" t="str">
            <v>Profil slimar aluminium</v>
          </cell>
          <cell r="G1723" t="str">
            <v>m'</v>
          </cell>
          <cell r="H1723">
            <v>60000</v>
          </cell>
        </row>
        <row r="1724">
          <cell r="F1724" t="str">
            <v>Rangka metal hollow 40.40.1,2 mm</v>
          </cell>
          <cell r="G1724" t="str">
            <v>m'</v>
          </cell>
          <cell r="H1724">
            <v>16200</v>
          </cell>
        </row>
        <row r="1725">
          <cell r="F1725" t="str">
            <v>Rangka metal hollow 40.40.2 mm</v>
          </cell>
          <cell r="G1725" t="str">
            <v>m'</v>
          </cell>
          <cell r="H1725">
            <v>19000</v>
          </cell>
        </row>
        <row r="1726">
          <cell r="F1726" t="str">
            <v>roda gigi nanas</v>
          </cell>
          <cell r="G1726" t="str">
            <v>bh</v>
          </cell>
          <cell r="H1726">
            <v>1025800</v>
          </cell>
        </row>
        <row r="1727">
          <cell r="F1727" t="str">
            <v>Roda gigi pinggiran</v>
          </cell>
          <cell r="G1727" t="str">
            <v>bh</v>
          </cell>
          <cell r="H1727">
            <v>1750300</v>
          </cell>
        </row>
        <row r="1728">
          <cell r="F1728" t="str">
            <v>Rolling door aluminium</v>
          </cell>
          <cell r="G1728" t="str">
            <v>m2</v>
          </cell>
          <cell r="H1728">
            <v>600600</v>
          </cell>
        </row>
        <row r="1729">
          <cell r="F1729" t="str">
            <v>Rolling door besi</v>
          </cell>
          <cell r="G1729" t="str">
            <v>m2</v>
          </cell>
          <cell r="H1729">
            <v>509100</v>
          </cell>
        </row>
        <row r="1730">
          <cell r="F1730" t="str">
            <v>Rubber seal</v>
          </cell>
          <cell r="G1730" t="str">
            <v>m'</v>
          </cell>
          <cell r="H1730">
            <v>1811200</v>
          </cell>
        </row>
        <row r="1731">
          <cell r="F1731" t="str">
            <v>Sliding pintu J4</v>
          </cell>
          <cell r="G1731" t="str">
            <v>buah</v>
          </cell>
          <cell r="H1731">
            <v>456000</v>
          </cell>
        </row>
        <row r="1732">
          <cell r="F1732" t="str">
            <v>Stang draft  diameter 1,5"  +  mur baut</v>
          </cell>
          <cell r="G1732" t="str">
            <v>m'</v>
          </cell>
          <cell r="H1732">
            <v>2750000</v>
          </cell>
        </row>
        <row r="1733">
          <cell r="F1733" t="str">
            <v>Stang draft  diameter 1,75"  +  mur baut</v>
          </cell>
          <cell r="G1733" t="str">
            <v>m'</v>
          </cell>
          <cell r="H1733">
            <v>3150000</v>
          </cell>
        </row>
        <row r="1734">
          <cell r="F1734" t="str">
            <v>Stang draft  diameter 2"  +  mur baut</v>
          </cell>
          <cell r="G1734" t="str">
            <v>m'</v>
          </cell>
          <cell r="H1734">
            <v>3500000</v>
          </cell>
        </row>
        <row r="1735">
          <cell r="F1735" t="str">
            <v>Stang draft  diameter 2,25"  +  mur baut</v>
          </cell>
          <cell r="G1735" t="str">
            <v>m'</v>
          </cell>
          <cell r="H1735">
            <v>3800000</v>
          </cell>
        </row>
        <row r="1736">
          <cell r="F1736" t="str">
            <v>Stang gembok</v>
          </cell>
          <cell r="G1736" t="str">
            <v>bh</v>
          </cell>
          <cell r="H1736">
            <v>78200</v>
          </cell>
        </row>
        <row r="1737">
          <cell r="F1737" t="str">
            <v>Stang pemutar type ronsel</v>
          </cell>
          <cell r="G1737" t="str">
            <v>bh</v>
          </cell>
          <cell r="H1737">
            <v>1146500</v>
          </cell>
        </row>
        <row r="1738">
          <cell r="F1738" t="str">
            <v>Stang pemutar type skep</v>
          </cell>
          <cell r="G1738" t="str">
            <v>bh</v>
          </cell>
          <cell r="H1738">
            <v>633600</v>
          </cell>
        </row>
        <row r="1739">
          <cell r="F1739" t="str">
            <v>Sunscreen aluminium</v>
          </cell>
          <cell r="G1739" t="str">
            <v>m2</v>
          </cell>
          <cell r="H1739">
            <v>381900</v>
          </cell>
        </row>
        <row r="1740">
          <cell r="F1740" t="str">
            <v>Talang galvalum lebar 50 cm tebal 0,4 mm</v>
          </cell>
          <cell r="G1740" t="str">
            <v>m'</v>
          </cell>
          <cell r="H1740">
            <v>53300</v>
          </cell>
        </row>
        <row r="1741">
          <cell r="F1741" t="str">
            <v>Talang datar/jurai seng lebar 90cm</v>
          </cell>
          <cell r="G1741" t="str">
            <v>m</v>
          </cell>
          <cell r="H1741">
            <v>75000</v>
          </cell>
        </row>
        <row r="1742">
          <cell r="F1742" t="str">
            <v xml:space="preserve">Talang Seng 1/2 lingkaran diameter 15cm </v>
          </cell>
          <cell r="G1742" t="str">
            <v>m</v>
          </cell>
          <cell r="H1742">
            <v>133000</v>
          </cell>
        </row>
        <row r="1743">
          <cell r="F1743" t="str">
            <v>Thinner</v>
          </cell>
          <cell r="G1743" t="str">
            <v>ltr</v>
          </cell>
          <cell r="H1743">
            <v>35600</v>
          </cell>
        </row>
        <row r="1745">
          <cell r="F1745" t="str">
            <v>Hanger tray panjang 2,5 m</v>
          </cell>
          <cell r="G1745" t="str">
            <v>buah</v>
          </cell>
          <cell r="H1745">
            <v>300000</v>
          </cell>
        </row>
        <row r="1746">
          <cell r="F1746" t="str">
            <v>Kabel BCC 10 mm² (0,10 kg/m)</v>
          </cell>
          <cell r="G1746" t="str">
            <v>m'</v>
          </cell>
          <cell r="H1746">
            <v>29000</v>
          </cell>
        </row>
        <row r="1747">
          <cell r="F1747" t="str">
            <v>Kabel BCC 16 mm² (0,16 kg/m)</v>
          </cell>
          <cell r="G1747" t="str">
            <v>m'</v>
          </cell>
          <cell r="H1747">
            <v>33000</v>
          </cell>
        </row>
        <row r="1748">
          <cell r="F1748" t="str">
            <v>Kabel BCC 25 mm² (0,25 kg/m)</v>
          </cell>
          <cell r="G1748" t="str">
            <v>m'</v>
          </cell>
          <cell r="H1748">
            <v>53000</v>
          </cell>
        </row>
        <row r="1749">
          <cell r="F1749" t="str">
            <v>Kabel BCC 35 mm² (0,35 kg/m)</v>
          </cell>
          <cell r="G1749" t="str">
            <v>m'</v>
          </cell>
          <cell r="H1749">
            <v>72000</v>
          </cell>
        </row>
        <row r="1750">
          <cell r="F1750" t="str">
            <v>Kabel BCC 4 mm² (0,04 kg/m)</v>
          </cell>
          <cell r="G1750" t="str">
            <v>m'</v>
          </cell>
          <cell r="H1750">
            <v>12000</v>
          </cell>
        </row>
        <row r="1751">
          <cell r="F1751" t="str">
            <v>Kabel BCC 50 mm² (0,50 kg/m)</v>
          </cell>
          <cell r="G1751" t="str">
            <v>m'</v>
          </cell>
          <cell r="H1751">
            <v>95500</v>
          </cell>
        </row>
        <row r="1752">
          <cell r="F1752" t="str">
            <v>Kabel BCC 6 mm² (0,06 kg/m)</v>
          </cell>
          <cell r="G1752" t="str">
            <v>m'</v>
          </cell>
          <cell r="H1752">
            <v>13200</v>
          </cell>
        </row>
        <row r="1753">
          <cell r="F1753" t="str">
            <v>BCC 6 mm2 (0,06 kg/m) dan aksesoris</v>
          </cell>
          <cell r="G1753" t="str">
            <v>m'</v>
          </cell>
          <cell r="H1753">
            <v>38300</v>
          </cell>
        </row>
        <row r="1754">
          <cell r="F1754" t="str">
            <v>Kabel BCC 70 mm² (0,70 kg/m)</v>
          </cell>
          <cell r="G1754" t="str">
            <v>m'</v>
          </cell>
          <cell r="H1754">
            <v>136000</v>
          </cell>
        </row>
        <row r="1755">
          <cell r="F1755" t="str">
            <v>Kabel BCC 95 mm² (0,95 kg/m)</v>
          </cell>
          <cell r="G1755" t="str">
            <v>m'</v>
          </cell>
          <cell r="H1755">
            <v>185000</v>
          </cell>
        </row>
        <row r="1756">
          <cell r="F1756" t="str">
            <v>Kabel FRC 1 x 150 mm²</v>
          </cell>
          <cell r="G1756" t="str">
            <v>m'</v>
          </cell>
          <cell r="H1756">
            <v>275000</v>
          </cell>
        </row>
        <row r="1757">
          <cell r="F1757" t="str">
            <v>Kabel FRC 2 x 1,5 mm²</v>
          </cell>
          <cell r="G1757" t="str">
            <v>m'</v>
          </cell>
          <cell r="H1757">
            <v>23000</v>
          </cell>
        </row>
        <row r="1758">
          <cell r="F1758" t="str">
            <v>Kabel FRC 2 x 1,5 mm2 + PVC Conduit HI 20 mm dan aksesoris</v>
          </cell>
          <cell r="G1758" t="str">
            <v>m'</v>
          </cell>
          <cell r="H1758">
            <v>27100</v>
          </cell>
        </row>
        <row r="1759">
          <cell r="F1759" t="str">
            <v>Kabel FRC 2 x 2,5 mm²</v>
          </cell>
          <cell r="G1759" t="str">
            <v>m'</v>
          </cell>
          <cell r="H1759">
            <v>33500</v>
          </cell>
        </row>
        <row r="1760">
          <cell r="F1760" t="str">
            <v>Kabel FRC 2 x 2,5 mm2 + PVC Conduit HI 20 mm dan aksesoris</v>
          </cell>
          <cell r="G1760" t="str">
            <v>m'</v>
          </cell>
          <cell r="H1760">
            <v>37600</v>
          </cell>
        </row>
        <row r="1761">
          <cell r="F1761" t="str">
            <v>Kabel FRC 3 x 2,5 mm²</v>
          </cell>
          <cell r="G1761" t="str">
            <v>m'</v>
          </cell>
          <cell r="H1761">
            <v>40000</v>
          </cell>
        </row>
        <row r="1762">
          <cell r="F1762" t="str">
            <v>Kabel FRC 4 x 150 mm²</v>
          </cell>
          <cell r="G1762" t="str">
            <v>m'</v>
          </cell>
          <cell r="H1762">
            <v>1607400</v>
          </cell>
        </row>
        <row r="1763">
          <cell r="F1763" t="str">
            <v>Kabel FRC 4 x 4 mm²</v>
          </cell>
          <cell r="G1763" t="str">
            <v>m'</v>
          </cell>
          <cell r="H1763">
            <v>90000</v>
          </cell>
        </row>
        <row r="1764">
          <cell r="F1764" t="str">
            <v>Kabel FRC 4 x 6 mm²</v>
          </cell>
          <cell r="G1764" t="str">
            <v>m'</v>
          </cell>
          <cell r="H1764">
            <v>110000</v>
          </cell>
        </row>
        <row r="1765">
          <cell r="F1765" t="str">
            <v>Kabel NYA 1 x 1,5 mm²</v>
          </cell>
          <cell r="G1765" t="str">
            <v>m'</v>
          </cell>
          <cell r="H1765">
            <v>3200</v>
          </cell>
        </row>
        <row r="1766">
          <cell r="F1766" t="str">
            <v>Kabel NYA 1 x 10 mm²</v>
          </cell>
          <cell r="G1766" t="str">
            <v>m'</v>
          </cell>
          <cell r="H1766">
            <v>20000</v>
          </cell>
        </row>
        <row r="1767">
          <cell r="F1767" t="str">
            <v>Kabel NYA 1 x 16 mm²</v>
          </cell>
          <cell r="G1767" t="str">
            <v>m'</v>
          </cell>
          <cell r="H1767">
            <v>33000</v>
          </cell>
        </row>
        <row r="1768">
          <cell r="F1768" t="str">
            <v>Kabel NYA 1 x 2,5 mm²</v>
          </cell>
          <cell r="G1768" t="str">
            <v>m'</v>
          </cell>
          <cell r="H1768">
            <v>5300</v>
          </cell>
        </row>
        <row r="1769">
          <cell r="F1769" t="str">
            <v>Kabel NYA 1 x 4 mm²</v>
          </cell>
          <cell r="G1769" t="str">
            <v>m'</v>
          </cell>
          <cell r="H1769">
            <v>8300</v>
          </cell>
        </row>
        <row r="1770">
          <cell r="F1770" t="str">
            <v>Kabel NYA 1 x 6 mm²</v>
          </cell>
          <cell r="G1770" t="str">
            <v>m'</v>
          </cell>
          <cell r="H1770">
            <v>12200</v>
          </cell>
        </row>
        <row r="1771">
          <cell r="F1771" t="str">
            <v>Kabel NYA 2 x 1,5 mm²</v>
          </cell>
          <cell r="G1771" t="str">
            <v>m'</v>
          </cell>
          <cell r="H1771">
            <v>9200</v>
          </cell>
        </row>
        <row r="1772">
          <cell r="F1772" t="str">
            <v>Kabel NYA 3 x 1,5 mm²</v>
          </cell>
          <cell r="G1772" t="str">
            <v>m'</v>
          </cell>
          <cell r="H1772">
            <v>14000</v>
          </cell>
        </row>
        <row r="1773">
          <cell r="F1773" t="str">
            <v>Kabel NYA 3 x 2,5 mm²</v>
          </cell>
          <cell r="G1773" t="str">
            <v>m'</v>
          </cell>
          <cell r="H1773">
            <v>19448</v>
          </cell>
        </row>
        <row r="1774">
          <cell r="F1774" t="str">
            <v>Kabel NYA 5 x 2,5 mm²</v>
          </cell>
          <cell r="G1774" t="str">
            <v>m'</v>
          </cell>
          <cell r="H1774">
            <v>51500</v>
          </cell>
        </row>
        <row r="1775">
          <cell r="F1775" t="str">
            <v>Kabel NYA 1 x 35 mm²</v>
          </cell>
          <cell r="G1775" t="str">
            <v>m'</v>
          </cell>
          <cell r="H1775">
            <v>71250</v>
          </cell>
        </row>
        <row r="1776">
          <cell r="F1776" t="str">
            <v>Kabel NYA 1 x 95 mm²</v>
          </cell>
          <cell r="G1776" t="str">
            <v>m'</v>
          </cell>
          <cell r="H1776">
            <v>181000</v>
          </cell>
        </row>
        <row r="1777">
          <cell r="F1777" t="str">
            <v>Kabel NYFGBY 2 x 1,5 mm²</v>
          </cell>
          <cell r="G1777" t="str">
            <v>m'</v>
          </cell>
          <cell r="H1777">
            <v>22750</v>
          </cell>
        </row>
        <row r="1778">
          <cell r="F1778" t="str">
            <v>Kabel NYFGBY 2 x 10 mm²</v>
          </cell>
          <cell r="G1778" t="str">
            <v>m'</v>
          </cell>
          <cell r="H1778">
            <v>60750</v>
          </cell>
        </row>
        <row r="1779">
          <cell r="F1779" t="str">
            <v>Kabel NYFGBY 2 x 16 mm²</v>
          </cell>
          <cell r="G1779" t="str">
            <v>m'</v>
          </cell>
          <cell r="H1779">
            <v>82000</v>
          </cell>
        </row>
        <row r="1780">
          <cell r="F1780" t="str">
            <v>Kabel NYFGBY 2 x 2,5 mm²</v>
          </cell>
          <cell r="G1780" t="str">
            <v>m'</v>
          </cell>
          <cell r="H1780">
            <v>30500</v>
          </cell>
        </row>
        <row r="1781">
          <cell r="F1781" t="str">
            <v>Kabel NYFGBY 2 x 4 mm²</v>
          </cell>
          <cell r="G1781" t="str">
            <v>m'</v>
          </cell>
          <cell r="H1781">
            <v>35200</v>
          </cell>
        </row>
        <row r="1782">
          <cell r="F1782" t="str">
            <v>Kabel NYFGBY 2 x 6 mm²</v>
          </cell>
          <cell r="G1782" t="str">
            <v>m'</v>
          </cell>
          <cell r="H1782">
            <v>43350</v>
          </cell>
        </row>
        <row r="1783">
          <cell r="F1783" t="str">
            <v>Kabel NYFGBY 3 x 1,5 mm²</v>
          </cell>
          <cell r="G1783" t="str">
            <v>m'</v>
          </cell>
          <cell r="H1783">
            <v>28500</v>
          </cell>
        </row>
        <row r="1784">
          <cell r="F1784" t="str">
            <v>Kabel NYFGBY 3 x 10 mm²</v>
          </cell>
          <cell r="G1784" t="str">
            <v>m'</v>
          </cell>
          <cell r="H1784">
            <v>79600</v>
          </cell>
        </row>
        <row r="1785">
          <cell r="F1785" t="str">
            <v>Kabel NYFGBY 3 x 16 mm²</v>
          </cell>
          <cell r="G1785" t="str">
            <v>m'</v>
          </cell>
          <cell r="H1785">
            <v>128900</v>
          </cell>
        </row>
        <row r="1786">
          <cell r="F1786" t="str">
            <v>Kabel NYFGBY 3 x 2,5 mm²</v>
          </cell>
          <cell r="G1786" t="str">
            <v>m'</v>
          </cell>
          <cell r="H1786">
            <v>32900</v>
          </cell>
        </row>
        <row r="1787">
          <cell r="F1787" t="str">
            <v>Kabel NYFGBY 3 x 4 mm²</v>
          </cell>
          <cell r="G1787" t="str">
            <v>m'</v>
          </cell>
          <cell r="H1787">
            <v>49000</v>
          </cell>
        </row>
        <row r="1788">
          <cell r="F1788" t="str">
            <v>Kabel NYFGBY 3 x 6 mm²</v>
          </cell>
          <cell r="G1788" t="str">
            <v>m'</v>
          </cell>
          <cell r="H1788">
            <v>63500</v>
          </cell>
        </row>
        <row r="1789">
          <cell r="F1789" t="str">
            <v>Kabel NYFGBY 4 x 1,5 mm²</v>
          </cell>
          <cell r="G1789" t="str">
            <v>m'</v>
          </cell>
          <cell r="H1789">
            <v>29400</v>
          </cell>
        </row>
        <row r="1790">
          <cell r="F1790" t="str">
            <v>Kabel NYFGBY 4 x 10 mm²</v>
          </cell>
          <cell r="G1790" t="str">
            <v>m'</v>
          </cell>
          <cell r="H1790">
            <v>100600</v>
          </cell>
        </row>
        <row r="1791">
          <cell r="F1791" t="str">
            <v>Kabel NYFGBY 4 x 120 mm²</v>
          </cell>
          <cell r="G1791" t="str">
            <v>m'</v>
          </cell>
          <cell r="H1791">
            <v>969500</v>
          </cell>
        </row>
        <row r="1792">
          <cell r="F1792" t="str">
            <v>Kabel NYFGBY 4 x 150 mm²</v>
          </cell>
          <cell r="G1792" t="str">
            <v>m'</v>
          </cell>
          <cell r="H1792">
            <v>1187650</v>
          </cell>
        </row>
        <row r="1793">
          <cell r="F1793" t="str">
            <v>Kabel NYFGBY 4 x 16 mm²</v>
          </cell>
          <cell r="G1793" t="str">
            <v>m'</v>
          </cell>
          <cell r="H1793">
            <v>159300</v>
          </cell>
        </row>
        <row r="1794">
          <cell r="F1794" t="str">
            <v>Kabel NYFGBY 4 x 185 mm²</v>
          </cell>
          <cell r="G1794" t="str">
            <v>m'</v>
          </cell>
          <cell r="H1794">
            <v>1470650</v>
          </cell>
        </row>
        <row r="1795">
          <cell r="F1795" t="str">
            <v>Kabel NYFGBY 4 x 2,5 mm²</v>
          </cell>
          <cell r="G1795" t="str">
            <v>m'</v>
          </cell>
          <cell r="H1795">
            <v>38600</v>
          </cell>
        </row>
        <row r="1796">
          <cell r="F1796" t="str">
            <v>Kabel NYFGBY 4 x 240 mm²</v>
          </cell>
          <cell r="G1796" t="str">
            <v>m'</v>
          </cell>
          <cell r="H1796">
            <v>1921500</v>
          </cell>
        </row>
        <row r="1797">
          <cell r="F1797" t="str">
            <v>Kabel NYFGBY 4 x 25 mm²</v>
          </cell>
          <cell r="G1797" t="str">
            <v>m'</v>
          </cell>
          <cell r="H1797">
            <v>247200</v>
          </cell>
        </row>
        <row r="1798">
          <cell r="F1798" t="str">
            <v>Kabel NYFGBY 4 x 300 mm²</v>
          </cell>
          <cell r="G1798" t="str">
            <v>m'</v>
          </cell>
          <cell r="H1798">
            <v>2392250</v>
          </cell>
        </row>
        <row r="1799">
          <cell r="F1799" t="str">
            <v>Kabel NYFGBY 4 x 35 mm²</v>
          </cell>
          <cell r="G1799" t="str">
            <v>m'</v>
          </cell>
          <cell r="H1799">
            <v>314750</v>
          </cell>
        </row>
        <row r="1800">
          <cell r="F1800" t="str">
            <v>Kabel NYFGBY 4 x 4 mm²</v>
          </cell>
          <cell r="G1800" t="str">
            <v>m'</v>
          </cell>
          <cell r="H1800">
            <v>66000</v>
          </cell>
        </row>
        <row r="1801">
          <cell r="F1801" t="str">
            <v>Kabel NYFGBY 4 x 50 mm²</v>
          </cell>
          <cell r="G1801" t="str">
            <v>m'</v>
          </cell>
          <cell r="H1801">
            <v>411600</v>
          </cell>
        </row>
        <row r="1802">
          <cell r="F1802" t="str">
            <v>Kabel NYFGBY 4 x 6 mm²</v>
          </cell>
          <cell r="G1802" t="str">
            <v>m'</v>
          </cell>
          <cell r="H1802">
            <v>70200</v>
          </cell>
        </row>
        <row r="1803">
          <cell r="F1803" t="str">
            <v>Kabel NYFGBY 4 x 70 mm²</v>
          </cell>
          <cell r="G1803" t="str">
            <v>m'</v>
          </cell>
          <cell r="H1803">
            <v>575250</v>
          </cell>
        </row>
        <row r="1804">
          <cell r="F1804" t="str">
            <v>Kabel NYFGBY 4 x 95 mm²</v>
          </cell>
          <cell r="G1804" t="str">
            <v>m'</v>
          </cell>
          <cell r="H1804">
            <v>743750</v>
          </cell>
        </row>
        <row r="1805">
          <cell r="F1805" t="str">
            <v>Kabel NYM 2 x 1,5 mm²</v>
          </cell>
          <cell r="G1805" t="str">
            <v>m'</v>
          </cell>
          <cell r="H1805">
            <v>8880</v>
          </cell>
        </row>
        <row r="1806">
          <cell r="F1806" t="str">
            <v>Kabel NYM 2 x 10 mm²</v>
          </cell>
          <cell r="G1806" t="str">
            <v>m'</v>
          </cell>
          <cell r="H1806">
            <v>49000</v>
          </cell>
        </row>
        <row r="1807">
          <cell r="F1807" t="str">
            <v>Kabel NYM 2 x 2,5 mm²</v>
          </cell>
          <cell r="G1807" t="str">
            <v>m'</v>
          </cell>
          <cell r="H1807">
            <v>13250</v>
          </cell>
        </row>
        <row r="1808">
          <cell r="F1808" t="str">
            <v>Kabel NYM 2 x 4 mm²</v>
          </cell>
          <cell r="G1808" t="str">
            <v>m'</v>
          </cell>
          <cell r="H1808">
            <v>19950</v>
          </cell>
        </row>
        <row r="1809">
          <cell r="F1809" t="str">
            <v>Kabel NYM 2 x 6 mm²</v>
          </cell>
          <cell r="G1809" t="str">
            <v>m'</v>
          </cell>
          <cell r="H1809">
            <v>29000</v>
          </cell>
        </row>
        <row r="1810">
          <cell r="F1810" t="str">
            <v>Kabel NYM 3 x 1,5 mm²</v>
          </cell>
          <cell r="G1810" t="str">
            <v>m'</v>
          </cell>
          <cell r="H1810">
            <v>11400</v>
          </cell>
        </row>
        <row r="1811">
          <cell r="F1811" t="str">
            <v>Kabel NYM 3 x 10 mm²</v>
          </cell>
          <cell r="G1811" t="str">
            <v>m'</v>
          </cell>
          <cell r="H1811">
            <v>69200</v>
          </cell>
        </row>
        <row r="1812">
          <cell r="F1812" t="str">
            <v>Kabel NYM 3 x 2,5 mm²</v>
          </cell>
          <cell r="G1812" t="str">
            <v>m'</v>
          </cell>
          <cell r="H1812">
            <v>21300</v>
          </cell>
        </row>
        <row r="1813">
          <cell r="F1813" t="str">
            <v>Kabel NYM 3 x 4 mm²</v>
          </cell>
          <cell r="G1813" t="str">
            <v>m'</v>
          </cell>
          <cell r="H1813">
            <v>27000</v>
          </cell>
        </row>
        <row r="1814">
          <cell r="F1814" t="str">
            <v>Kabel NYM 3 x 2,5
mm2 (LSOH)</v>
          </cell>
          <cell r="G1814" t="str">
            <v>M'</v>
          </cell>
          <cell r="H1814">
            <v>21300</v>
          </cell>
        </row>
        <row r="1815">
          <cell r="F1815" t="str">
            <v>Kabel NYM 3 x 6 mm²</v>
          </cell>
          <cell r="G1815" t="str">
            <v>m'</v>
          </cell>
          <cell r="H1815">
            <v>43100</v>
          </cell>
        </row>
        <row r="1816">
          <cell r="F1816" t="str">
            <v>Kabel NYM 4 x 1,5 mm²</v>
          </cell>
          <cell r="G1816" t="str">
            <v>m'</v>
          </cell>
          <cell r="H1816">
            <v>14400</v>
          </cell>
        </row>
        <row r="1817">
          <cell r="F1817" t="str">
            <v>Kabel NYM 4 x 10 mm²</v>
          </cell>
          <cell r="G1817" t="str">
            <v>m'</v>
          </cell>
          <cell r="H1817">
            <v>92900</v>
          </cell>
        </row>
        <row r="1818">
          <cell r="F1818" t="str">
            <v>Kabel NYM 4 x 16 mm²</v>
          </cell>
          <cell r="G1818" t="str">
            <v>m'</v>
          </cell>
          <cell r="H1818">
            <v>150000</v>
          </cell>
        </row>
        <row r="1819">
          <cell r="F1819" t="str">
            <v>Kabel NYM 4 x 2,5 mm²</v>
          </cell>
          <cell r="G1819" t="str">
            <v>m'</v>
          </cell>
          <cell r="H1819">
            <v>22700</v>
          </cell>
        </row>
        <row r="1820">
          <cell r="F1820" t="str">
            <v>Kabel NYM 4 x 4 mm²</v>
          </cell>
          <cell r="G1820" t="str">
            <v>m'</v>
          </cell>
          <cell r="H1820">
            <v>37000</v>
          </cell>
        </row>
        <row r="1821">
          <cell r="F1821" t="str">
            <v>Kabel NYM 4 x 6 mm²</v>
          </cell>
          <cell r="G1821" t="str">
            <v>m'</v>
          </cell>
          <cell r="H1821">
            <v>54400</v>
          </cell>
        </row>
        <row r="1822">
          <cell r="F1822" t="str">
            <v>Kabel NYMHY 2 x 1,5 mm²</v>
          </cell>
          <cell r="G1822" t="str">
            <v>m'</v>
          </cell>
          <cell r="H1822">
            <v>9300</v>
          </cell>
        </row>
        <row r="1823">
          <cell r="F1823" t="str">
            <v>Kabel NYMHY 2 x 2,5 mm²</v>
          </cell>
          <cell r="G1823" t="str">
            <v>m'</v>
          </cell>
          <cell r="H1823">
            <v>13900</v>
          </cell>
        </row>
        <row r="1824">
          <cell r="F1824" t="str">
            <v>Kabel NYMHY 3 x 1,5 mm²</v>
          </cell>
          <cell r="G1824" t="str">
            <v>m'</v>
          </cell>
          <cell r="H1824">
            <v>13400</v>
          </cell>
        </row>
        <row r="1825">
          <cell r="F1825" t="str">
            <v>Kabel NYMHY 2(3 x
1,5 mm2) + Conduit
PVC HI 20 mm dan
aksesoris</v>
          </cell>
          <cell r="G1825" t="str">
            <v>m'</v>
          </cell>
          <cell r="H1825">
            <v>35000</v>
          </cell>
        </row>
        <row r="1826">
          <cell r="F1826" t="str">
            <v>Kabel NYMHY 3 x 1,5
mm2 + Conduit PVC
HI 20 mm dan
aksesoris</v>
          </cell>
          <cell r="G1826" t="str">
            <v>m'</v>
          </cell>
          <cell r="H1826">
            <v>17500</v>
          </cell>
        </row>
        <row r="1827">
          <cell r="F1827" t="str">
            <v>Kabel NYMHY 3 x 2,5 mm²</v>
          </cell>
          <cell r="G1827" t="str">
            <v>m'</v>
          </cell>
          <cell r="H1827">
            <v>21300</v>
          </cell>
        </row>
        <row r="1828">
          <cell r="F1828" t="str">
            <v>Kabel NYMHY 4 x 2,5 mm²</v>
          </cell>
          <cell r="G1828" t="str">
            <v>m'</v>
          </cell>
          <cell r="H1828">
            <v>28700</v>
          </cell>
        </row>
        <row r="1829">
          <cell r="F1829" t="str">
            <v>Kabel NYY 1 x 10 mm²</v>
          </cell>
          <cell r="G1829" t="str">
            <v>m'</v>
          </cell>
          <cell r="H1829">
            <v>18000</v>
          </cell>
        </row>
        <row r="1830">
          <cell r="F1830" t="str">
            <v>Kabel NYY 1 x 120 mm²</v>
          </cell>
          <cell r="G1830" t="str">
            <v>m'</v>
          </cell>
          <cell r="H1830">
            <v>246500</v>
          </cell>
        </row>
        <row r="1831">
          <cell r="F1831" t="str">
            <v>Kabel NYY 1 x 150 mm²</v>
          </cell>
          <cell r="G1831" t="str">
            <v>m'</v>
          </cell>
          <cell r="H1831">
            <v>303000</v>
          </cell>
        </row>
        <row r="1832">
          <cell r="F1832" t="str">
            <v>Kabel NYY 1 x 16 mm²</v>
          </cell>
          <cell r="G1832" t="str">
            <v>m'</v>
          </cell>
          <cell r="H1832">
            <v>36000</v>
          </cell>
        </row>
        <row r="1833">
          <cell r="F1833" t="str">
            <v>Kabel NYY 1 x 185 mm²</v>
          </cell>
          <cell r="G1833" t="str">
            <v>m'</v>
          </cell>
          <cell r="H1833">
            <v>377000</v>
          </cell>
        </row>
        <row r="1834">
          <cell r="F1834" t="str">
            <v>Kabel NYY 1 x 25 mm²</v>
          </cell>
          <cell r="G1834" t="str">
            <v>m'</v>
          </cell>
          <cell r="H1834">
            <v>56000</v>
          </cell>
        </row>
        <row r="1835">
          <cell r="F1835" t="str">
            <v>Kabel NYY 1 x 250 mm²</v>
          </cell>
          <cell r="G1835" t="str">
            <v>m'</v>
          </cell>
          <cell r="H1835">
            <v>496000</v>
          </cell>
        </row>
        <row r="1836">
          <cell r="F1836" t="str">
            <v>Kabel NYY 1 x 300 mm²</v>
          </cell>
          <cell r="G1836" t="str">
            <v>m'</v>
          </cell>
          <cell r="H1836">
            <v>619000</v>
          </cell>
        </row>
        <row r="1837">
          <cell r="F1837" t="str">
            <v>Kabel NYY 1 x 35 mm²</v>
          </cell>
          <cell r="G1837" t="str">
            <v>m'</v>
          </cell>
          <cell r="H1837">
            <v>75000</v>
          </cell>
        </row>
        <row r="1838">
          <cell r="F1838" t="str">
            <v>Kabel NYY 1 x 4 mm²</v>
          </cell>
          <cell r="G1838" t="str">
            <v>m'</v>
          </cell>
          <cell r="H1838">
            <v>7500</v>
          </cell>
        </row>
        <row r="1839">
          <cell r="F1839" t="str">
            <v>Kabel NYY 1 x 400 mm²</v>
          </cell>
          <cell r="G1839" t="str">
            <v>m'</v>
          </cell>
          <cell r="H1839">
            <v>786000</v>
          </cell>
        </row>
        <row r="1840">
          <cell r="F1840" t="str">
            <v>Kabel NYY 1 x 50 mm²</v>
          </cell>
          <cell r="G1840" t="str">
            <v>m'</v>
          </cell>
          <cell r="H1840">
            <v>99600</v>
          </cell>
        </row>
        <row r="1841">
          <cell r="F1841" t="str">
            <v>Kabel NYY 1 x 500 mm²</v>
          </cell>
          <cell r="G1841" t="str">
            <v>m'</v>
          </cell>
          <cell r="H1841">
            <v>1004400</v>
          </cell>
        </row>
        <row r="1842">
          <cell r="F1842" t="str">
            <v>Kabel NYY 1 x 6 mm²</v>
          </cell>
          <cell r="G1842" t="str">
            <v>m'</v>
          </cell>
          <cell r="H1842">
            <v>12000</v>
          </cell>
        </row>
        <row r="1843">
          <cell r="F1843" t="str">
            <v>Kabel NYY 1 x 630 mm²</v>
          </cell>
          <cell r="G1843" t="str">
            <v>m'</v>
          </cell>
          <cell r="H1843">
            <v>1245000</v>
          </cell>
        </row>
        <row r="1844">
          <cell r="F1844" t="str">
            <v>Kabel NYY 1 x 70 mm²</v>
          </cell>
          <cell r="G1844" t="str">
            <v>m'</v>
          </cell>
          <cell r="H1844">
            <v>142000</v>
          </cell>
        </row>
        <row r="1845">
          <cell r="F1845" t="str">
            <v>Kabel NYY 1 x 95 mm²</v>
          </cell>
          <cell r="G1845" t="str">
            <v>m'</v>
          </cell>
          <cell r="H1845">
            <v>196500</v>
          </cell>
        </row>
        <row r="1846">
          <cell r="F1846" t="str">
            <v>Kabel NYY 2 x 1,5 mm²</v>
          </cell>
          <cell r="G1846" t="str">
            <v>m'</v>
          </cell>
          <cell r="H1846">
            <v>12000</v>
          </cell>
        </row>
        <row r="1847">
          <cell r="F1847" t="str">
            <v>Kabel NYY 2 x 10 mm²</v>
          </cell>
          <cell r="G1847" t="str">
            <v>m'</v>
          </cell>
          <cell r="H1847">
            <v>57500</v>
          </cell>
        </row>
        <row r="1848">
          <cell r="F1848" t="str">
            <v>Kabel NYY 2 x 16 mm²</v>
          </cell>
          <cell r="G1848" t="str">
            <v>m'</v>
          </cell>
          <cell r="H1848">
            <v>92000</v>
          </cell>
        </row>
        <row r="1849">
          <cell r="F1849" t="str">
            <v>Kabel NYY 2 x 2,5 mm²</v>
          </cell>
          <cell r="G1849" t="str">
            <v>m'</v>
          </cell>
          <cell r="H1849">
            <v>16560</v>
          </cell>
        </row>
        <row r="1850">
          <cell r="F1850" t="str">
            <v>Kabel NYY 2 x 4 mm²</v>
          </cell>
          <cell r="G1850" t="str">
            <v>m'</v>
          </cell>
          <cell r="H1850">
            <v>23000</v>
          </cell>
        </row>
        <row r="1851">
          <cell r="F1851" t="str">
            <v>Kabel NYY 2 x 6 mm²</v>
          </cell>
          <cell r="G1851" t="str">
            <v>m'</v>
          </cell>
          <cell r="H1851">
            <v>35000</v>
          </cell>
        </row>
        <row r="1852">
          <cell r="F1852" t="str">
            <v>Kabel NYY 3 x 1,5 mm²</v>
          </cell>
          <cell r="G1852" t="str">
            <v>m'</v>
          </cell>
          <cell r="H1852">
            <v>15000</v>
          </cell>
        </row>
        <row r="1853">
          <cell r="F1853" t="str">
            <v>Kabel NYY 3 x 10 mm²</v>
          </cell>
          <cell r="G1853" t="str">
            <v>m'</v>
          </cell>
          <cell r="H1853">
            <v>74600</v>
          </cell>
        </row>
        <row r="1854">
          <cell r="F1854" t="str">
            <v>Kabel NYY 3 x 16 mm²</v>
          </cell>
          <cell r="G1854" t="str">
            <v>m'</v>
          </cell>
          <cell r="H1854">
            <v>114000</v>
          </cell>
        </row>
        <row r="1855">
          <cell r="F1855" t="str">
            <v>Kabel NYY 3 x 2,5 mm²</v>
          </cell>
          <cell r="G1855" t="str">
            <v>m'</v>
          </cell>
          <cell r="H1855">
            <v>21500</v>
          </cell>
        </row>
        <row r="1856">
          <cell r="F1856" t="str">
            <v>Kabel NYY 3 x 25 mm²</v>
          </cell>
          <cell r="G1856" t="str">
            <v>m'</v>
          </cell>
          <cell r="H1856">
            <v>174900</v>
          </cell>
        </row>
        <row r="1857">
          <cell r="F1857" t="str">
            <v>Kabel NYY 3 x 35 mm²</v>
          </cell>
          <cell r="G1857" t="str">
            <v>m'</v>
          </cell>
          <cell r="H1857">
            <v>235500</v>
          </cell>
        </row>
        <row r="1858">
          <cell r="F1858" t="str">
            <v>Kabel NYY 3 x 4 mm²</v>
          </cell>
          <cell r="G1858" t="str">
            <v>m'</v>
          </cell>
          <cell r="H1858">
            <v>33000</v>
          </cell>
        </row>
        <row r="1859">
          <cell r="F1859" t="str">
            <v>Kabel NYY 3 x 50 mm²</v>
          </cell>
          <cell r="G1859" t="str">
            <v>m'</v>
          </cell>
          <cell r="H1859">
            <v>305700</v>
          </cell>
        </row>
        <row r="1860">
          <cell r="F1860" t="str">
            <v>Kabel NYY 3 x 6 mm²</v>
          </cell>
          <cell r="G1860" t="str">
            <v>m'</v>
          </cell>
          <cell r="H1860">
            <v>46000</v>
          </cell>
        </row>
        <row r="1861">
          <cell r="F1861" t="str">
            <v>Kabel NYY 4 x 1,5 mm²</v>
          </cell>
          <cell r="G1861" t="str">
            <v>m'</v>
          </cell>
          <cell r="H1861">
            <v>18600</v>
          </cell>
        </row>
        <row r="1862">
          <cell r="F1862" t="str">
            <v>Kabel NYY 4 x 10 mm²</v>
          </cell>
          <cell r="G1862" t="str">
            <v>m'</v>
          </cell>
          <cell r="H1862">
            <v>96000</v>
          </cell>
        </row>
        <row r="1863">
          <cell r="F1863" t="str">
            <v>Kabel NYY 4 x 120 mm²</v>
          </cell>
          <cell r="G1863" t="str">
            <v>m'</v>
          </cell>
          <cell r="H1863">
            <v>1011900</v>
          </cell>
        </row>
        <row r="1864">
          <cell r="F1864" t="str">
            <v>Kabel NYY 4 x 150 mm²</v>
          </cell>
          <cell r="G1864" t="str">
            <v>m'</v>
          </cell>
          <cell r="H1864">
            <v>1245000</v>
          </cell>
        </row>
        <row r="1865">
          <cell r="F1865" t="str">
            <v>Kabel NYY 4 x 16 mm²</v>
          </cell>
          <cell r="G1865" t="str">
            <v>m'</v>
          </cell>
          <cell r="H1865">
            <v>148500</v>
          </cell>
        </row>
        <row r="1866">
          <cell r="F1866" t="str">
            <v>Kabel NYY 4 x 185 mm²</v>
          </cell>
          <cell r="G1866" t="str">
            <v>m'</v>
          </cell>
          <cell r="H1866">
            <v>1552800</v>
          </cell>
        </row>
        <row r="1867">
          <cell r="F1867" t="str">
            <v>Kabel NYY 4 x 2,5 mm²</v>
          </cell>
          <cell r="G1867" t="str">
            <v>m'</v>
          </cell>
          <cell r="H1867">
            <v>28620</v>
          </cell>
        </row>
        <row r="1868">
          <cell r="F1868" t="str">
            <v>Kabel NYY 4 x 240 mm²</v>
          </cell>
          <cell r="G1868" t="str">
            <v>m'</v>
          </cell>
          <cell r="H1868">
            <v>2044800</v>
          </cell>
        </row>
        <row r="1869">
          <cell r="F1869" t="str">
            <v>Kabel NYY 4 x 25 mm²</v>
          </cell>
          <cell r="G1869" t="str">
            <v>m'</v>
          </cell>
          <cell r="H1869">
            <v>228000</v>
          </cell>
        </row>
        <row r="1870">
          <cell r="F1870" t="str">
            <v>Kabel NYY 4 x 300 mm²</v>
          </cell>
          <cell r="G1870" t="str">
            <v>m'</v>
          </cell>
          <cell r="H1870">
            <v>2550900</v>
          </cell>
        </row>
        <row r="1871">
          <cell r="F1871" t="str">
            <v>Kabel NYY 4 x 35 mm²</v>
          </cell>
          <cell r="G1871" t="str">
            <v>m'</v>
          </cell>
          <cell r="H1871">
            <v>310500</v>
          </cell>
        </row>
        <row r="1872">
          <cell r="F1872" t="str">
            <v>Kabel NYY 4 x 4 mm²</v>
          </cell>
          <cell r="G1872" t="str">
            <v>m'</v>
          </cell>
          <cell r="H1872">
            <v>43000</v>
          </cell>
        </row>
        <row r="1873">
          <cell r="F1873" t="str">
            <v>Kabel NYY 4 x 50 mm²</v>
          </cell>
          <cell r="G1873" t="str">
            <v>m'</v>
          </cell>
          <cell r="H1873">
            <v>412200</v>
          </cell>
        </row>
        <row r="1874">
          <cell r="F1874" t="str">
            <v>Kabel NYY 4 x 6 mm²</v>
          </cell>
          <cell r="G1874" t="str">
            <v>m'</v>
          </cell>
          <cell r="H1874">
            <v>61000</v>
          </cell>
        </row>
        <row r="1875">
          <cell r="F1875" t="str">
            <v>Kabel NYY 4 x 70 mm²</v>
          </cell>
          <cell r="G1875" t="str">
            <v>m'</v>
          </cell>
          <cell r="H1875">
            <v>584700</v>
          </cell>
        </row>
        <row r="1876">
          <cell r="F1876" t="str">
            <v>Kabel NYY 4 x 95 mm²</v>
          </cell>
          <cell r="G1876" t="str">
            <v>m'</v>
          </cell>
          <cell r="H1876">
            <v>805200</v>
          </cell>
        </row>
        <row r="1877">
          <cell r="F1877" t="str">
            <v xml:space="preserve">Kabel STP AWG 18 </v>
          </cell>
          <cell r="G1877" t="str">
            <v>m'</v>
          </cell>
          <cell r="H1877">
            <v>4500</v>
          </cell>
        </row>
        <row r="1878">
          <cell r="F1878" t="str">
            <v>Kabel STP AWG 18 + PVC Conduit HI 20 mm (dari MCFA ke TB) dan aksesoris</v>
          </cell>
          <cell r="H1878">
            <v>10700</v>
          </cell>
        </row>
        <row r="1879">
          <cell r="F1879" t="str">
            <v>Kabel ITC 2x2x0,6 mm2</v>
          </cell>
          <cell r="G1879" t="str">
            <v>m'</v>
          </cell>
          <cell r="H1879">
            <v>3924</v>
          </cell>
        </row>
        <row r="1880">
          <cell r="F1880" t="str">
            <v>Kabel ITC 2 x 2 x 0,6 mm2 + PVC Conduit HI 20 mm dan aksesoris</v>
          </cell>
          <cell r="G1880" t="str">
            <v>m'</v>
          </cell>
          <cell r="H1880">
            <v>13100</v>
          </cell>
        </row>
        <row r="1881">
          <cell r="F1881" t="str">
            <v>Kabel UTP CAT 6</v>
          </cell>
          <cell r="G1881" t="str">
            <v>m'</v>
          </cell>
          <cell r="H1881">
            <v>1500</v>
          </cell>
        </row>
        <row r="1882">
          <cell r="F1882" t="str">
            <v xml:space="preserve">Kabel Coaxial 7C-2V </v>
          </cell>
          <cell r="G1882" t="str">
            <v>m'</v>
          </cell>
          <cell r="H1882">
            <v>22800</v>
          </cell>
        </row>
        <row r="1883">
          <cell r="F1883" t="str">
            <v xml:space="preserve">Kabel Ladder 500 x100 mm </v>
          </cell>
          <cell r="G1883" t="str">
            <v xml:space="preserve">unit </v>
          </cell>
          <cell r="H1883">
            <v>494000</v>
          </cell>
        </row>
        <row r="1884">
          <cell r="F1884" t="str">
            <v xml:space="preserve">Kabel Ladder 600 x100 mm </v>
          </cell>
          <cell r="G1884" t="str">
            <v xml:space="preserve">Unit </v>
          </cell>
          <cell r="H1884">
            <v>535000</v>
          </cell>
        </row>
        <row r="1885">
          <cell r="F1885" t="str">
            <v xml:space="preserve">Kabel Ladder 800 x100 mm </v>
          </cell>
          <cell r="G1885" t="str">
            <v xml:space="preserve">Unit </v>
          </cell>
          <cell r="H1885">
            <v>569000</v>
          </cell>
        </row>
        <row r="1886">
          <cell r="F1886" t="str">
            <v xml:space="preserve">Kabel Tray 600 x 100 mm Hotdip Galvanized </v>
          </cell>
          <cell r="G1886" t="str">
            <v xml:space="preserve">Unit </v>
          </cell>
          <cell r="H1886">
            <v>1639000</v>
          </cell>
        </row>
        <row r="1887">
          <cell r="F1887" t="str">
            <v xml:space="preserve">Kabel Tray 600 x100 mm Elektro Galvanized </v>
          </cell>
          <cell r="G1887" t="str">
            <v>Unit</v>
          </cell>
          <cell r="H1887">
            <v>1255500</v>
          </cell>
        </row>
        <row r="1888">
          <cell r="F1888" t="str">
            <v xml:space="preserve">Kabel Tray 600 x 100 mm Powder Coating </v>
          </cell>
          <cell r="G1888" t="str">
            <v xml:space="preserve">Unit </v>
          </cell>
          <cell r="H1888">
            <v>890000</v>
          </cell>
        </row>
        <row r="1889">
          <cell r="F1889" t="str">
            <v>Kabel Tray (Horizontal) 1000 x 100 mm TRU Powder Coating dan aksesoris</v>
          </cell>
          <cell r="G1889" t="str">
            <v>Unit</v>
          </cell>
          <cell r="H1889">
            <v>650000</v>
          </cell>
        </row>
        <row r="1890">
          <cell r="F1890" t="str">
            <v>Kabel Tray (Horizontal) 1000 x 100 mm TRU Hot Dip Galvanized dan aksesoris</v>
          </cell>
          <cell r="G1890" t="str">
            <v>unit</v>
          </cell>
          <cell r="H1890">
            <v>670000</v>
          </cell>
        </row>
        <row r="1891">
          <cell r="F1891" t="str">
            <v>Kabel Tray (Horizontal) 1000 x 100 mm TRU OCP dan aksesoris</v>
          </cell>
          <cell r="G1891" t="str">
            <v>Unit</v>
          </cell>
          <cell r="H1891">
            <v>710000</v>
          </cell>
        </row>
        <row r="1892">
          <cell r="F1892" t="str">
            <v>Kabel Tray (Horizontal) 1000 x 100 mm TRC Powder Coating dan aksesoris</v>
          </cell>
          <cell r="G1892" t="str">
            <v xml:space="preserve">Unit </v>
          </cell>
          <cell r="H1892">
            <v>750000</v>
          </cell>
        </row>
        <row r="1893">
          <cell r="F1893" t="str">
            <v>Kabel Tray (Horizontal) 1000 x 100 mm TRC Hot Dip Galvanized dan aksesoris</v>
          </cell>
          <cell r="G1893" t="str">
            <v xml:space="preserve">Unit </v>
          </cell>
          <cell r="H1893">
            <v>670000</v>
          </cell>
        </row>
        <row r="1894">
          <cell r="F1894" t="str">
            <v>Kabel Tray (Horizontal) 1000 x 100 mm TRC OCP dan aksesoris</v>
          </cell>
          <cell r="G1894" t="str">
            <v xml:space="preserve">Unit </v>
          </cell>
          <cell r="H1894">
            <v>710000</v>
          </cell>
        </row>
        <row r="1895">
          <cell r="F1895" t="str">
            <v>Kabel Tray (Horizontal) 900 x 100 mm TRU Powder Coating dan aksesoris</v>
          </cell>
          <cell r="G1895" t="str">
            <v xml:space="preserve">Unit </v>
          </cell>
          <cell r="H1895">
            <v>550000</v>
          </cell>
        </row>
        <row r="1896">
          <cell r="F1896" t="str">
            <v>Kabel Tray
(Horizontal) 900 x
100 mm TRU Hot Dip
Galvanized dan
aksesoris</v>
          </cell>
          <cell r="G1896" t="str">
            <v>Unit</v>
          </cell>
          <cell r="H1896">
            <v>570000</v>
          </cell>
        </row>
        <row r="1897">
          <cell r="F1897" t="str">
            <v>Kabel Tray
(Horizontal) 900 x
100 mm TRU OCP
dan aksesoris</v>
          </cell>
          <cell r="G1897" t="str">
            <v>Unit</v>
          </cell>
          <cell r="H1897">
            <v>590000</v>
          </cell>
        </row>
        <row r="1898">
          <cell r="F1898" t="str">
            <v>Kabel Tray (Horizontal) 900 x 100 mm TRC Powder Coating dan aksesoris</v>
          </cell>
          <cell r="G1898" t="str">
            <v xml:space="preserve">unit </v>
          </cell>
          <cell r="H1898">
            <v>600000</v>
          </cell>
        </row>
        <row r="1899">
          <cell r="F1899" t="str">
            <v>Kabel Tray (Horizontal) 900 x 100 mm TRC Hot Dip Galvanized dan aksesoris</v>
          </cell>
          <cell r="G1899" t="str">
            <v>Unit</v>
          </cell>
          <cell r="H1899">
            <v>630000</v>
          </cell>
        </row>
        <row r="1900">
          <cell r="F1900" t="str">
            <v>Kabel Tray
(Horizontal) 900 x
100 mm TRC OCP
dan aksesoris</v>
          </cell>
          <cell r="G1900" t="str">
            <v>Unit</v>
          </cell>
          <cell r="H1900">
            <v>650000</v>
          </cell>
        </row>
        <row r="1901">
          <cell r="F1901" t="str">
            <v>Kabel Tray
(Horizontal) 800 x
100 mm TRU Powder
Coating dan aksesoris</v>
          </cell>
          <cell r="G1901" t="str">
            <v>Unit</v>
          </cell>
          <cell r="H1901">
            <v>400000</v>
          </cell>
        </row>
        <row r="1902">
          <cell r="F1902" t="str">
            <v>Kabel Tray
(Horizontal) 800 x
100 mm TRU Hot Dip
Galvanized dan
aksesoris</v>
          </cell>
          <cell r="G1902" t="str">
            <v xml:space="preserve">unit </v>
          </cell>
          <cell r="H1902">
            <v>430000</v>
          </cell>
        </row>
        <row r="1903">
          <cell r="F1903" t="str">
            <v>Kabel Tray
(Horizontal) 800 x
100 mm TRU OCP
dan aksesoris</v>
          </cell>
          <cell r="G1903" t="str">
            <v>Unit</v>
          </cell>
          <cell r="H1903">
            <v>450000</v>
          </cell>
        </row>
        <row r="1904">
          <cell r="F1904" t="str">
            <v>Kabel Tray
(Horizontal) 800 x
100 mm TRC Powder
Coating dan aksesoris</v>
          </cell>
          <cell r="G1904" t="str">
            <v>Unit</v>
          </cell>
          <cell r="H1904">
            <v>470000</v>
          </cell>
        </row>
        <row r="1905">
          <cell r="F1905" t="str">
            <v>Kabel Tray
(Horizontal) 800 x
100 mm TRC Hot Dip
Galvanized dan
aksesoris</v>
          </cell>
          <cell r="G1905" t="str">
            <v>Unit</v>
          </cell>
          <cell r="H1905">
            <v>490000</v>
          </cell>
        </row>
        <row r="1906">
          <cell r="F1906" t="str">
            <v>Kabel Tray (Horizontal) 800 x 100 mm TRC OCP dan aksesoris</v>
          </cell>
          <cell r="G1906" t="str">
            <v xml:space="preserve">unit </v>
          </cell>
          <cell r="H1906">
            <v>510000</v>
          </cell>
        </row>
        <row r="1907">
          <cell r="F1907" t="str">
            <v>Kabel Tray (Horizontal) 700 x 100 mm TRU Powder Coating dan aksesoris</v>
          </cell>
          <cell r="G1907" t="str">
            <v>Unit</v>
          </cell>
          <cell r="H1907">
            <v>350000</v>
          </cell>
        </row>
        <row r="1908">
          <cell r="F1908" t="str">
            <v>Kabel Tray (Horizontal) 700 x 100 mm TRU Hot Dip Galvanized dan aksesoris</v>
          </cell>
          <cell r="G1908" t="str">
            <v>Unit</v>
          </cell>
          <cell r="H1908">
            <v>370000</v>
          </cell>
        </row>
        <row r="1909">
          <cell r="F1909" t="str">
            <v>Kabel Tray (Horizontal) 700 x 100 mm TRU OCP dan aksesoris</v>
          </cell>
          <cell r="G1909" t="str">
            <v>Unit</v>
          </cell>
          <cell r="H1909">
            <v>390000</v>
          </cell>
        </row>
        <row r="1910">
          <cell r="F1910" t="str">
            <v>Kabel Tray (Horizontal) 700 x 100 mm TRC Powder Coating dan aksesoris</v>
          </cell>
          <cell r="G1910" t="str">
            <v xml:space="preserve">unit </v>
          </cell>
          <cell r="H1910">
            <v>410000</v>
          </cell>
        </row>
        <row r="1911">
          <cell r="F1911" t="str">
            <v>Kabel Tray (Horizontal) 700 x 100 mm TRC Hot Dip Galvanized dan aksesoris</v>
          </cell>
          <cell r="G1911" t="str">
            <v>Unit</v>
          </cell>
          <cell r="H1911">
            <v>430000</v>
          </cell>
        </row>
        <row r="1912">
          <cell r="F1912" t="str">
            <v>Kabel Tray (Horizontal) 700 x 100 mm TRC</v>
          </cell>
          <cell r="G1912" t="str">
            <v>Unit</v>
          </cell>
          <cell r="H1912">
            <v>450000</v>
          </cell>
        </row>
        <row r="1913">
          <cell r="F1913" t="str">
            <v>Kabel Tray (Horizontal) 600 x 100 mm TRU Hot Dip Galvanized dan aksesoris</v>
          </cell>
          <cell r="G1913" t="str">
            <v>Unit</v>
          </cell>
          <cell r="H1913">
            <v>470000</v>
          </cell>
        </row>
        <row r="1914">
          <cell r="F1914" t="str">
            <v>(Horizontal) 600 x 100 mm TRC Hot Dip Galvanized dan aksesoris</v>
          </cell>
          <cell r="G1914" t="str">
            <v xml:space="preserve">Unit </v>
          </cell>
          <cell r="H1914">
            <v>350000</v>
          </cell>
        </row>
        <row r="1915">
          <cell r="F1915" t="str">
            <v>Pemasangan 1 Unit Kabel Tray (Horizontal) 600 x 100 mm TRC OCP</v>
          </cell>
          <cell r="G1915" t="str">
            <v>Unit</v>
          </cell>
          <cell r="H1915">
            <v>370000</v>
          </cell>
        </row>
        <row r="1916">
          <cell r="F1916" t="str">
            <v>Kabel Tray (Horizontal) 500 x 100 mm TRU Hot Dip Galvanized dan aksesoris</v>
          </cell>
          <cell r="G1916" t="str">
            <v xml:space="preserve">Unit </v>
          </cell>
          <cell r="H1916">
            <v>385000</v>
          </cell>
        </row>
        <row r="1917">
          <cell r="F1917" t="str">
            <v>Kabel Tray (Horizontal) 500 x 100 mm TRU OCP dan aksesoris</v>
          </cell>
          <cell r="G1917" t="str">
            <v>Unit</v>
          </cell>
          <cell r="H1917">
            <v>395000</v>
          </cell>
        </row>
        <row r="1918">
          <cell r="F1918" t="str">
            <v>Kabel Tray (Horizontal) 500 x 100 mm TRC Powder Coating dan aksesoris</v>
          </cell>
          <cell r="G1918" t="str">
            <v xml:space="preserve">Unit </v>
          </cell>
          <cell r="H1918">
            <v>415000</v>
          </cell>
        </row>
        <row r="1919">
          <cell r="F1919" t="str">
            <v>Kabel Tray (Horizontal) 500 x 100 mm TRC Hot Dip Galvanized dan aksesoris</v>
          </cell>
          <cell r="G1919" t="str">
            <v>Unit</v>
          </cell>
          <cell r="H1919">
            <v>430000</v>
          </cell>
        </row>
        <row r="1920">
          <cell r="F1920" t="str">
            <v>Kabel Tray (Horizontal) 500 x 100 mm TRC OCP dan aksesoris</v>
          </cell>
          <cell r="G1920" t="str">
            <v xml:space="preserve">Unit </v>
          </cell>
          <cell r="H1920">
            <v>445000</v>
          </cell>
        </row>
        <row r="1921">
          <cell r="F1921" t="str">
            <v>Kabel Tray (Horizontal) 400 x 100 mm TRU Hot Dip Galvanized dan aksesoris</v>
          </cell>
          <cell r="G1921" t="str">
            <v>Unit</v>
          </cell>
          <cell r="H1921">
            <v>350000</v>
          </cell>
        </row>
        <row r="1922">
          <cell r="F1922" t="str">
            <v>Kabel Tray (Horizontal) 400 x 100 mm TRU OCP dan aksesoris</v>
          </cell>
          <cell r="G1922" t="str">
            <v xml:space="preserve">Unit </v>
          </cell>
          <cell r="H1922">
            <v>365000</v>
          </cell>
        </row>
        <row r="1923">
          <cell r="F1923" t="str">
            <v>Kabel Tray (Horizontal) 400 x 100 mm TRC Powder Coating dan aksesoris</v>
          </cell>
          <cell r="G1923" t="str">
            <v>Unit</v>
          </cell>
          <cell r="H1923">
            <v>380000</v>
          </cell>
        </row>
        <row r="1924">
          <cell r="F1924" t="str">
            <v>Kabel Tray (Horizontal) 400 x 100 mm TRC Hot Dip Galvanized dan aksesoris</v>
          </cell>
          <cell r="G1924" t="str">
            <v xml:space="preserve">Unit </v>
          </cell>
          <cell r="H1924">
            <v>395000</v>
          </cell>
        </row>
        <row r="1925">
          <cell r="F1925" t="str">
            <v>Kabel Tray (Horizontal) 400 x 100 mm TRC OCP dan aksesoris</v>
          </cell>
          <cell r="G1925" t="str">
            <v>Unit</v>
          </cell>
          <cell r="H1925">
            <v>410000</v>
          </cell>
        </row>
        <row r="1926">
          <cell r="F1926" t="str">
            <v>Kabel Tray (Horizontal) 300 x 100 mm TRU Hot Dip Galvanized dan aksesoris</v>
          </cell>
          <cell r="G1926" t="str">
            <v xml:space="preserve">Unit </v>
          </cell>
          <cell r="H1926">
            <v>300000</v>
          </cell>
        </row>
        <row r="1927">
          <cell r="F1927" t="str">
            <v>Kabel Tray (Horizontal) 300 x 100 mm TRU OCP dan aksesoris</v>
          </cell>
          <cell r="G1927" t="str">
            <v>Unit</v>
          </cell>
          <cell r="H1927">
            <v>320000</v>
          </cell>
        </row>
        <row r="1928">
          <cell r="F1928" t="str">
            <v>Kabel Tray (Horizontal) 300 x 100 mm TRC Powder Coating dan aksesoris</v>
          </cell>
          <cell r="G1928" t="str">
            <v xml:space="preserve">Unit </v>
          </cell>
          <cell r="H1928">
            <v>340000</v>
          </cell>
        </row>
        <row r="1929">
          <cell r="F1929" t="str">
            <v>Kabel Tray (Horizontal) 300 x 100 mm TRC Hot Dip Galvanized dan aksesoris</v>
          </cell>
          <cell r="G1929" t="str">
            <v>Unit</v>
          </cell>
          <cell r="H1929">
            <v>360000</v>
          </cell>
        </row>
        <row r="1930">
          <cell r="F1930" t="str">
            <v>Kabel Tray (Horizontal) 300 x 100 mm TRC OCP dan aksesoris</v>
          </cell>
          <cell r="G1930" t="str">
            <v xml:space="preserve">Unit </v>
          </cell>
          <cell r="H1930">
            <v>380000</v>
          </cell>
        </row>
        <row r="1931">
          <cell r="F1931" t="str">
            <v>Kabel Tray (Horizontal) 200 x 100 mm TRU Hot Dip Galvanized dan aksesoris</v>
          </cell>
          <cell r="G1931" t="str">
            <v>Unit</v>
          </cell>
          <cell r="H1931">
            <v>400000</v>
          </cell>
        </row>
        <row r="1932">
          <cell r="F1932" t="str">
            <v>Kabel Tray (Horizontal) 200 x 100 mm TRU OCP dan aksesoris</v>
          </cell>
          <cell r="G1932" t="str">
            <v xml:space="preserve">Unit </v>
          </cell>
          <cell r="H1932">
            <v>250000</v>
          </cell>
        </row>
        <row r="1933">
          <cell r="F1933" t="str">
            <v>Kabel Tray (Horizontal) 200 x 100 mm TRC Powder Coating dan aksesoris</v>
          </cell>
          <cell r="G1933" t="str">
            <v>Unit</v>
          </cell>
          <cell r="H1933">
            <v>270000</v>
          </cell>
        </row>
        <row r="1934">
          <cell r="F1934" t="str">
            <v>Kabel Tray (Horizontal) 200 x 100 mm TRC Hot Dip Galvanized dan aksesoris</v>
          </cell>
          <cell r="G1934" t="str">
            <v xml:space="preserve">Unit </v>
          </cell>
          <cell r="H1934">
            <v>280000</v>
          </cell>
        </row>
        <row r="1935">
          <cell r="F1935" t="str">
            <v>Kabel Tray (Horizontal) 200 x 100 mm TRC OCP dan aksesoris</v>
          </cell>
          <cell r="G1935" t="str">
            <v>Unit</v>
          </cell>
          <cell r="H1935">
            <v>300000</v>
          </cell>
        </row>
        <row r="1936">
          <cell r="F1936" t="str">
            <v>Kabel Tray (Horizontal) 150 x 100 mm TRU Powder Coating dan aksesoris</v>
          </cell>
          <cell r="G1936" t="str">
            <v xml:space="preserve">Unit </v>
          </cell>
          <cell r="H1936">
            <v>250000</v>
          </cell>
        </row>
        <row r="1937">
          <cell r="F1937" t="str">
            <v>Kabel Tray (Horizontal) 150 x 100 mm TRU Hot Dip Galvanized dan aksesoris</v>
          </cell>
          <cell r="G1937" t="str">
            <v>Unit</v>
          </cell>
          <cell r="H1937">
            <v>260000</v>
          </cell>
        </row>
        <row r="1938">
          <cell r="F1938" t="str">
            <v>Kabel Tray (Horizontal) 150 x 100 mm TRU OCP dan aksesoris</v>
          </cell>
          <cell r="G1938" t="str">
            <v xml:space="preserve">Unit </v>
          </cell>
          <cell r="H1938">
            <v>280000</v>
          </cell>
        </row>
        <row r="1939">
          <cell r="F1939" t="str">
            <v>Kabel Tray (Horizontal) 150 x 100 mm TRC Powder Coating dan aksesoris</v>
          </cell>
          <cell r="G1939" t="str">
            <v>Unit</v>
          </cell>
          <cell r="H1939">
            <v>300000</v>
          </cell>
        </row>
        <row r="1940">
          <cell r="F1940" t="str">
            <v>Kabel Tray (Horizontal) 150 x 100 mm TRC Hot Dip Galvanized dan aksesoris</v>
          </cell>
          <cell r="G1940" t="str">
            <v xml:space="preserve">Unit </v>
          </cell>
          <cell r="H1940">
            <v>320000</v>
          </cell>
        </row>
        <row r="1941">
          <cell r="F1941" t="str">
            <v>Kabel Tray (Horizontal) 150 x 100 mm TRC OCP dan aksesoris</v>
          </cell>
          <cell r="G1941" t="str">
            <v>Unit</v>
          </cell>
          <cell r="H1941">
            <v>350000</v>
          </cell>
        </row>
        <row r="1942">
          <cell r="F1942" t="str">
            <v>Kabel Tray (Vertikal) 1000 x 100 mm TRU Powder Coating dan aksesoris</v>
          </cell>
          <cell r="G1942" t="str">
            <v xml:space="preserve">Unit </v>
          </cell>
          <cell r="H1942">
            <v>350000</v>
          </cell>
        </row>
        <row r="1943">
          <cell r="F1943" t="str">
            <v>Kabel Tray (Vertikal) 1000 x 100 mm TRU Hot Dip Galvanized dan aksesoris</v>
          </cell>
          <cell r="G1943" t="str">
            <v>Unit</v>
          </cell>
          <cell r="H1943">
            <v>370000</v>
          </cell>
        </row>
        <row r="1944">
          <cell r="F1944" t="str">
            <v>Kabel Tray (Vertikal) 1000 x 100 mm TRU OCP dan aksesoris</v>
          </cell>
          <cell r="G1944" t="str">
            <v xml:space="preserve">Unit </v>
          </cell>
          <cell r="H1944">
            <v>390000</v>
          </cell>
        </row>
        <row r="1945">
          <cell r="F1945" t="str">
            <v>Kabel Tray (Vertikal) 1000 x 100 mm TRC Powder Coating dan aksesoris</v>
          </cell>
          <cell r="G1945" t="str">
            <v>Unit</v>
          </cell>
          <cell r="H1945">
            <v>400000</v>
          </cell>
        </row>
        <row r="1946">
          <cell r="F1946" t="str">
            <v>Kabel Tray (Vertikal) 1000 x 100 mm TRC Hot Dip Galvanized dan aksesoris</v>
          </cell>
          <cell r="G1946" t="str">
            <v xml:space="preserve">Unit </v>
          </cell>
          <cell r="H1946">
            <v>410000</v>
          </cell>
        </row>
        <row r="1947">
          <cell r="F1947" t="str">
            <v>Kabel Tray (Vertikal) 1000 x 100 mm TRC OCP dan aksesoris</v>
          </cell>
          <cell r="G1947" t="str">
            <v>Unit</v>
          </cell>
          <cell r="H1947">
            <v>420000</v>
          </cell>
        </row>
        <row r="1948">
          <cell r="F1948" t="str">
            <v>Kabel Tray (Vertikal) 900 x 100 mm TRU Powder Coating dan aksesoris</v>
          </cell>
          <cell r="G1948" t="str">
            <v>Unit</v>
          </cell>
          <cell r="H1948">
            <v>340000</v>
          </cell>
        </row>
        <row r="1949">
          <cell r="F1949" t="str">
            <v>Kabel Tray (Vertikal) 900 x 100 mm TRU Hot Dip Galvanized dan aksesoris</v>
          </cell>
          <cell r="G1949" t="str">
            <v xml:space="preserve">Unit </v>
          </cell>
          <cell r="H1949">
            <v>350000</v>
          </cell>
        </row>
        <row r="1950">
          <cell r="F1950" t="str">
            <v>Kabel Tray (Vertikal) 900 x 100 mm TRU OCP dan aksesoris</v>
          </cell>
          <cell r="G1950" t="str">
            <v>Unit</v>
          </cell>
          <cell r="H1950">
            <v>360000</v>
          </cell>
        </row>
        <row r="1951">
          <cell r="F1951" t="str">
            <v>Kabel Tray (Vertikal) 900 x 100 mm TRC Powder Coating dan aksesoris</v>
          </cell>
          <cell r="G1951" t="str">
            <v>Unit</v>
          </cell>
          <cell r="H1951">
            <v>370000</v>
          </cell>
        </row>
        <row r="1952">
          <cell r="F1952" t="str">
            <v>Kabel Tray (Vertikal) 900 x 100 mm TRC Hot Dip Galvanized dan aksesoris</v>
          </cell>
          <cell r="G1952" t="str">
            <v xml:space="preserve">Unit </v>
          </cell>
          <cell r="H1952">
            <v>380000</v>
          </cell>
        </row>
        <row r="1953">
          <cell r="F1953" t="str">
            <v>Kabel Tray (Vertikal) 900 x 100 mm TRC OCP dan aksesoris</v>
          </cell>
          <cell r="G1953" t="str">
            <v>Unit</v>
          </cell>
          <cell r="H1953">
            <v>390000</v>
          </cell>
        </row>
        <row r="1954">
          <cell r="F1954" t="str">
            <v>Kabel Tray (Vertikal) 800 x 100 mm TRU Powder Coating dan aksesoris</v>
          </cell>
          <cell r="G1954" t="str">
            <v>Unit</v>
          </cell>
          <cell r="H1954">
            <v>350000</v>
          </cell>
        </row>
        <row r="1955">
          <cell r="F1955" t="str">
            <v>Kabel Tray (Vertikal) 800 x 100 mm TRU Hot Dip Galvanized dan aksesoris</v>
          </cell>
          <cell r="G1955" t="str">
            <v xml:space="preserve">Unit </v>
          </cell>
          <cell r="H1955">
            <v>360000</v>
          </cell>
        </row>
        <row r="1956">
          <cell r="F1956" t="str">
            <v>Kabel Tray (Vertikal) 800 x 100 mm TRU OCP dan aksesoris</v>
          </cell>
          <cell r="G1956" t="str">
            <v>Unit</v>
          </cell>
          <cell r="H1956">
            <v>370000</v>
          </cell>
        </row>
        <row r="1957">
          <cell r="F1957" t="str">
            <v>Kabel Tray (Vertikal) 800 x 100 mm TRC Powder Coating dan aksesoris</v>
          </cell>
          <cell r="G1957" t="str">
            <v>Unit</v>
          </cell>
          <cell r="H1957">
            <v>380000</v>
          </cell>
        </row>
        <row r="1958">
          <cell r="F1958" t="str">
            <v>Kabel Tray (Vertikal) 800 x 100 mm TRC Hot Dip Galvanized dan aksesoris</v>
          </cell>
          <cell r="G1958" t="str">
            <v xml:space="preserve">Unit </v>
          </cell>
          <cell r="H1958">
            <v>390000</v>
          </cell>
        </row>
        <row r="1959">
          <cell r="F1959" t="str">
            <v>Kabel Tray (Vertikal) 800 x 100 mm TRC OCP dan aksesoris</v>
          </cell>
          <cell r="G1959" t="str">
            <v>Unit</v>
          </cell>
          <cell r="H1959">
            <v>400000</v>
          </cell>
        </row>
        <row r="1960">
          <cell r="F1960" t="str">
            <v>Kabel Tray (Vertikal) 700 x 100 mm TRU Powder Coating dan aksesoris</v>
          </cell>
          <cell r="G1960" t="str">
            <v>Unit</v>
          </cell>
          <cell r="H1960">
            <v>340000</v>
          </cell>
        </row>
        <row r="1961">
          <cell r="F1961" t="str">
            <v>Kabel Tray (Vertikal) 700 x 100 mm TRU Hot Dip Galvanized dan aksesoris</v>
          </cell>
          <cell r="G1961" t="str">
            <v xml:space="preserve">Unit </v>
          </cell>
          <cell r="H1961">
            <v>350000</v>
          </cell>
        </row>
        <row r="1962">
          <cell r="F1962" t="str">
            <v>Kabel Tray (Vertikal) 700 x 100 mm TRU OCP dan aksesoris</v>
          </cell>
          <cell r="G1962" t="str">
            <v>Unit</v>
          </cell>
          <cell r="H1962">
            <v>360000</v>
          </cell>
        </row>
        <row r="1963">
          <cell r="F1963" t="str">
            <v>Kabel Tray (Vertikal) 700 x 100 mm TRC Powder Coating dan aksesoris</v>
          </cell>
          <cell r="G1963" t="str">
            <v>Unit</v>
          </cell>
          <cell r="H1963">
            <v>370000</v>
          </cell>
        </row>
        <row r="1964">
          <cell r="F1964" t="str">
            <v>Kabel Tray (Vertikal) 700 x 100 mm TRC Hot Dip Galvanized dan aksesoris</v>
          </cell>
          <cell r="G1964" t="str">
            <v xml:space="preserve">Unit </v>
          </cell>
          <cell r="H1964">
            <v>380000</v>
          </cell>
        </row>
        <row r="1965">
          <cell r="F1965" t="str">
            <v>Kabel Tray (Vertikal) 700 x 100 mm TRC OCP dan aksesoris</v>
          </cell>
          <cell r="G1965" t="str">
            <v>Unit</v>
          </cell>
          <cell r="H1965">
            <v>390000</v>
          </cell>
        </row>
        <row r="1966">
          <cell r="F1966" t="str">
            <v>Kabel Tray (Vertikal) 600 x 100 mm TRU Hot Dip Galvanized dan aksesoris</v>
          </cell>
          <cell r="G1966" t="str">
            <v>Unit</v>
          </cell>
          <cell r="H1966">
            <v>340000</v>
          </cell>
        </row>
        <row r="1967">
          <cell r="F1967" t="str">
            <v>Kabel Tray (Vertikal) 600 x 100 mm TRU OCP dan aksesoris</v>
          </cell>
          <cell r="G1967" t="str">
            <v xml:space="preserve">Unit </v>
          </cell>
          <cell r="H1967">
            <v>350000</v>
          </cell>
        </row>
        <row r="1968">
          <cell r="F1968" t="str">
            <v>Kabel Tray (Vertikal)
600 x 100 mm TRC
Powder Coating dan
aksesoris</v>
          </cell>
          <cell r="G1968" t="str">
            <v xml:space="preserve">Unit </v>
          </cell>
          <cell r="H1968">
            <v>360000</v>
          </cell>
        </row>
        <row r="1969">
          <cell r="F1969" t="str">
            <v>Kabel Tray (Vertikal)
600 x 100 mm TRC
Hot Dip Galvanized
dan aksesoris</v>
          </cell>
          <cell r="G1969" t="str">
            <v>Unit</v>
          </cell>
          <cell r="H1969">
            <v>370000</v>
          </cell>
        </row>
        <row r="1970">
          <cell r="F1970" t="str">
            <v>Kabel Tray (Vertikal)
600 x 100 mm TRC
OCP dan aksesoris</v>
          </cell>
          <cell r="G1970" t="str">
            <v xml:space="preserve">Unit </v>
          </cell>
          <cell r="H1970">
            <v>390000</v>
          </cell>
        </row>
        <row r="1971">
          <cell r="F1971" t="str">
            <v>Kabel Tray (Vertikal)
500 x 100 mm TRU
Hot Dip Galvanized
dan aksesoris</v>
          </cell>
          <cell r="G1971" t="str">
            <v>Unit</v>
          </cell>
          <cell r="H1971">
            <v>340000</v>
          </cell>
        </row>
        <row r="1972">
          <cell r="F1972" t="str">
            <v>Kabel Tray (Vertikal)
500 x 100 mm TRU
OCP dan aksesoris</v>
          </cell>
          <cell r="G1972" t="str">
            <v xml:space="preserve">Unit </v>
          </cell>
          <cell r="H1972">
            <v>350000</v>
          </cell>
        </row>
        <row r="1973">
          <cell r="F1973" t="str">
            <v>Kabel Tray (Vertikal)
500 x 100 mm TRC
Powder Coating dan
aksesoris</v>
          </cell>
          <cell r="G1973" t="str">
            <v>Unit</v>
          </cell>
          <cell r="H1973">
            <v>360000</v>
          </cell>
        </row>
        <row r="1974">
          <cell r="F1974" t="str">
            <v>Kabel Tray (Vertikal)
500 x 100 mm TRC
Hot Dip Galvanized
dan aksesoris</v>
          </cell>
          <cell r="G1974" t="str">
            <v xml:space="preserve">Unit </v>
          </cell>
          <cell r="H1974">
            <v>370000</v>
          </cell>
        </row>
        <row r="1975">
          <cell r="F1975" t="str">
            <v>Kabel Tray (Vertikal)
500 x 100 mm TRC
OCP dan aksesoris</v>
          </cell>
          <cell r="G1975" t="str">
            <v>Unit</v>
          </cell>
          <cell r="H1975">
            <v>380000</v>
          </cell>
        </row>
        <row r="1976">
          <cell r="F1976" t="str">
            <v>Kabel Tray (Vertikal)
400 x 100 mm TRU
Hot Dip Galvanized
dan aksesoris</v>
          </cell>
          <cell r="G1976" t="str">
            <v xml:space="preserve">Unit </v>
          </cell>
          <cell r="H1976">
            <v>340000</v>
          </cell>
        </row>
        <row r="1977">
          <cell r="F1977" t="str">
            <v>Kabel Tray (Vertikal)
400 x 100 mm TRU
OCP dan aksesoris</v>
          </cell>
          <cell r="G1977" t="str">
            <v>Unit</v>
          </cell>
          <cell r="H1977">
            <v>350000</v>
          </cell>
        </row>
        <row r="1978">
          <cell r="F1978" t="str">
            <v>Kabel Tray (Vertikal)
400 x 100 mm TRC
Powder Coating dan
aksesoris</v>
          </cell>
          <cell r="G1978" t="str">
            <v xml:space="preserve">Unit </v>
          </cell>
          <cell r="H1978">
            <v>360000</v>
          </cell>
        </row>
        <row r="1979">
          <cell r="F1979" t="str">
            <v>Kabel Tray (Vertikal)
400 x 100 mm TRC
Hot Dip Galvanized
dan aksesoris</v>
          </cell>
          <cell r="G1979" t="str">
            <v>Unit</v>
          </cell>
          <cell r="H1979">
            <v>370000</v>
          </cell>
        </row>
        <row r="1980">
          <cell r="F1980" t="str">
            <v>Kabel Tray (Vertikal)
400 x 100 mm TRC
OCP dan aksesoris</v>
          </cell>
          <cell r="G1980" t="str">
            <v xml:space="preserve">Unit </v>
          </cell>
          <cell r="H1980">
            <v>380000</v>
          </cell>
        </row>
        <row r="1981">
          <cell r="F1981" t="str">
            <v>Kabel Tray (Vertikal)
300 x 100 mm TRU
Hot Dip Galvanized
dan aksesoris</v>
          </cell>
          <cell r="G1981" t="str">
            <v>Unit</v>
          </cell>
          <cell r="H1981">
            <v>340000</v>
          </cell>
        </row>
        <row r="1982">
          <cell r="F1982" t="str">
            <v>Kabel Tray (Vertikal)
300 x 100 mm TRU
OCP dan aksesoris</v>
          </cell>
          <cell r="G1982" t="str">
            <v xml:space="preserve">Unit </v>
          </cell>
          <cell r="H1982">
            <v>350000</v>
          </cell>
        </row>
        <row r="1983">
          <cell r="F1983" t="str">
            <v>Kabel Tray (Vertikal)
300 x 100 mm TRC
Powder Coating dan
aksesoris</v>
          </cell>
          <cell r="G1983" t="str">
            <v>Unit</v>
          </cell>
          <cell r="H1983">
            <v>360000</v>
          </cell>
        </row>
        <row r="1984">
          <cell r="F1984" t="str">
            <v>Kabel Tray (Vertikal)
300 x 100 mm TRC
Hot Dip Galvanized
dan aksesoris</v>
          </cell>
          <cell r="G1984" t="str">
            <v xml:space="preserve">Unit </v>
          </cell>
          <cell r="H1984">
            <v>370000</v>
          </cell>
        </row>
        <row r="1985">
          <cell r="F1985" t="str">
            <v>Kabel Tray (Vertikal)
300 x 100 mm TRC
OCP dan aksesoris</v>
          </cell>
          <cell r="G1985" t="str">
            <v>Unit</v>
          </cell>
          <cell r="H1985">
            <v>380000</v>
          </cell>
        </row>
        <row r="1986">
          <cell r="F1986" t="str">
            <v>Kabel Tray (Vertikal)
200 x 100 mm TRU
Hot Dip Galvanized
dan aksesoris</v>
          </cell>
          <cell r="G1986" t="str">
            <v xml:space="preserve">Unit </v>
          </cell>
          <cell r="H1986">
            <v>330000</v>
          </cell>
        </row>
        <row r="1987">
          <cell r="F1987" t="str">
            <v>Kabel Tray (Vertikal)
200 x 100 mm TRU
OCP dan aksesoris</v>
          </cell>
          <cell r="G1987" t="str">
            <v>Unit</v>
          </cell>
          <cell r="H1987">
            <v>340000</v>
          </cell>
        </row>
        <row r="1988">
          <cell r="F1988" t="str">
            <v>Kabel Tray (Vertikal)
200 x 100 mm TRC
Powder Coating dan
aksesoris</v>
          </cell>
          <cell r="G1988" t="str">
            <v xml:space="preserve">Unit </v>
          </cell>
          <cell r="H1988">
            <v>350000</v>
          </cell>
        </row>
        <row r="1989">
          <cell r="F1989" t="str">
            <v>Kabel Tray (Vertikal)
200 x 100 mm TRC
Hot Dip Galvanized
dan aksesoris</v>
          </cell>
          <cell r="G1989" t="str">
            <v>Unit</v>
          </cell>
          <cell r="H1989">
            <v>360000</v>
          </cell>
        </row>
        <row r="1990">
          <cell r="F1990" t="str">
            <v>Kabel Tray (Vertikal)
200 x 100 mm TRC
OCP dan aksesoris</v>
          </cell>
          <cell r="G1990" t="str">
            <v xml:space="preserve">Unit </v>
          </cell>
          <cell r="H1990">
            <v>370000</v>
          </cell>
        </row>
        <row r="1991">
          <cell r="F1991" t="str">
            <v>Kabel Tray (Vertikal)
150 x 100 mm TRU
Powder Coating dan
aksesoris</v>
          </cell>
          <cell r="G1991" t="str">
            <v>Unit</v>
          </cell>
          <cell r="H1991">
            <v>330000</v>
          </cell>
        </row>
        <row r="1992">
          <cell r="F1992" t="str">
            <v>Kabel Tray (Vertikal)
150 x 100 mm TRU
Hot Dip Galvanized
dan aksesoris</v>
          </cell>
          <cell r="G1992" t="str">
            <v xml:space="preserve">Unit </v>
          </cell>
          <cell r="H1992">
            <v>340000</v>
          </cell>
        </row>
        <row r="1993">
          <cell r="F1993" t="str">
            <v>Kabel Tray (Vertikal)
150 x 100 mm TRU
OCP dan aksesoris</v>
          </cell>
          <cell r="G1993" t="str">
            <v>Unit</v>
          </cell>
          <cell r="H1993">
            <v>350000</v>
          </cell>
        </row>
        <row r="1994">
          <cell r="F1994" t="str">
            <v>Kabel Tray (Vertikal)
150 x 100 mm TRC
Powder Coating dan
aksesoris</v>
          </cell>
          <cell r="G1994" t="str">
            <v xml:space="preserve">Unit </v>
          </cell>
          <cell r="H1994">
            <v>360000</v>
          </cell>
        </row>
        <row r="1995">
          <cell r="F1995" t="str">
            <v>Kabel Tray (Vertikal)
150 x 100 mm TRC
Hot Dip Galvanized
dan aksesoris</v>
          </cell>
          <cell r="G1995" t="str">
            <v>Unit</v>
          </cell>
          <cell r="H1995">
            <v>370000</v>
          </cell>
        </row>
        <row r="1996">
          <cell r="F1996" t="str">
            <v>Kabel Tray (Vertikal)
150 x 100 mm TRC
OCP dan aksesoris</v>
          </cell>
          <cell r="G1996" t="str">
            <v xml:space="preserve">Unit </v>
          </cell>
          <cell r="H1996">
            <v>380000</v>
          </cell>
        </row>
        <row r="1997">
          <cell r="F1997" t="str">
            <v>Kabel tray 200 x 100 mm</v>
          </cell>
          <cell r="G1997" t="str">
            <v>m'</v>
          </cell>
          <cell r="H1997">
            <v>175000</v>
          </cell>
        </row>
        <row r="1998">
          <cell r="F1998" t="str">
            <v>Kabel tray 300 x 100 mm</v>
          </cell>
          <cell r="G1998" t="str">
            <v>m'</v>
          </cell>
          <cell r="H1998">
            <v>219000</v>
          </cell>
        </row>
        <row r="1999">
          <cell r="F1999" t="str">
            <v>Kabel tray 400 x 100 mm</v>
          </cell>
          <cell r="G1999" t="str">
            <v>m'</v>
          </cell>
          <cell r="H1999">
            <v>265000</v>
          </cell>
        </row>
        <row r="2000">
          <cell r="F2000" t="str">
            <v>Kabel tray 500 x 100 mm</v>
          </cell>
          <cell r="G2000" t="str">
            <v>m'</v>
          </cell>
          <cell r="H2000">
            <v>309000</v>
          </cell>
        </row>
        <row r="2001">
          <cell r="F2001" t="str">
            <v>Kabel tray 600 x 100 mm</v>
          </cell>
          <cell r="G2001" t="str">
            <v>m'</v>
          </cell>
          <cell r="H2001">
            <v>352000</v>
          </cell>
        </row>
        <row r="2002">
          <cell r="F2002" t="str">
            <v>Klem kabel tray</v>
          </cell>
          <cell r="G2002" t="str">
            <v>buah</v>
          </cell>
          <cell r="H2002">
            <v>6000</v>
          </cell>
        </row>
        <row r="2003">
          <cell r="F2003" t="str">
            <v>Klem 20 mm</v>
          </cell>
          <cell r="G2003" t="str">
            <v xml:space="preserve">buah </v>
          </cell>
          <cell r="H2003">
            <v>900</v>
          </cell>
        </row>
        <row r="2004">
          <cell r="F2004" t="str">
            <v>Mur baut kabel tray</v>
          </cell>
          <cell r="G2004" t="str">
            <v>buah</v>
          </cell>
          <cell r="H2004">
            <v>1000</v>
          </cell>
        </row>
        <row r="2005">
          <cell r="F2005" t="str">
            <v>PVC conduit HI 20 mm²</v>
          </cell>
          <cell r="G2005" t="str">
            <v>m'</v>
          </cell>
          <cell r="H2005">
            <v>4100</v>
          </cell>
        </row>
        <row r="2006">
          <cell r="F2006" t="str">
            <v>Flexible Conduit 20 mm</v>
          </cell>
          <cell r="G2006" t="str">
            <v>m</v>
          </cell>
          <cell r="H2006">
            <v>5400</v>
          </cell>
        </row>
        <row r="2007">
          <cell r="F2007" t="str">
            <v>PVC conduit HI 32 mm²</v>
          </cell>
          <cell r="G2007" t="str">
            <v>m1</v>
          </cell>
          <cell r="H2007">
            <v>20000</v>
          </cell>
        </row>
        <row r="2008">
          <cell r="F2008" t="str">
            <v xml:space="preserve">Conduit HI 20 mm </v>
          </cell>
          <cell r="G2008" t="str">
            <v>m</v>
          </cell>
          <cell r="H2008">
            <v>4000</v>
          </cell>
        </row>
        <row r="2009">
          <cell r="F2009" t="str">
            <v xml:space="preserve">Saklar Tunggal </v>
          </cell>
          <cell r="G2009" t="str">
            <v xml:space="preserve">buah </v>
          </cell>
          <cell r="H2009">
            <v>24000</v>
          </cell>
        </row>
        <row r="2010">
          <cell r="F2010" t="str">
            <v xml:space="preserve">Saklar Ganda </v>
          </cell>
          <cell r="G2010" t="str">
            <v xml:space="preserve">Buah </v>
          </cell>
          <cell r="H2010">
            <v>33000</v>
          </cell>
        </row>
        <row r="2011">
          <cell r="F2011" t="str">
            <v xml:space="preserve">Saklar Triple </v>
          </cell>
          <cell r="G2011" t="str">
            <v xml:space="preserve">Buag </v>
          </cell>
          <cell r="H2011">
            <v>76000</v>
          </cell>
        </row>
        <row r="2012">
          <cell r="F2012" t="str">
            <v xml:space="preserve">Grid Switch </v>
          </cell>
          <cell r="G2012" t="str">
            <v xml:space="preserve">Buah </v>
          </cell>
          <cell r="H2012">
            <v>108000</v>
          </cell>
        </row>
        <row r="2013">
          <cell r="F2013" t="str">
            <v xml:space="preserve">Grid Switch 4 x 2 Gang </v>
          </cell>
          <cell r="G2013" t="str">
            <v xml:space="preserve">buah </v>
          </cell>
          <cell r="H2013">
            <v>180000</v>
          </cell>
        </row>
        <row r="2014">
          <cell r="F2014" t="str">
            <v xml:space="preserve">Stop Kontak </v>
          </cell>
          <cell r="G2014" t="str">
            <v xml:space="preserve">Buah </v>
          </cell>
          <cell r="H2014">
            <v>70000</v>
          </cell>
        </row>
        <row r="2015">
          <cell r="F2015" t="str">
            <v>Stop Kontak AC</v>
          </cell>
          <cell r="G2015" t="str">
            <v xml:space="preserve">buah </v>
          </cell>
          <cell r="H2015">
            <v>67900</v>
          </cell>
        </row>
        <row r="2016">
          <cell r="F2016" t="str">
            <v xml:space="preserve">T Dus </v>
          </cell>
          <cell r="G2016" t="str">
            <v xml:space="preserve">buah </v>
          </cell>
          <cell r="H2016">
            <v>4000</v>
          </cell>
        </row>
        <row r="2017">
          <cell r="F2017" t="str">
            <v>Socket Conduit 20 mm</v>
          </cell>
          <cell r="G2017" t="str">
            <v xml:space="preserve">buah </v>
          </cell>
          <cell r="H2017">
            <v>700</v>
          </cell>
        </row>
        <row r="2018">
          <cell r="F2018" t="str">
            <v xml:space="preserve">Klem 20 mm </v>
          </cell>
          <cell r="G2018" t="str">
            <v xml:space="preserve">buah </v>
          </cell>
          <cell r="H2018">
            <v>298</v>
          </cell>
        </row>
        <row r="2019">
          <cell r="F2019" t="str">
            <v xml:space="preserve">Isolasi </v>
          </cell>
          <cell r="G2019" t="str">
            <v>m</v>
          </cell>
          <cell r="H2019">
            <v>416</v>
          </cell>
        </row>
        <row r="2020">
          <cell r="F2020" t="str">
            <v xml:space="preserve">lasdop </v>
          </cell>
          <cell r="G2020" t="str">
            <v xml:space="preserve">buah </v>
          </cell>
          <cell r="H2020">
            <v>580</v>
          </cell>
        </row>
        <row r="2021">
          <cell r="F2021" t="str">
            <v xml:space="preserve">Elbow </v>
          </cell>
          <cell r="G2021" t="str">
            <v xml:space="preserve">buah </v>
          </cell>
          <cell r="H2021">
            <v>550</v>
          </cell>
        </row>
        <row r="2022">
          <cell r="F2022" t="str">
            <v xml:space="preserve">Fischer S6 + Sekrup </v>
          </cell>
          <cell r="G2022" t="str">
            <v xml:space="preserve">buah </v>
          </cell>
          <cell r="H2022">
            <v>21.5</v>
          </cell>
        </row>
        <row r="2023">
          <cell r="F2023" t="str">
            <v xml:space="preserve">kWh meter Token 1 Phase </v>
          </cell>
          <cell r="G2023" t="str">
            <v xml:space="preserve">unit </v>
          </cell>
          <cell r="H2023">
            <v>534000</v>
          </cell>
        </row>
        <row r="2024">
          <cell r="F2024" t="str">
            <v xml:space="preserve">kWh meter Token 3 Phase </v>
          </cell>
          <cell r="G2024" t="str">
            <v xml:space="preserve">unit </v>
          </cell>
          <cell r="H2024">
            <v>3150000</v>
          </cell>
        </row>
        <row r="2025">
          <cell r="F2025" t="str">
            <v xml:space="preserve">Software sistem kwh meter swakelola prabayar </v>
          </cell>
          <cell r="G2025" t="str">
            <v xml:space="preserve">buah </v>
          </cell>
          <cell r="H2025">
            <v>2000000</v>
          </cell>
        </row>
        <row r="2026">
          <cell r="F2026" t="str">
            <v xml:space="preserve">PC Server </v>
          </cell>
          <cell r="G2026" t="str">
            <v xml:space="preserve">buah </v>
          </cell>
          <cell r="H2026">
            <v>33900000</v>
          </cell>
        </row>
        <row r="2027">
          <cell r="F2027" t="str">
            <v>Panel Utama Tegangan Menengah</v>
          </cell>
          <cell r="G2027" t="str">
            <v xml:space="preserve">unit </v>
          </cell>
          <cell r="H2027">
            <v>3100000</v>
          </cell>
        </row>
        <row r="2028">
          <cell r="F2028" t="str">
            <v>Panel Utama Tegangan Rendah</v>
          </cell>
          <cell r="G2028" t="str">
            <v xml:space="preserve">unit </v>
          </cell>
          <cell r="H2028">
            <v>1500000</v>
          </cell>
        </row>
        <row r="2029">
          <cell r="F2029" t="str">
            <v>MDP Floor Standing</v>
          </cell>
          <cell r="G2029" t="str">
            <v xml:space="preserve">unit </v>
          </cell>
          <cell r="H2029">
            <v>4500000</v>
          </cell>
        </row>
        <row r="2030">
          <cell r="F2030" t="str">
            <v xml:space="preserve">MDP Wall Mounted </v>
          </cell>
          <cell r="G2030" t="str">
            <v xml:space="preserve">Unit </v>
          </cell>
          <cell r="H2030">
            <v>4900000</v>
          </cell>
        </row>
        <row r="2031">
          <cell r="F2031" t="str">
            <v xml:space="preserve">SDP Floor Standing </v>
          </cell>
          <cell r="G2031" t="str">
            <v>unit</v>
          </cell>
          <cell r="H2031">
            <v>3500000</v>
          </cell>
        </row>
        <row r="2032">
          <cell r="F2032" t="str">
            <v xml:space="preserve">SDP Wall  Mounted </v>
          </cell>
          <cell r="G2032" t="str">
            <v>unit</v>
          </cell>
          <cell r="H2032">
            <v>3300000</v>
          </cell>
        </row>
        <row r="2033">
          <cell r="F2033" t="str">
            <v>Panel Lantai Wall Mounted 800x600x200</v>
          </cell>
          <cell r="G2033" t="str">
            <v xml:space="preserve">Unit </v>
          </cell>
          <cell r="H2033">
            <v>3200000</v>
          </cell>
        </row>
        <row r="2034">
          <cell r="F2034" t="str">
            <v>Panel Lantai Wall Mounted 600x 400 x200</v>
          </cell>
          <cell r="G2034" t="str">
            <v>unit</v>
          </cell>
          <cell r="H2034">
            <v>3000000</v>
          </cell>
        </row>
        <row r="2035">
          <cell r="F2035" t="str">
            <v xml:space="preserve">Panel kWh Meter </v>
          </cell>
          <cell r="G2035" t="str">
            <v>unit</v>
          </cell>
          <cell r="H2035">
            <v>2500000</v>
          </cell>
        </row>
        <row r="2036">
          <cell r="F2036" t="str">
            <v xml:space="preserve">Panel Penerang Luar Outdoor termasuk material batu </v>
          </cell>
          <cell r="G2036" t="str">
            <v>Unit</v>
          </cell>
          <cell r="H2036">
            <v>3500000</v>
          </cell>
        </row>
        <row r="2037">
          <cell r="F2037" t="str">
            <v>Panel Kontrol Pompa</v>
          </cell>
          <cell r="G2037" t="str">
            <v>unit</v>
          </cell>
          <cell r="H2037">
            <v>5500000</v>
          </cell>
        </row>
        <row r="2038">
          <cell r="F2038" t="str">
            <v>Panel Power Gondola termasuk material bantu</v>
          </cell>
          <cell r="G2038" t="str">
            <v xml:space="preserve">unit </v>
          </cell>
          <cell r="H2038">
            <v>5700000</v>
          </cell>
        </row>
        <row r="2039">
          <cell r="F2039" t="str">
            <v>Panel Power Elektronik termasuk material bantu</v>
          </cell>
          <cell r="G2039" t="str">
            <v>unit</v>
          </cell>
          <cell r="H2039">
            <v>3500000</v>
          </cell>
        </row>
        <row r="2040">
          <cell r="F2040" t="str">
            <v xml:space="preserve">Panel Power AHU termasuk material bantu </v>
          </cell>
          <cell r="G2040" t="str">
            <v xml:space="preserve">unit </v>
          </cell>
          <cell r="H2040">
            <v>4900000</v>
          </cell>
        </row>
        <row r="2041">
          <cell r="F2041" t="str">
            <v xml:space="preserve">Panel Power AC termasuk material bantu </v>
          </cell>
          <cell r="G2041" t="str">
            <v xml:space="preserve">unit </v>
          </cell>
          <cell r="H2041">
            <v>1700000</v>
          </cell>
        </row>
        <row r="2042">
          <cell r="F2042" t="str">
            <v xml:space="preserve">Panel Power Chiller termasuk material bantu </v>
          </cell>
          <cell r="G2042" t="str">
            <v xml:space="preserve">unit </v>
          </cell>
          <cell r="H2042">
            <v>2300000</v>
          </cell>
        </row>
        <row r="2043">
          <cell r="F2043" t="str">
            <v>Panel Kontrol Power Chiller termasuk material bantu</v>
          </cell>
          <cell r="G2043" t="str">
            <v xml:space="preserve">unit </v>
          </cell>
          <cell r="H2043">
            <v>2500000</v>
          </cell>
        </row>
        <row r="2044">
          <cell r="F2044" t="str">
            <v xml:space="preserve">Panel Kontrol Power Cooling Tower termasuk material bantu </v>
          </cell>
          <cell r="G2044" t="str">
            <v xml:space="preserve">unit </v>
          </cell>
          <cell r="H2044">
            <v>1900000</v>
          </cell>
        </row>
        <row r="2045">
          <cell r="F2045" t="str">
            <v>Panel Kontrol Fan Presurisasi termasuk material bantu</v>
          </cell>
          <cell r="G2045" t="str">
            <v xml:space="preserve">unit </v>
          </cell>
          <cell r="H2045">
            <v>2100000</v>
          </cell>
        </row>
        <row r="2046">
          <cell r="F2046" t="str">
            <v xml:space="preserve">MCB Box </v>
          </cell>
          <cell r="G2046" t="str">
            <v xml:space="preserve">unit </v>
          </cell>
          <cell r="H2046">
            <v>450000</v>
          </cell>
        </row>
        <row r="2047">
          <cell r="F2047" t="str">
            <v xml:space="preserve">Genset Kap : 75kVA Silent Type dan aksesoris </v>
          </cell>
          <cell r="G2047" t="str">
            <v>unit</v>
          </cell>
          <cell r="H2047">
            <v>75000000</v>
          </cell>
        </row>
        <row r="2048">
          <cell r="F2048" t="str">
            <v xml:space="preserve">Genset Kap : 100 kVA Silent Type dan aksesoris </v>
          </cell>
          <cell r="G2048" t="str">
            <v xml:space="preserve">unit </v>
          </cell>
          <cell r="H2048">
            <v>79000000</v>
          </cell>
        </row>
        <row r="2049">
          <cell r="F2049" t="str">
            <v xml:space="preserve">Genset Kap : 400 kVA Silent Type dan aksesoris </v>
          </cell>
          <cell r="G2049" t="str">
            <v xml:space="preserve">unit </v>
          </cell>
          <cell r="H2049">
            <v>85000000</v>
          </cell>
        </row>
        <row r="2050">
          <cell r="F2050" t="str">
            <v xml:space="preserve">UPS 5 KVA </v>
          </cell>
          <cell r="G2050" t="str">
            <v xml:space="preserve">unit </v>
          </cell>
          <cell r="H2050">
            <v>18000000</v>
          </cell>
        </row>
        <row r="2051">
          <cell r="F2051" t="str">
            <v xml:space="preserve">Tangki Solar Harian 500 liter </v>
          </cell>
          <cell r="G2051" t="str">
            <v xml:space="preserve">unit </v>
          </cell>
          <cell r="H2051">
            <v>4000000</v>
          </cell>
        </row>
        <row r="2052">
          <cell r="F2052" t="str">
            <v>Hand Pump Solar
dan aksesoris</v>
          </cell>
          <cell r="G2052" t="str">
            <v xml:space="preserve">Buah </v>
          </cell>
          <cell r="H2052">
            <v>4000000</v>
          </cell>
        </row>
        <row r="2053">
          <cell r="F2053" t="str">
            <v>Trafo Kap : 630 Kva : Synthetic Oil Ester</v>
          </cell>
          <cell r="G2053" t="str">
            <v>unit</v>
          </cell>
          <cell r="H2053">
            <v>17000000</v>
          </cell>
        </row>
        <row r="2054">
          <cell r="F2054" t="str">
            <v>Downlight 5 Inch 14, 5 Watt LED + Aksesoris</v>
          </cell>
          <cell r="G2054" t="str">
            <v xml:space="preserve">buah </v>
          </cell>
          <cell r="H2054">
            <v>82000</v>
          </cell>
        </row>
        <row r="2055">
          <cell r="F2055" t="str">
            <v xml:space="preserve">Lampu LED E27 10 watt + Aksesoris </v>
          </cell>
          <cell r="G2055" t="str">
            <v xml:space="preserve">buah </v>
          </cell>
          <cell r="H2055">
            <v>22000</v>
          </cell>
        </row>
        <row r="2056">
          <cell r="F2056" t="str">
            <v xml:space="preserve">Fitting E27 + Aksesoris </v>
          </cell>
          <cell r="G2056" t="str">
            <v xml:space="preserve">buah </v>
          </cell>
          <cell r="H2056">
            <v>5200</v>
          </cell>
        </row>
        <row r="2057">
          <cell r="F2057" t="str">
            <v xml:space="preserve">Nicad Battery </v>
          </cell>
          <cell r="G2057" t="str">
            <v>buah</v>
          </cell>
          <cell r="H2057">
            <v>110000</v>
          </cell>
        </row>
        <row r="2058">
          <cell r="F2058" t="str">
            <v>Lampu LED E27 19 watt</v>
          </cell>
          <cell r="G2058" t="str">
            <v xml:space="preserve">buah </v>
          </cell>
          <cell r="H2058">
            <v>70500</v>
          </cell>
        </row>
        <row r="2059">
          <cell r="F2059" t="str">
            <v>RM TKI 2 x 16 Watt LED</v>
          </cell>
          <cell r="G2059" t="str">
            <v>unit</v>
          </cell>
          <cell r="H2059">
            <v>265000</v>
          </cell>
        </row>
        <row r="2060">
          <cell r="F2060" t="str">
            <v>Lampu Sorot LED 100 Watt</v>
          </cell>
          <cell r="G2060" t="str">
            <v xml:space="preserve">unit </v>
          </cell>
          <cell r="H2060">
            <v>125000</v>
          </cell>
        </row>
        <row r="2061">
          <cell r="F2061" t="str">
            <v xml:space="preserve">Lampu Sorot RGB 30 Watt untuk Outdoor </v>
          </cell>
          <cell r="G2061" t="str">
            <v xml:space="preserve">unit </v>
          </cell>
          <cell r="H2061">
            <v>34000</v>
          </cell>
        </row>
        <row r="2062">
          <cell r="F2062" t="str">
            <v xml:space="preserve">Pelindung Lampu </v>
          </cell>
          <cell r="G2062" t="str">
            <v xml:space="preserve">unit </v>
          </cell>
          <cell r="H2062">
            <v>18000</v>
          </cell>
        </row>
        <row r="2063">
          <cell r="F2063" t="str">
            <v xml:space="preserve">Lampu High Bay 100 Watt </v>
          </cell>
          <cell r="G2063" t="str">
            <v xml:space="preserve">unit </v>
          </cell>
          <cell r="H2063">
            <v>1620000</v>
          </cell>
        </row>
        <row r="2064">
          <cell r="F2064" t="str">
            <v xml:space="preserve">Lampu Eksit LED 3 Watt c/w Battery </v>
          </cell>
          <cell r="G2064" t="str">
            <v xml:space="preserve">buah </v>
          </cell>
          <cell r="H2064">
            <v>148000</v>
          </cell>
        </row>
        <row r="2065">
          <cell r="F2065" t="str">
            <v xml:space="preserve">Lampu TLED 1  x 14 Watt 2.100 Lumen </v>
          </cell>
          <cell r="G2065" t="str">
            <v>buah</v>
          </cell>
          <cell r="H2065">
            <v>65000</v>
          </cell>
        </row>
        <row r="2066">
          <cell r="F2066" t="str">
            <v>Lampu TLED 1 x 24 Watt 2.100 Lumen</v>
          </cell>
          <cell r="G2066" t="str">
            <v xml:space="preserve">buah </v>
          </cell>
          <cell r="H2066">
            <v>72000</v>
          </cell>
        </row>
        <row r="2067">
          <cell r="F2067" t="str">
            <v>Lampu TLED 2 x 24 Watt 2.100 Lumen</v>
          </cell>
          <cell r="G2067" t="str">
            <v xml:space="preserve">buah </v>
          </cell>
          <cell r="H2067">
            <v>144000</v>
          </cell>
        </row>
        <row r="2068">
          <cell r="F2068" t="str">
            <v xml:space="preserve">Lampu PJU LED 50 Watt </v>
          </cell>
          <cell r="G2068" t="str">
            <v xml:space="preserve">buah </v>
          </cell>
          <cell r="H2068">
            <v>495000</v>
          </cell>
        </row>
        <row r="2069">
          <cell r="F2069" t="str">
            <v>Tiang PJU Kawasan 6-7 m</v>
          </cell>
          <cell r="G2069" t="str">
            <v xml:space="preserve">buah </v>
          </cell>
          <cell r="H2069">
            <v>2000000</v>
          </cell>
        </row>
        <row r="2070">
          <cell r="F2070" t="str">
            <v>Lampu PJU LED 50 Watt + Solar Cell</v>
          </cell>
          <cell r="G2070" t="str">
            <v xml:space="preserve">buah </v>
          </cell>
          <cell r="H2070">
            <v>700000</v>
          </cell>
        </row>
        <row r="2071">
          <cell r="F2071" t="str">
            <v>Lampu Taman 25 Watt +Tiang 1 m</v>
          </cell>
          <cell r="G2071" t="str">
            <v xml:space="preserve">buah </v>
          </cell>
          <cell r="H2071">
            <v>155000</v>
          </cell>
        </row>
        <row r="2072">
          <cell r="F2072" t="str">
            <v>Fitting</v>
          </cell>
          <cell r="G2072" t="str">
            <v xml:space="preserve">buah </v>
          </cell>
          <cell r="H2072">
            <v>16000</v>
          </cell>
        </row>
        <row r="2073">
          <cell r="F2073" t="str">
            <v xml:space="preserve">Lampu LED 7 Watt </v>
          </cell>
          <cell r="G2073" t="str">
            <v xml:space="preserve">buah </v>
          </cell>
          <cell r="H2073">
            <v>27000</v>
          </cell>
        </row>
        <row r="2074">
          <cell r="F2074" t="str">
            <v xml:space="preserve">Lampu LED 9 Watt </v>
          </cell>
          <cell r="G2074" t="str">
            <v xml:space="preserve">buah </v>
          </cell>
          <cell r="H2074">
            <v>34000</v>
          </cell>
        </row>
        <row r="2075">
          <cell r="F2075" t="str">
            <v>Lampu Baret 20 Watt</v>
          </cell>
          <cell r="G2075" t="str">
            <v xml:space="preserve">buah </v>
          </cell>
          <cell r="H2075">
            <v>77000</v>
          </cell>
        </row>
        <row r="2076">
          <cell r="F2076" t="str">
            <v>Lampu Baret 32 Watt</v>
          </cell>
          <cell r="H2076">
            <v>97000</v>
          </cell>
        </row>
        <row r="2077">
          <cell r="F2077" t="str">
            <v xml:space="preserve">Lampu Pijar 40 Watt </v>
          </cell>
          <cell r="H2077">
            <v>28000</v>
          </cell>
        </row>
        <row r="2078">
          <cell r="F2078" t="str">
            <v xml:space="preserve">Lampu TL 18 Watt </v>
          </cell>
          <cell r="H2078">
            <v>20000</v>
          </cell>
        </row>
        <row r="2079">
          <cell r="F2079" t="str">
            <v xml:space="preserve">Lampu TLED 18 Watt </v>
          </cell>
          <cell r="H2079">
            <v>30000</v>
          </cell>
        </row>
        <row r="2080">
          <cell r="F2080" t="str">
            <v>Lampu TL  36 Watt</v>
          </cell>
          <cell r="H2080">
            <v>25000</v>
          </cell>
        </row>
        <row r="2081">
          <cell r="F2081" t="str">
            <v>Lampu TLED  36 Watt</v>
          </cell>
          <cell r="H2081">
            <v>75000</v>
          </cell>
        </row>
        <row r="2082">
          <cell r="F2082" t="str">
            <v xml:space="preserve">Lampu Sport Floodlight Led </v>
          </cell>
          <cell r="G2082" t="str">
            <v xml:space="preserve">buah </v>
          </cell>
          <cell r="H2082">
            <v>375000</v>
          </cell>
        </row>
        <row r="2083">
          <cell r="F2083" t="str">
            <v xml:space="preserve">Brackket </v>
          </cell>
          <cell r="G2083" t="str">
            <v xml:space="preserve">buah </v>
          </cell>
          <cell r="H2083">
            <v>11500</v>
          </cell>
        </row>
        <row r="2084">
          <cell r="F2084" t="str">
            <v xml:space="preserve">Junction Box IP Rated </v>
          </cell>
          <cell r="G2084" t="str">
            <v xml:space="preserve">buah </v>
          </cell>
          <cell r="H2084">
            <v>142000</v>
          </cell>
        </row>
        <row r="2085">
          <cell r="F2085" t="str">
            <v xml:space="preserve">Kabel Fiber Optic Dual Core Single Mode </v>
          </cell>
          <cell r="G2085" t="str">
            <v>m'</v>
          </cell>
          <cell r="H2085">
            <v>11300</v>
          </cell>
        </row>
        <row r="2086">
          <cell r="F2086" t="str">
            <v>Pipa HDPE Conduit 20 mm</v>
          </cell>
          <cell r="G2086" t="str">
            <v>m'</v>
          </cell>
          <cell r="H2086">
            <v>3800</v>
          </cell>
        </row>
        <row r="2087">
          <cell r="F2087" t="str">
            <v>DMX LED Controller 1 Universe</v>
          </cell>
          <cell r="G2087" t="str">
            <v xml:space="preserve">buah </v>
          </cell>
          <cell r="H2087">
            <v>1400000</v>
          </cell>
        </row>
        <row r="2088">
          <cell r="F2088" t="str">
            <v xml:space="preserve">Sensor Cahaya </v>
          </cell>
          <cell r="G2088" t="str">
            <v xml:space="preserve">buah </v>
          </cell>
          <cell r="H2088">
            <v>58000</v>
          </cell>
        </row>
        <row r="2089">
          <cell r="F2089" t="str">
            <v xml:space="preserve">Sensor Gerak </v>
          </cell>
          <cell r="G2089" t="str">
            <v xml:space="preserve">buah </v>
          </cell>
          <cell r="H2089">
            <v>65900</v>
          </cell>
        </row>
        <row r="2090">
          <cell r="F2090" t="str">
            <v>MCP-FA (Semi Addressable 1 Loop)</v>
          </cell>
          <cell r="G2090" t="str">
            <v>unit</v>
          </cell>
          <cell r="H2090">
            <v>26250000</v>
          </cell>
        </row>
        <row r="2091">
          <cell r="F2091" t="str">
            <v>Programming, Testing &amp; commisioning</v>
          </cell>
          <cell r="G2091" t="str">
            <v xml:space="preserve">lot </v>
          </cell>
          <cell r="H2091">
            <v>3500000</v>
          </cell>
        </row>
        <row r="2092">
          <cell r="F2092" t="str">
            <v xml:space="preserve">PC Komputer </v>
          </cell>
          <cell r="G2092" t="str">
            <v xml:space="preserve">Unit </v>
          </cell>
          <cell r="H2092">
            <v>3500000</v>
          </cell>
        </row>
        <row r="2093">
          <cell r="F2093" t="str">
            <v xml:space="preserve">Alarm Printer </v>
          </cell>
          <cell r="G2093" t="str">
            <v>unit</v>
          </cell>
          <cell r="H2093">
            <v>2500000</v>
          </cell>
        </row>
        <row r="2094">
          <cell r="F2094" t="str">
            <v>Report Printer</v>
          </cell>
          <cell r="G2094" t="str">
            <v>unit</v>
          </cell>
          <cell r="H2094">
            <v>1900000</v>
          </cell>
        </row>
        <row r="2095">
          <cell r="F2095" t="str">
            <v>Announciator</v>
          </cell>
          <cell r="G2095" t="str">
            <v>unit</v>
          </cell>
          <cell r="H2095">
            <v>2100000</v>
          </cell>
        </row>
        <row r="2096">
          <cell r="F2096" t="str">
            <v xml:space="preserve">Terminal Box Fire Alarm </v>
          </cell>
          <cell r="G2096" t="str">
            <v xml:space="preserve">unit </v>
          </cell>
          <cell r="H2096">
            <v>265000</v>
          </cell>
        </row>
        <row r="2097">
          <cell r="F2097" t="str">
            <v xml:space="preserve">Smoke Detector Addressable </v>
          </cell>
          <cell r="G2097" t="str">
            <v>Unit</v>
          </cell>
          <cell r="H2097">
            <v>780000</v>
          </cell>
        </row>
        <row r="2098">
          <cell r="F2098" t="str">
            <v xml:space="preserve">Rate of Rise Detector Addressable </v>
          </cell>
          <cell r="G2098" t="str">
            <v xml:space="preserve">unit </v>
          </cell>
          <cell r="H2098">
            <v>343000</v>
          </cell>
        </row>
        <row r="2099">
          <cell r="F2099" t="str">
            <v xml:space="preserve">Fix Heat Detector Addressable </v>
          </cell>
          <cell r="G2099" t="str">
            <v xml:space="preserve">unit </v>
          </cell>
          <cell r="H2099">
            <v>318000</v>
          </cell>
        </row>
        <row r="2100">
          <cell r="F2100" t="str">
            <v xml:space="preserve">Smoke Detector Konvensional </v>
          </cell>
          <cell r="G2100" t="str">
            <v xml:space="preserve">unit </v>
          </cell>
          <cell r="H2100">
            <v>245000</v>
          </cell>
        </row>
        <row r="2101">
          <cell r="F2101" t="str">
            <v>Rate of Rise Detector Konvensional</v>
          </cell>
          <cell r="G2101" t="str">
            <v xml:space="preserve">unit </v>
          </cell>
          <cell r="H2101">
            <v>240000</v>
          </cell>
        </row>
        <row r="2102">
          <cell r="F2102" t="str">
            <v>Fix Heat Detector Konvensioanl</v>
          </cell>
          <cell r="G2102" t="str">
            <v xml:space="preserve">unit </v>
          </cell>
          <cell r="H2102">
            <v>290000</v>
          </cell>
        </row>
        <row r="2103">
          <cell r="F2103" t="str">
            <v xml:space="preserve">Lamp Indicator </v>
          </cell>
          <cell r="G2103" t="str">
            <v xml:space="preserve">unit </v>
          </cell>
          <cell r="H2103">
            <v>57000</v>
          </cell>
        </row>
        <row r="2104">
          <cell r="F2104" t="str">
            <v>Manual Break Glass</v>
          </cell>
          <cell r="G2104" t="str">
            <v xml:space="preserve">unit </v>
          </cell>
          <cell r="H2104">
            <v>60000</v>
          </cell>
        </row>
        <row r="2105">
          <cell r="F2105" t="str">
            <v>Horn Strobe</v>
          </cell>
          <cell r="G2105" t="str">
            <v xml:space="preserve">unit </v>
          </cell>
          <cell r="H2105">
            <v>175000</v>
          </cell>
        </row>
        <row r="2106">
          <cell r="F2106" t="str">
            <v xml:space="preserve">Fire Fighting Telepon </v>
          </cell>
          <cell r="G2106" t="str">
            <v xml:space="preserve">unit </v>
          </cell>
          <cell r="H2106">
            <v>135000</v>
          </cell>
        </row>
        <row r="2107">
          <cell r="F2107" t="str">
            <v>Alarm Bell</v>
          </cell>
          <cell r="G2107" t="str">
            <v xml:space="preserve">unit </v>
          </cell>
          <cell r="H2107">
            <v>85000</v>
          </cell>
        </row>
        <row r="2108">
          <cell r="F2108" t="str">
            <v xml:space="preserve">Sirine Module </v>
          </cell>
          <cell r="G2108" t="str">
            <v>buah</v>
          </cell>
          <cell r="H2108">
            <v>650000</v>
          </cell>
        </row>
        <row r="2109">
          <cell r="F2109" t="str">
            <v>Control Module</v>
          </cell>
          <cell r="G2109" t="str">
            <v>Buah</v>
          </cell>
          <cell r="H2109">
            <v>350000</v>
          </cell>
        </row>
        <row r="2110">
          <cell r="F2110" t="str">
            <v>Relay Module</v>
          </cell>
          <cell r="G2110" t="str">
            <v xml:space="preserve">buah </v>
          </cell>
          <cell r="H2110">
            <v>103500</v>
          </cell>
        </row>
        <row r="2111">
          <cell r="F2111" t="str">
            <v xml:space="preserve">Isolator Module </v>
          </cell>
          <cell r="G2111" t="str">
            <v xml:space="preserve">buah </v>
          </cell>
          <cell r="H2111">
            <v>220000</v>
          </cell>
        </row>
        <row r="2112">
          <cell r="F2112" t="str">
            <v>Monitor Module</v>
          </cell>
          <cell r="G2112" t="str">
            <v>buah</v>
          </cell>
          <cell r="H2112">
            <v>200000</v>
          </cell>
        </row>
        <row r="2113">
          <cell r="F2113" t="str">
            <v>Rectifier</v>
          </cell>
          <cell r="G2113" t="str">
            <v>unit</v>
          </cell>
          <cell r="H2113">
            <v>3500000</v>
          </cell>
        </row>
        <row r="2114">
          <cell r="F2114" t="str">
            <v>Power Surge Arrester</v>
          </cell>
          <cell r="G2114" t="str">
            <v>unit</v>
          </cell>
          <cell r="H2114">
            <v>1279000</v>
          </cell>
        </row>
        <row r="2115">
          <cell r="F2115" t="str">
            <v xml:space="preserve">UPS 2 KVA 15 Menit </v>
          </cell>
          <cell r="G2115" t="str">
            <v>unit</v>
          </cell>
          <cell r="H2115">
            <v>3800000</v>
          </cell>
        </row>
        <row r="2116">
          <cell r="F2116" t="str">
            <v>UPS 2 KVA 30 Menit</v>
          </cell>
          <cell r="G2116" t="str">
            <v>unit</v>
          </cell>
          <cell r="H2116">
            <v>4100000</v>
          </cell>
        </row>
        <row r="2117">
          <cell r="F2117" t="str">
            <v>UPS 2 KVA 1 Jam</v>
          </cell>
          <cell r="G2117" t="str">
            <v>unit</v>
          </cell>
          <cell r="H2117">
            <v>4900000</v>
          </cell>
        </row>
        <row r="2118">
          <cell r="F2118" t="str">
            <v>UPS 2 KVA 2 Jam</v>
          </cell>
          <cell r="G2118" t="str">
            <v>unit</v>
          </cell>
          <cell r="H2118">
            <v>5200000</v>
          </cell>
        </row>
        <row r="2119">
          <cell r="F2119" t="str">
            <v>UPS 2 KVA 4 Jam</v>
          </cell>
          <cell r="G2119" t="str">
            <v>unit</v>
          </cell>
          <cell r="H2119">
            <v>5700000</v>
          </cell>
        </row>
        <row r="2120">
          <cell r="F2120" t="str">
            <v xml:space="preserve">End of Line Resistor </v>
          </cell>
          <cell r="G2120" t="str">
            <v>unit</v>
          </cell>
          <cell r="H2120">
            <v>20000</v>
          </cell>
        </row>
        <row r="2121">
          <cell r="F2121" t="str">
            <v>Patch Panel UTP Cat 6 4 Port</v>
          </cell>
          <cell r="G2121" t="str">
            <v>unit</v>
          </cell>
          <cell r="H2121">
            <v>1540000</v>
          </cell>
        </row>
        <row r="2122">
          <cell r="F2122" t="str">
            <v>Wiring Management</v>
          </cell>
          <cell r="H2122">
            <v>110000</v>
          </cell>
        </row>
        <row r="2123">
          <cell r="F2123" t="str">
            <v>PoE Switch HUB</v>
          </cell>
          <cell r="H2123">
            <v>273000</v>
          </cell>
        </row>
        <row r="2124">
          <cell r="F2124" t="str">
            <v>Network  Video Recorder (NVR) Kapasitas 32 Chanel</v>
          </cell>
          <cell r="H2124">
            <v>5500000</v>
          </cell>
        </row>
        <row r="2125">
          <cell r="F2125" t="str">
            <v xml:space="preserve">8 TB Hardisk </v>
          </cell>
          <cell r="H2125">
            <v>1960000</v>
          </cell>
        </row>
        <row r="2126">
          <cell r="F2126" t="str">
            <v xml:space="preserve">Rak 19" 12 U Lengkap dengan Power Outlet </v>
          </cell>
          <cell r="H2126">
            <v>770000</v>
          </cell>
        </row>
        <row r="2127">
          <cell r="F2127" t="str">
            <v>LCD Monitor 32"</v>
          </cell>
          <cell r="H2127">
            <v>2380000</v>
          </cell>
        </row>
        <row r="2128">
          <cell r="F2128" t="str">
            <v>Bracket Monitor 32"</v>
          </cell>
          <cell r="H2128">
            <v>88500</v>
          </cell>
        </row>
        <row r="2129">
          <cell r="F2129" t="str">
            <v>LCD Monitor 50"</v>
          </cell>
          <cell r="H2129">
            <v>3500000</v>
          </cell>
        </row>
        <row r="2130">
          <cell r="F2130" t="str">
            <v>Bracket Monitor 50"</v>
          </cell>
          <cell r="H2130">
            <v>150000</v>
          </cell>
        </row>
        <row r="2131">
          <cell r="F2131" t="str">
            <v xml:space="preserve">Keyboard + Mouse </v>
          </cell>
          <cell r="H2131">
            <v>350000</v>
          </cell>
        </row>
        <row r="2132">
          <cell r="F2132" t="str">
            <v xml:space="preserve">Indoor Fix Dome IP Camera </v>
          </cell>
          <cell r="H2132">
            <v>465000</v>
          </cell>
        </row>
        <row r="2133">
          <cell r="F2133" t="str">
            <v xml:space="preserve">Outdoor Fix Dome IP Camera </v>
          </cell>
          <cell r="H2133">
            <v>504000</v>
          </cell>
        </row>
        <row r="2134">
          <cell r="F2134" t="str">
            <v>MDF-SS</v>
          </cell>
          <cell r="H2134">
            <v>1450000</v>
          </cell>
        </row>
        <row r="2135">
          <cell r="F2135" t="str">
            <v>Selector Switch c/w Control Panel</v>
          </cell>
          <cell r="H2135">
            <v>850000</v>
          </cell>
        </row>
        <row r="2136">
          <cell r="F2136" t="str">
            <v>Power Amplifier 360 Watt</v>
          </cell>
          <cell r="H2136">
            <v>1500000</v>
          </cell>
        </row>
        <row r="2137">
          <cell r="F2137" t="str">
            <v>Power Amplifier 240 Watt</v>
          </cell>
          <cell r="H2137">
            <v>1200000</v>
          </cell>
        </row>
        <row r="2138">
          <cell r="F2138" t="str">
            <v>Power Amplifier 120 Watt</v>
          </cell>
          <cell r="H2138">
            <v>1000000</v>
          </cell>
        </row>
        <row r="2139">
          <cell r="F2139" t="str">
            <v>System Controller (Mixer Pre Amp + Equalizer)</v>
          </cell>
          <cell r="H2139">
            <v>250000</v>
          </cell>
        </row>
        <row r="2140">
          <cell r="F2140" t="str">
            <v>VCD/DVD/MP3/Mp4</v>
          </cell>
          <cell r="H2140">
            <v>250000</v>
          </cell>
        </row>
        <row r="2141">
          <cell r="F2141" t="str">
            <v>Automatic Alarm System</v>
          </cell>
          <cell r="G2141" t="str">
            <v xml:space="preserve">unit </v>
          </cell>
          <cell r="H2141">
            <v>1000000</v>
          </cell>
        </row>
        <row r="2142">
          <cell r="F2142" t="str">
            <v>Paging Mic Keypad</v>
          </cell>
          <cell r="H2142">
            <v>640000</v>
          </cell>
        </row>
        <row r="2143">
          <cell r="F2143" t="str">
            <v xml:space="preserve">UPS 1 KVA 4 Jam </v>
          </cell>
          <cell r="H2143">
            <v>2475000</v>
          </cell>
        </row>
        <row r="2144">
          <cell r="F2144" t="str">
            <v>Rack Cabinet</v>
          </cell>
          <cell r="H2144">
            <v>670000</v>
          </cell>
        </row>
        <row r="2145">
          <cell r="F2145" t="str">
            <v>Terminal Box Tata Suara (TBTS)</v>
          </cell>
          <cell r="H2145">
            <v>75000</v>
          </cell>
        </row>
        <row r="2146">
          <cell r="F2146" t="str">
            <v>Ceiling Speaker</v>
          </cell>
          <cell r="H2146">
            <v>680000</v>
          </cell>
        </row>
        <row r="2147">
          <cell r="F2147" t="str">
            <v>Wall Speaker</v>
          </cell>
          <cell r="H2147">
            <v>650000</v>
          </cell>
        </row>
        <row r="2148">
          <cell r="F2148" t="str">
            <v>Horn Speaker</v>
          </cell>
          <cell r="H2148">
            <v>250000</v>
          </cell>
        </row>
        <row r="2149">
          <cell r="F2149" t="str">
            <v xml:space="preserve">Tiang </v>
          </cell>
          <cell r="G2149" t="str">
            <v>m'</v>
          </cell>
          <cell r="H2149">
            <v>55500</v>
          </cell>
        </row>
        <row r="2150">
          <cell r="F2150" t="str">
            <v>MDF 2 x 8 Pair</v>
          </cell>
          <cell r="G2150" t="str">
            <v>Unit</v>
          </cell>
          <cell r="H2150">
            <v>125000</v>
          </cell>
        </row>
        <row r="2151">
          <cell r="F2151" t="str">
            <v>MDF 2 x 10 Pair</v>
          </cell>
          <cell r="G2151" t="str">
            <v>Unit</v>
          </cell>
          <cell r="H2151">
            <v>150000</v>
          </cell>
        </row>
        <row r="2152">
          <cell r="F2152" t="str">
            <v xml:space="preserve">Pemasangan 1 Unit PABX Kap: 1 Line 10 Extension </v>
          </cell>
          <cell r="G2152" t="str">
            <v xml:space="preserve">Unit </v>
          </cell>
          <cell r="H2152">
            <v>1000000</v>
          </cell>
        </row>
        <row r="2153">
          <cell r="F2153" t="str">
            <v xml:space="preserve">Pemasangan 1 Unit PABX Kap: 1 Line 8 Extension </v>
          </cell>
          <cell r="G2153" t="str">
            <v xml:space="preserve">Unit </v>
          </cell>
          <cell r="H2153">
            <v>870000</v>
          </cell>
        </row>
        <row r="2154">
          <cell r="F2154" t="str">
            <v>Terminal Box Telepon</v>
          </cell>
          <cell r="H2154">
            <v>250000</v>
          </cell>
        </row>
        <row r="2155">
          <cell r="F2155" t="str">
            <v>Outlet Telepon</v>
          </cell>
          <cell r="G2155" t="str">
            <v xml:space="preserve">unit </v>
          </cell>
          <cell r="H2155">
            <v>102000</v>
          </cell>
        </row>
        <row r="2156">
          <cell r="F2156" t="str">
            <v>Server / Gateway c/w PC, Monitor, Keyboard, Mouse</v>
          </cell>
          <cell r="G2156" t="str">
            <v xml:space="preserve">Unit </v>
          </cell>
          <cell r="H2156">
            <v>6500000</v>
          </cell>
        </row>
        <row r="2157">
          <cell r="F2157" t="str">
            <v>Main Switch HUB 24 Port</v>
          </cell>
          <cell r="G2157" t="str">
            <v>unit</v>
          </cell>
          <cell r="H2157">
            <v>950000</v>
          </cell>
        </row>
        <row r="2158">
          <cell r="F2158" t="str">
            <v>Main Switch HUB 12 Port</v>
          </cell>
          <cell r="G2158" t="str">
            <v>unit</v>
          </cell>
          <cell r="H2158">
            <v>650000</v>
          </cell>
        </row>
        <row r="2159">
          <cell r="F2159" t="str">
            <v>Router Broadband</v>
          </cell>
          <cell r="H2159">
            <v>550000</v>
          </cell>
        </row>
        <row r="2160">
          <cell r="F2160" t="str">
            <v>Fire Wall + Anti Virus</v>
          </cell>
          <cell r="H2160">
            <v>250000</v>
          </cell>
        </row>
        <row r="2161">
          <cell r="F2161" t="str">
            <v>Outlet Data</v>
          </cell>
          <cell r="H2161">
            <v>150000</v>
          </cell>
        </row>
        <row r="2162">
          <cell r="F2162" t="str">
            <v>Patch Cord</v>
          </cell>
          <cell r="H2162">
            <v>30000</v>
          </cell>
        </row>
        <row r="2163">
          <cell r="F2163" t="str">
            <v>Patch Panel 24 Port</v>
          </cell>
          <cell r="H2163">
            <v>500000</v>
          </cell>
        </row>
        <row r="2164">
          <cell r="F2164" t="str">
            <v>Wifi Access Point (Wifi 6 Radius 50 M)</v>
          </cell>
          <cell r="H2164">
            <v>1500000</v>
          </cell>
        </row>
        <row r="2165">
          <cell r="F2165" t="str">
            <v>Switch Hub 8 Port</v>
          </cell>
          <cell r="H2165">
            <v>250000</v>
          </cell>
        </row>
        <row r="2166">
          <cell r="F2166" t="str">
            <v xml:space="preserve">Media Converter </v>
          </cell>
          <cell r="H2166">
            <v>110000</v>
          </cell>
        </row>
        <row r="2167">
          <cell r="F2167" t="str">
            <v xml:space="preserve">OTB </v>
          </cell>
          <cell r="H2167">
            <v>150000</v>
          </cell>
        </row>
        <row r="2168">
          <cell r="F2168" t="str">
            <v>Touch Screen Panel 7"</v>
          </cell>
          <cell r="H2168">
            <v>2300000</v>
          </cell>
        </row>
        <row r="2169">
          <cell r="F2169" t="str">
            <v>Touch Screen Panel 10"</v>
          </cell>
          <cell r="H2169">
            <v>2500000</v>
          </cell>
        </row>
        <row r="2170">
          <cell r="F2170" t="str">
            <v>Touch Screen Panel 12"</v>
          </cell>
          <cell r="H2170">
            <v>2900000</v>
          </cell>
        </row>
        <row r="2171">
          <cell r="F2171" t="str">
            <v>Touch Screen Panel 14"</v>
          </cell>
          <cell r="H2171">
            <v>3200000</v>
          </cell>
        </row>
        <row r="2172">
          <cell r="F2172" t="str">
            <v>Wall Mounted Rack 15U</v>
          </cell>
          <cell r="H2172">
            <v>150000</v>
          </cell>
        </row>
        <row r="2173">
          <cell r="F2173" t="str">
            <v>Workstation, Meja+Kursi</v>
          </cell>
          <cell r="H2173">
            <v>2550000</v>
          </cell>
        </row>
        <row r="2174">
          <cell r="F2174" t="str">
            <v xml:space="preserve">Connector </v>
          </cell>
          <cell r="H2174">
            <v>2550</v>
          </cell>
        </row>
        <row r="2175">
          <cell r="F2175" t="str">
            <v>Splitter TV 6 Port</v>
          </cell>
          <cell r="H2175">
            <v>100000</v>
          </cell>
        </row>
        <row r="2176">
          <cell r="F2176" t="str">
            <v>Splitter TV 7 Port</v>
          </cell>
          <cell r="H2176">
            <v>125000</v>
          </cell>
        </row>
        <row r="2177">
          <cell r="F2177" t="str">
            <v>Terminal Bocx TV</v>
          </cell>
          <cell r="H2177">
            <v>250000</v>
          </cell>
        </row>
        <row r="2178">
          <cell r="F2178" t="str">
            <v>Antena UHF</v>
          </cell>
          <cell r="H2178">
            <v>130000</v>
          </cell>
        </row>
        <row r="2179">
          <cell r="F2179" t="str">
            <v>Antena VHF</v>
          </cell>
          <cell r="H2179">
            <v>150000</v>
          </cell>
        </row>
        <row r="2180">
          <cell r="F2180" t="str">
            <v>AC Wall Mounted Kap : 5.000 BTUH</v>
          </cell>
          <cell r="H2180">
            <v>3200000</v>
          </cell>
        </row>
        <row r="2181">
          <cell r="F2181" t="str">
            <v>AC Wall Mounted Kap : 6.500 BTUH</v>
          </cell>
          <cell r="H2181">
            <v>3800000</v>
          </cell>
        </row>
        <row r="2182">
          <cell r="F2182" t="str">
            <v>AC Wall Mounted Kap : 7.000 BTUH</v>
          </cell>
          <cell r="H2182">
            <v>4200000</v>
          </cell>
        </row>
        <row r="2183">
          <cell r="F2183" t="str">
            <v>AC Wall Mounted Kap : 9.000 BTUH</v>
          </cell>
          <cell r="H2183">
            <v>4500000</v>
          </cell>
        </row>
        <row r="2184">
          <cell r="F2184" t="str">
            <v>AC Wall Mounted Kap : 12.000 BTUH</v>
          </cell>
          <cell r="H2184">
            <v>5300000</v>
          </cell>
        </row>
        <row r="2185">
          <cell r="F2185" t="str">
            <v>AC Wall Mounted Kap : 24.000 BTUH</v>
          </cell>
          <cell r="H2185">
            <v>7600000</v>
          </cell>
        </row>
        <row r="2186">
          <cell r="F2186" t="str">
            <v>AC Wall Mounted Kap : 35.000 BTUH</v>
          </cell>
          <cell r="H2186">
            <v>10000000</v>
          </cell>
        </row>
        <row r="2187">
          <cell r="F2187" t="str">
            <v>Ceiling Fan, 50 CFM</v>
          </cell>
          <cell r="H2187">
            <v>900000</v>
          </cell>
        </row>
        <row r="2188">
          <cell r="F2188" t="str">
            <v>Ceiling Fan, 75 CFM</v>
          </cell>
          <cell r="H2188">
            <v>1200000</v>
          </cell>
        </row>
        <row r="2189">
          <cell r="F2189" t="str">
            <v>Ceiling Fan, 100 CFM</v>
          </cell>
          <cell r="H2189">
            <v>1350000</v>
          </cell>
        </row>
        <row r="2190">
          <cell r="F2190" t="str">
            <v>Ceiling Fan, 200 CFM</v>
          </cell>
          <cell r="H2190">
            <v>1500000</v>
          </cell>
        </row>
        <row r="2191">
          <cell r="F2191" t="str">
            <v>Inline  Fan, 500 CFM</v>
          </cell>
          <cell r="H2191">
            <v>1300000</v>
          </cell>
        </row>
        <row r="2192">
          <cell r="F2192" t="str">
            <v>Inline  Fan, 700 CFM</v>
          </cell>
          <cell r="H2192">
            <v>1700000</v>
          </cell>
        </row>
        <row r="2193">
          <cell r="F2193" t="str">
            <v>Axial Fan ; 2.600 CFM</v>
          </cell>
          <cell r="H2193">
            <v>780000</v>
          </cell>
        </row>
        <row r="2194">
          <cell r="F2194" t="str">
            <v>Axial Fan ; 2.800 CFM</v>
          </cell>
          <cell r="H2194">
            <v>860000</v>
          </cell>
        </row>
        <row r="2195">
          <cell r="F2195" t="str">
            <v>Axial Fan ; 3.200 CFM</v>
          </cell>
          <cell r="H2195">
            <v>995000</v>
          </cell>
        </row>
        <row r="2196">
          <cell r="F2196" t="str">
            <v>Axial Fan ; 3.500 CFM</v>
          </cell>
          <cell r="H2196">
            <v>1020000</v>
          </cell>
        </row>
        <row r="2197">
          <cell r="F2197" t="str">
            <v>Axial Fan ; 4.000 CFM</v>
          </cell>
          <cell r="H2197">
            <v>1350000</v>
          </cell>
        </row>
        <row r="2198">
          <cell r="F2198" t="str">
            <v>Axial Fan ; 5.500 CFM</v>
          </cell>
          <cell r="H2198">
            <v>1700000</v>
          </cell>
        </row>
        <row r="2199">
          <cell r="F2199" t="str">
            <v>Rotary Fan</v>
          </cell>
          <cell r="H2199">
            <v>750000</v>
          </cell>
        </row>
        <row r="2200">
          <cell r="F2200" t="str">
            <v>Ceiling Fan Rotary</v>
          </cell>
          <cell r="H2200">
            <v>1500000</v>
          </cell>
        </row>
        <row r="2201">
          <cell r="F2201" t="str">
            <v>Bifurcated Fan; 1.500 CFM</v>
          </cell>
          <cell r="H2201">
            <v>8300000</v>
          </cell>
        </row>
        <row r="2202">
          <cell r="F2202" t="str">
            <v>Propeller Fan, 75 CFM</v>
          </cell>
          <cell r="H2202">
            <v>1800000</v>
          </cell>
        </row>
        <row r="2203">
          <cell r="F2203" t="str">
            <v>Propeller Fan, 100 CFM</v>
          </cell>
          <cell r="H2203">
            <v>2100000</v>
          </cell>
        </row>
        <row r="2204">
          <cell r="F2204" t="str">
            <v>Propeller Fan, 150 CFM</v>
          </cell>
          <cell r="H2204">
            <v>2300000</v>
          </cell>
        </row>
        <row r="2205">
          <cell r="F2205" t="str">
            <v>Propeller Fan, 370 CFM</v>
          </cell>
          <cell r="H2205">
            <v>250000</v>
          </cell>
        </row>
        <row r="2206">
          <cell r="F2206" t="str">
            <v>Propeller Fan, 375 CFM</v>
          </cell>
          <cell r="H2206">
            <v>2900000</v>
          </cell>
        </row>
        <row r="2207">
          <cell r="F2207" t="str">
            <v>Propeller Fan, 500 CFM</v>
          </cell>
          <cell r="H2207">
            <v>3500000</v>
          </cell>
        </row>
        <row r="2208">
          <cell r="F2208" t="str">
            <v>Propeller Fan, 600 CFM</v>
          </cell>
          <cell r="H2208">
            <v>3900000</v>
          </cell>
        </row>
        <row r="2209">
          <cell r="F2209" t="str">
            <v>Propeller Fan, 1200 CFM</v>
          </cell>
          <cell r="H2209">
            <v>4500000</v>
          </cell>
        </row>
        <row r="2210">
          <cell r="F2210" t="str">
            <v>Intake Grille 600 x 300 mm</v>
          </cell>
          <cell r="H2210">
            <v>95000</v>
          </cell>
        </row>
        <row r="2211">
          <cell r="F2211" t="str">
            <v>Intake Grille 650 x 350 mm</v>
          </cell>
          <cell r="H2211">
            <v>115000</v>
          </cell>
        </row>
        <row r="2212">
          <cell r="F2212" t="str">
            <v>Intake Grille 800 x 350 mm</v>
          </cell>
          <cell r="H2212">
            <v>130000</v>
          </cell>
        </row>
        <row r="2213">
          <cell r="F2213" t="str">
            <v>Intake Grille 800 x 400 mm</v>
          </cell>
          <cell r="H2213">
            <v>145000</v>
          </cell>
        </row>
        <row r="2214">
          <cell r="F2214" t="str">
            <v xml:space="preserve"> Intake Louvre 700 x 400 mm</v>
          </cell>
          <cell r="H2214">
            <v>135000</v>
          </cell>
        </row>
        <row r="2215">
          <cell r="F2215" t="str">
            <v xml:space="preserve"> Fan Louvre 750 x 400 mm</v>
          </cell>
          <cell r="H2215">
            <v>150000</v>
          </cell>
        </row>
        <row r="2216">
          <cell r="F2216" t="str">
            <v xml:space="preserve"> Fan Louvre 900 x 500 mm</v>
          </cell>
          <cell r="H2216">
            <v>220000</v>
          </cell>
        </row>
        <row r="2217">
          <cell r="F2217" t="str">
            <v xml:space="preserve"> Fan Louvre 1.000 x 400 mm</v>
          </cell>
          <cell r="H2217">
            <v>250000</v>
          </cell>
        </row>
        <row r="2218">
          <cell r="F2218" t="str">
            <v xml:space="preserve"> Fan Louvre 1.000 x 450 mm</v>
          </cell>
          <cell r="H2218">
            <v>270000</v>
          </cell>
        </row>
        <row r="2219">
          <cell r="F2219" t="str">
            <v>Exhaust Grille 150 x 150 mm</v>
          </cell>
          <cell r="H2219">
            <v>140000</v>
          </cell>
        </row>
        <row r="2220">
          <cell r="F2220" t="str">
            <v>Exhaust Grille 200 x 200 mm</v>
          </cell>
          <cell r="H2220">
            <v>160000</v>
          </cell>
        </row>
        <row r="2221">
          <cell r="F2221" t="str">
            <v>Exhaust Grille 600 x 300 mm</v>
          </cell>
          <cell r="H2221">
            <v>200000</v>
          </cell>
        </row>
        <row r="2222">
          <cell r="F2222" t="str">
            <v>Exhaust Grille 650 x 350 mm</v>
          </cell>
          <cell r="H2222">
            <v>230000</v>
          </cell>
        </row>
        <row r="2223">
          <cell r="F2223" t="str">
            <v>Exhaust Grille 900 x 400 mm</v>
          </cell>
          <cell r="H2223">
            <v>300000</v>
          </cell>
        </row>
        <row r="2224">
          <cell r="F2224" t="str">
            <v>Exhaust Louvre</v>
          </cell>
          <cell r="H2224">
            <v>450000</v>
          </cell>
        </row>
        <row r="2225">
          <cell r="F2225" t="str">
            <v xml:space="preserve">ZINK BJLS </v>
          </cell>
          <cell r="H2225">
            <v>222000</v>
          </cell>
        </row>
        <row r="2226">
          <cell r="F2226" t="str">
            <v xml:space="preserve">Flinkote </v>
          </cell>
          <cell r="G2226" t="str">
            <v xml:space="preserve">lot </v>
          </cell>
          <cell r="H2226">
            <v>56500</v>
          </cell>
        </row>
        <row r="2227">
          <cell r="F2227" t="str">
            <v xml:space="preserve">finish Cat </v>
          </cell>
          <cell r="G2227" t="str">
            <v xml:space="preserve">lot </v>
          </cell>
          <cell r="H2227">
            <v>92000</v>
          </cell>
        </row>
        <row r="2228">
          <cell r="F2228" t="str">
            <v>Hanger + Support</v>
          </cell>
          <cell r="G2228" t="str">
            <v xml:space="preserve">lolt </v>
          </cell>
          <cell r="H2228">
            <v>55000</v>
          </cell>
        </row>
        <row r="2231">
          <cell r="F2231" t="str">
            <v>Bak Kontrol Pemeriksaan dari Batu Bata 45 x 45 x 45 cm + Tutup Beton 45 x 45 x 10 cm</v>
          </cell>
          <cell r="G2231" t="str">
            <v xml:space="preserve">buah </v>
          </cell>
          <cell r="H2231">
            <v>829900</v>
          </cell>
        </row>
        <row r="2232">
          <cell r="F2232" t="str">
            <v>Terminal Busbar 300 x 50 x 5 mm</v>
          </cell>
          <cell r="G2232" t="str">
            <v>buah</v>
          </cell>
          <cell r="H2232">
            <v>135000</v>
          </cell>
        </row>
        <row r="2233">
          <cell r="F2233" t="str">
            <v>Batang Tembaga Pembumian Dia.5/8” (kedalaman min. 12 m)</v>
          </cell>
          <cell r="G2233" t="str">
            <v>batang</v>
          </cell>
          <cell r="H2233">
            <v>1135000</v>
          </cell>
        </row>
        <row r="2234">
          <cell r="F2234" t="str">
            <v>Pantek (kedalaman min. 12 m)</v>
          </cell>
          <cell r="G2234" t="str">
            <v>lot</v>
          </cell>
          <cell r="H2234">
            <v>245000</v>
          </cell>
        </row>
        <row r="2235">
          <cell r="F2235" t="str">
            <v>Kabel BC 95 mm2</v>
          </cell>
          <cell r="G2235" t="str">
            <v>m</v>
          </cell>
          <cell r="H2235">
            <v>145000</v>
          </cell>
        </row>
        <row r="2236">
          <cell r="F2236" t="str">
            <v>Kabel Skun 95 mm2</v>
          </cell>
          <cell r="G2236" t="str">
            <v>m</v>
          </cell>
          <cell r="H2236">
            <v>26400</v>
          </cell>
        </row>
        <row r="2237">
          <cell r="F2237" t="str">
            <v>Rod Coupling</v>
          </cell>
          <cell r="G2237" t="str">
            <v>buah</v>
          </cell>
          <cell r="H2237">
            <v>130000</v>
          </cell>
        </row>
        <row r="2238">
          <cell r="F2238" t="str">
            <v>Material Bantu</v>
          </cell>
          <cell r="G2238" t="str">
            <v>lot</v>
          </cell>
          <cell r="H2238">
            <v>50000</v>
          </cell>
        </row>
        <row r="2239">
          <cell r="F2239" t="str">
            <v>Batang Tembaga Pembumian Dia.3/4” (kedalaman min. 12 m)</v>
          </cell>
          <cell r="G2239" t="str">
            <v>batang</v>
          </cell>
          <cell r="H2239">
            <v>1666000</v>
          </cell>
        </row>
        <row r="2240">
          <cell r="F2240" t="str">
            <v xml:space="preserve">Air Terminal </v>
          </cell>
          <cell r="G2240" t="str">
            <v>unit</v>
          </cell>
          <cell r="H2240">
            <v>1634000</v>
          </cell>
        </row>
        <row r="2241">
          <cell r="F2241" t="str">
            <v xml:space="preserve">Base Air Terminal </v>
          </cell>
          <cell r="G2241" t="str">
            <v xml:space="preserve">unit </v>
          </cell>
          <cell r="H2241">
            <v>587600</v>
          </cell>
        </row>
        <row r="2242">
          <cell r="F2242" t="str">
            <v xml:space="preserve">DC Clip Non Metalic Clamp </v>
          </cell>
          <cell r="G2242" t="str">
            <v>unit</v>
          </cell>
          <cell r="H2242">
            <v>13500</v>
          </cell>
        </row>
        <row r="2243">
          <cell r="F2243" t="str">
            <v>Square Tape Clamp</v>
          </cell>
          <cell r="G2243" t="str">
            <v>unit</v>
          </cell>
          <cell r="H2243">
            <v>55000</v>
          </cell>
        </row>
        <row r="2244">
          <cell r="F2244" t="str">
            <v xml:space="preserve">Bimetallic Connector </v>
          </cell>
          <cell r="G2244" t="str">
            <v xml:space="preserve">unit </v>
          </cell>
          <cell r="H2244">
            <v>35000</v>
          </cell>
        </row>
        <row r="2245">
          <cell r="F2245" t="str">
            <v>Grounding Test Box</v>
          </cell>
          <cell r="G2245" t="str">
            <v>unit</v>
          </cell>
          <cell r="H2245">
            <v>492000</v>
          </cell>
        </row>
        <row r="2246">
          <cell r="F2246" t="str">
            <v xml:space="preserve">5/8" Rod Coupling </v>
          </cell>
          <cell r="G2246" t="str">
            <v xml:space="preserve">unit </v>
          </cell>
          <cell r="H2246">
            <v>45000</v>
          </cell>
        </row>
        <row r="2247">
          <cell r="F2247" t="str">
            <v xml:space="preserve">5/8" Driving Stud </v>
          </cell>
          <cell r="G2247" t="str">
            <v>unit</v>
          </cell>
          <cell r="H2247">
            <v>83000</v>
          </cell>
        </row>
        <row r="2248">
          <cell r="F2248" t="str">
            <v>Rod to Cable Clamp (Type GUV)</v>
          </cell>
          <cell r="G2248" t="str">
            <v xml:space="preserve">unit </v>
          </cell>
          <cell r="H2248">
            <v>252900</v>
          </cell>
        </row>
        <row r="2249">
          <cell r="F2249" t="str">
            <v>Polymer Inspection Pit</v>
          </cell>
          <cell r="G2249" t="str">
            <v>unit</v>
          </cell>
          <cell r="H2249">
            <v>530000</v>
          </cell>
        </row>
        <row r="2250">
          <cell r="F2250" t="str">
            <v>Coupling Bonding Grounded Rod 70 mm2</v>
          </cell>
          <cell r="G2250" t="str">
            <v xml:space="preserve">unit </v>
          </cell>
          <cell r="H2250">
            <v>2040000</v>
          </cell>
        </row>
        <row r="2251">
          <cell r="F2251" t="str">
            <v>Clamp BC L ukuran BC 70 mm2</v>
          </cell>
          <cell r="G2251" t="str">
            <v xml:space="preserve">unit </v>
          </cell>
          <cell r="H2251">
            <v>25500</v>
          </cell>
        </row>
        <row r="2252">
          <cell r="F2252" t="str">
            <v>Clamp PVC 1"</v>
          </cell>
          <cell r="G2252" t="str">
            <v xml:space="preserve">unit </v>
          </cell>
          <cell r="H2252">
            <v>1500</v>
          </cell>
        </row>
        <row r="2253">
          <cell r="F2253" t="str">
            <v xml:space="preserve">Copper Air Terminal Base 15 mm </v>
          </cell>
          <cell r="H2253">
            <v>189000</v>
          </cell>
        </row>
        <row r="2254">
          <cell r="F2254" t="str">
            <v xml:space="preserve">15x500 mm Aluminium Air Rod </v>
          </cell>
          <cell r="H2254">
            <v>160000</v>
          </cell>
        </row>
        <row r="2255">
          <cell r="F2255" t="str">
            <v xml:space="preserve">15x500 mm Copper Air Rod </v>
          </cell>
          <cell r="H2255">
            <v>582000</v>
          </cell>
        </row>
        <row r="2256">
          <cell r="F2256" t="str">
            <v>25x3 mm Bare Aluminium Tape</v>
          </cell>
          <cell r="G2256" t="str">
            <v>m'</v>
          </cell>
          <cell r="H2256">
            <v>58620</v>
          </cell>
        </row>
        <row r="2257">
          <cell r="F2257" t="str">
            <v xml:space="preserve">5/8" x 1800 mm Extensible Copperbond Rod </v>
          </cell>
          <cell r="G2257" t="str">
            <v xml:space="preserve">buah </v>
          </cell>
          <cell r="H2257">
            <v>496000</v>
          </cell>
        </row>
        <row r="2258">
          <cell r="F2258" t="str">
            <v xml:space="preserve">5/8" Copperbond Rod </v>
          </cell>
          <cell r="G2258" t="str">
            <v xml:space="preserve">buah </v>
          </cell>
          <cell r="H2258">
            <v>185000</v>
          </cell>
        </row>
        <row r="2259">
          <cell r="F2259" t="str">
            <v xml:space="preserve">Grounding Rod Gip 1" Panjang 1 m </v>
          </cell>
          <cell r="G2259" t="str">
            <v>buah</v>
          </cell>
          <cell r="H2259">
            <v>142500</v>
          </cell>
        </row>
        <row r="2260">
          <cell r="F2260" t="str">
            <v xml:space="preserve">Grounding Rod Gip 1" Panjang 2 m </v>
          </cell>
          <cell r="G2260" t="str">
            <v>buah</v>
          </cell>
          <cell r="H2260">
            <v>285000</v>
          </cell>
        </row>
        <row r="2261">
          <cell r="F2261" t="str">
            <v>Exothermic Welding</v>
          </cell>
          <cell r="G2261" t="str">
            <v xml:space="preserve">buah </v>
          </cell>
          <cell r="H2261">
            <v>185000</v>
          </cell>
        </row>
        <row r="2262">
          <cell r="F2262" t="str">
            <v>Surge Arrester 1 Phase (15 KA)</v>
          </cell>
          <cell r="G2262" t="str">
            <v xml:space="preserve">unit </v>
          </cell>
          <cell r="H2262">
            <v>690000</v>
          </cell>
        </row>
        <row r="2263">
          <cell r="F2263" t="str">
            <v>Surge Arrester 3 Phase (15 KA)</v>
          </cell>
          <cell r="G2263" t="str">
            <v xml:space="preserve">unit </v>
          </cell>
          <cell r="H2263">
            <v>962000</v>
          </cell>
        </row>
        <row r="2265">
          <cell r="F2265" t="str">
            <v>Air</v>
          </cell>
          <cell r="G2265" t="str">
            <v>liter</v>
          </cell>
          <cell r="H2265">
            <v>200</v>
          </cell>
        </row>
        <row r="2266">
          <cell r="F2266" t="str">
            <v>Banner plastik 0.6x0.8 m2</v>
          </cell>
          <cell r="G2266" t="str">
            <v>m2</v>
          </cell>
          <cell r="H2266">
            <v>100000</v>
          </cell>
        </row>
        <row r="2267">
          <cell r="F2267" t="str">
            <v>Air (m3)</v>
          </cell>
          <cell r="G2267" t="str">
            <v>m3</v>
          </cell>
          <cell r="H2267">
            <v>50000</v>
          </cell>
        </row>
        <row r="2268">
          <cell r="F2268" t="str">
            <v>Akrilik 4 mm</v>
          </cell>
          <cell r="G2268" t="str">
            <v>m2</v>
          </cell>
          <cell r="H2268">
            <v>179000</v>
          </cell>
        </row>
        <row r="2269">
          <cell r="F2269" t="str">
            <v>Alang-alang</v>
          </cell>
          <cell r="G2269" t="str">
            <v>ikat</v>
          </cell>
          <cell r="H2269">
            <v>30000</v>
          </cell>
        </row>
        <row r="2270">
          <cell r="F2270" t="str">
            <v>Alat  tulis</v>
          </cell>
          <cell r="G2270" t="str">
            <v>buah</v>
          </cell>
          <cell r="H2270">
            <v>68600</v>
          </cell>
        </row>
        <row r="2271">
          <cell r="F2271" t="str">
            <v>Aluminium foil</v>
          </cell>
          <cell r="G2271" t="str">
            <v>m2</v>
          </cell>
          <cell r="H2271">
            <v>10000</v>
          </cell>
        </row>
        <row r="2272">
          <cell r="F2272" t="str">
            <v>Aluminium foil double side</v>
          </cell>
          <cell r="G2272" t="str">
            <v>m2</v>
          </cell>
          <cell r="H2272">
            <v>11000</v>
          </cell>
        </row>
        <row r="2273">
          <cell r="F2273" t="str">
            <v>Amplas</v>
          </cell>
          <cell r="G2273" t="str">
            <v>lembar</v>
          </cell>
          <cell r="H2273">
            <v>3900</v>
          </cell>
        </row>
        <row r="2274">
          <cell r="F2274" t="str">
            <v>Baja ringan C75 x 0,75 mm</v>
          </cell>
          <cell r="G2274" t="str">
            <v>batang</v>
          </cell>
          <cell r="H2274">
            <v>77200</v>
          </cell>
        </row>
        <row r="2275">
          <cell r="F2275" t="str">
            <v>Baja ringan C75 x 0,75 mm (permeter)</v>
          </cell>
          <cell r="G2275" t="str">
            <v>m</v>
          </cell>
          <cell r="H2275">
            <v>12866.666666666666</v>
          </cell>
        </row>
        <row r="2276">
          <cell r="F2276" t="str">
            <v xml:space="preserve">Baja Profil </v>
          </cell>
          <cell r="G2276" t="str">
            <v>kg</v>
          </cell>
          <cell r="H2276">
            <v>16480</v>
          </cell>
        </row>
        <row r="2277">
          <cell r="F2277" t="str">
            <v>Baja ringan C75 x 0,8 mm</v>
          </cell>
          <cell r="G2277" t="str">
            <v>batang</v>
          </cell>
          <cell r="H2277">
            <v>82400</v>
          </cell>
        </row>
        <row r="2278">
          <cell r="F2278" t="str">
            <v>Baja ringan C75 x 1,00 mm</v>
          </cell>
          <cell r="G2278" t="str">
            <v>batang</v>
          </cell>
          <cell r="H2278">
            <v>106000</v>
          </cell>
        </row>
        <row r="2279">
          <cell r="F2279" t="str">
            <v>Baja ringan C75 x 1,00 mm (m)</v>
          </cell>
          <cell r="G2279" t="str">
            <v>m'</v>
          </cell>
          <cell r="H2279">
            <v>17667</v>
          </cell>
        </row>
        <row r="2280">
          <cell r="F2280" t="str">
            <v>Bata Ringan (ukuran 60x20x10 cm)</v>
          </cell>
          <cell r="G2280" t="str">
            <v>m3</v>
          </cell>
          <cell r="H2280">
            <v>755000</v>
          </cell>
        </row>
        <row r="2281">
          <cell r="F2281" t="str">
            <v>Batu Andesit  Bakar 10x10, t=3cm</v>
          </cell>
          <cell r="G2281" t="str">
            <v>Unit</v>
          </cell>
          <cell r="H2281">
            <v>145000</v>
          </cell>
        </row>
        <row r="2282">
          <cell r="F2282" t="str">
            <v>Batu Andesit  Bakar 30x30, t=3cm</v>
          </cell>
          <cell r="G2282" t="str">
            <v>Unit</v>
          </cell>
          <cell r="H2282">
            <v>170000</v>
          </cell>
        </row>
        <row r="2283">
          <cell r="F2283" t="str">
            <v>Batu apung</v>
          </cell>
          <cell r="G2283" t="str">
            <v>kg</v>
          </cell>
          <cell r="H2283">
            <v>6100</v>
          </cell>
        </row>
        <row r="2284">
          <cell r="F2284" t="str">
            <v>Bollard Besi Tempa (BL1)</v>
          </cell>
          <cell r="G2284" t="str">
            <v>unit</v>
          </cell>
          <cell r="H2284">
            <v>1262500</v>
          </cell>
        </row>
        <row r="2285">
          <cell r="F2285" t="str">
            <v>Bollard Besi Tempa (BL2)</v>
          </cell>
          <cell r="G2285" t="str">
            <v>unit</v>
          </cell>
          <cell r="H2285">
            <v>1040000</v>
          </cell>
        </row>
        <row r="2286">
          <cell r="F2286" t="str">
            <v>Bollard cast  iron (tinggi 1,2m ; Ø bawah 5"  ; Ø atas  4")</v>
          </cell>
          <cell r="G2286" t="str">
            <v>buah</v>
          </cell>
          <cell r="H2286">
            <v>2626500</v>
          </cell>
        </row>
        <row r="2287">
          <cell r="F2287" t="str">
            <v>Bollard stainless  steel (tinggi 1m ; Ø 4")</v>
          </cell>
          <cell r="G2287" t="str">
            <v>buah</v>
          </cell>
          <cell r="H2287">
            <v>555600</v>
          </cell>
        </row>
        <row r="2288">
          <cell r="F2288" t="str">
            <v>Bubuk poles</v>
          </cell>
          <cell r="G2288" t="str">
            <v>kg</v>
          </cell>
          <cell r="H2288">
            <v>180000</v>
          </cell>
        </row>
        <row r="2289">
          <cell r="F2289" t="str">
            <v>Aspal</v>
          </cell>
          <cell r="G2289" t="str">
            <v>kg</v>
          </cell>
          <cell r="H2289">
            <v>1200</v>
          </cell>
        </row>
        <row r="2290">
          <cell r="F2290" t="str">
            <v>Coldmix  (Aspal Tambal Dingin) 25 kg</v>
          </cell>
          <cell r="G2290" t="str">
            <v>Zak</v>
          </cell>
          <cell r="H2290">
            <v>225000</v>
          </cell>
        </row>
        <row r="2291">
          <cell r="F2291" t="str">
            <v>Cutting sticker</v>
          </cell>
          <cell r="G2291" t="str">
            <v>m2</v>
          </cell>
          <cell r="H2291">
            <v>100000</v>
          </cell>
        </row>
        <row r="2292">
          <cell r="F2292" t="str">
            <v>Epoxy resin grout</v>
          </cell>
          <cell r="G2292" t="str">
            <v>kg</v>
          </cell>
          <cell r="H2292">
            <v>216700</v>
          </cell>
        </row>
        <row r="2293">
          <cell r="F2293" t="str">
            <v>Formica</v>
          </cell>
          <cell r="G2293" t="str">
            <v>lembar</v>
          </cell>
          <cell r="H2293">
            <v>51400</v>
          </cell>
        </row>
        <row r="2294">
          <cell r="F2294" t="str">
            <v>Formika</v>
          </cell>
          <cell r="G2294" t="str">
            <v>lembar</v>
          </cell>
          <cell r="H2294">
            <v>170000</v>
          </cell>
        </row>
        <row r="2295">
          <cell r="F2295" t="str">
            <v>Gebalan Rumput  Jenis  Lamuran</v>
          </cell>
          <cell r="G2295" t="str">
            <v>m²</v>
          </cell>
          <cell r="H2295">
            <v>10600</v>
          </cell>
        </row>
        <row r="2296">
          <cell r="F2296" t="str">
            <v>Glasswool tebal 8 cm</v>
          </cell>
          <cell r="G2296" t="str">
            <v>m2</v>
          </cell>
          <cell r="H2296">
            <v>29167</v>
          </cell>
        </row>
        <row r="2297">
          <cell r="F2297" t="str">
            <v>Guardrail</v>
          </cell>
          <cell r="G2297" t="str">
            <v>m'</v>
          </cell>
          <cell r="H2297">
            <v>761200</v>
          </cell>
        </row>
        <row r="2298">
          <cell r="F2298" t="str">
            <v>Hebel Block (ukuran 60x20x15 cm)</v>
          </cell>
          <cell r="G2298" t="str">
            <v>buah</v>
          </cell>
          <cell r="H2298">
            <v>20200</v>
          </cell>
        </row>
        <row r="2299">
          <cell r="F2299" t="str">
            <v>Huruf/letter timbul stainless  steel</v>
          </cell>
          <cell r="G2299" t="str">
            <v>buah</v>
          </cell>
          <cell r="H2299">
            <v>9200</v>
          </cell>
        </row>
        <row r="2300">
          <cell r="F2300" t="str">
            <v>Ijuk</v>
          </cell>
          <cell r="G2300" t="str">
            <v>m3</v>
          </cell>
          <cell r="H2300">
            <v>39700</v>
          </cell>
        </row>
        <row r="2301">
          <cell r="F2301" t="str">
            <v>Insulasi foam</v>
          </cell>
          <cell r="G2301" t="str">
            <v>m2</v>
          </cell>
          <cell r="H2301">
            <v>70000</v>
          </cell>
        </row>
        <row r="2302">
          <cell r="F2302" t="str">
            <v>Jaringan udara (LVTC  2x15 mm)</v>
          </cell>
          <cell r="G2302" t="str">
            <v>unit</v>
          </cell>
          <cell r="H2302">
            <v>2156800</v>
          </cell>
        </row>
        <row r="2303">
          <cell r="F2303" t="str">
            <v>Jendela type J1</v>
          </cell>
          <cell r="G2303" t="str">
            <v>unit</v>
          </cell>
          <cell r="H2303">
            <v>2740500</v>
          </cell>
        </row>
        <row r="2304">
          <cell r="F2304" t="str">
            <v>Jendela type J2</v>
          </cell>
          <cell r="G2304" t="str">
            <v>unit</v>
          </cell>
          <cell r="H2304">
            <v>5481000</v>
          </cell>
        </row>
        <row r="2305">
          <cell r="F2305" t="str">
            <v>Joint  Sealent</v>
          </cell>
          <cell r="G2305" t="str">
            <v>kg</v>
          </cell>
          <cell r="H2305">
            <v>37300</v>
          </cell>
        </row>
        <row r="2306">
          <cell r="F2306" t="str">
            <v>Kapur</v>
          </cell>
          <cell r="G2306" t="str">
            <v>m3</v>
          </cell>
          <cell r="H2306">
            <v>263700</v>
          </cell>
        </row>
        <row r="2307">
          <cell r="F2307" t="str">
            <v>Kapur padam</v>
          </cell>
          <cell r="G2307" t="str">
            <v>kg</v>
          </cell>
          <cell r="H2307">
            <v>7000</v>
          </cell>
        </row>
        <row r="2308">
          <cell r="F2308" t="str">
            <v>Karung goni</v>
          </cell>
          <cell r="G2308" t="str">
            <v>m2</v>
          </cell>
          <cell r="H2308">
            <v>14500</v>
          </cell>
        </row>
        <row r="2309">
          <cell r="F2309" t="str">
            <v>Karung plastik</v>
          </cell>
          <cell r="G2309" t="str">
            <v>buah</v>
          </cell>
          <cell r="H2309">
            <v>3900</v>
          </cell>
        </row>
        <row r="2310">
          <cell r="F2310" t="str">
            <v>Kisdam (sewa sheet  pile selama 2 bulan)</v>
          </cell>
          <cell r="G2310" t="str">
            <v>batang</v>
          </cell>
          <cell r="H2310">
            <v>710500</v>
          </cell>
        </row>
        <row r="2311">
          <cell r="F2311" t="str">
            <v>Lem Aibon</v>
          </cell>
          <cell r="G2311" t="str">
            <v>kg</v>
          </cell>
          <cell r="H2311">
            <v>42500</v>
          </cell>
        </row>
        <row r="2312">
          <cell r="F2312" t="str">
            <v>Lem epoxy</v>
          </cell>
          <cell r="G2312" t="str">
            <v>kg</v>
          </cell>
          <cell r="H2312">
            <v>145000</v>
          </cell>
        </row>
        <row r="2313">
          <cell r="F2313" t="str">
            <v>Lem kayu</v>
          </cell>
          <cell r="G2313" t="str">
            <v>kg</v>
          </cell>
          <cell r="H2313">
            <v>16400</v>
          </cell>
        </row>
        <row r="2314">
          <cell r="F2314" t="str">
            <v>Lem vinyl</v>
          </cell>
          <cell r="G2314" t="str">
            <v>kg</v>
          </cell>
          <cell r="H2314">
            <v>36900</v>
          </cell>
        </row>
        <row r="2315">
          <cell r="F2315" t="str">
            <v xml:space="preserve">Lem Karpet </v>
          </cell>
          <cell r="G2315" t="str">
            <v>kg</v>
          </cell>
          <cell r="H2315">
            <v>75000</v>
          </cell>
        </row>
        <row r="2316">
          <cell r="F2316" t="str">
            <v>Lethering akrilik tinggi 100 tebal 20 cm</v>
          </cell>
          <cell r="G2316" t="str">
            <v>buah</v>
          </cell>
          <cell r="H2316">
            <v>1167200</v>
          </cell>
        </row>
        <row r="2317">
          <cell r="F2317" t="str">
            <v>Lethering akrilik tinggi 25 tebal 5 cm</v>
          </cell>
          <cell r="G2317" t="str">
            <v>buah</v>
          </cell>
          <cell r="H2317">
            <v>140000</v>
          </cell>
        </row>
        <row r="2318">
          <cell r="F2318" t="str">
            <v>Lethering akrilik tinggi 45 tebal 20 cm</v>
          </cell>
          <cell r="G2318" t="str">
            <v>buah</v>
          </cell>
          <cell r="H2318">
            <v>525200</v>
          </cell>
        </row>
        <row r="2319">
          <cell r="F2319" t="str">
            <v>Lethering akrilik tinggi 70 tebal 20 cm</v>
          </cell>
          <cell r="G2319" t="str">
            <v>buah</v>
          </cell>
          <cell r="H2319">
            <v>817000</v>
          </cell>
        </row>
        <row r="2320">
          <cell r="F2320" t="str">
            <v>Lis  profil beton (50 cm)</v>
          </cell>
          <cell r="G2320" t="str">
            <v>buah</v>
          </cell>
          <cell r="H2320">
            <v>8000</v>
          </cell>
        </row>
        <row r="2321">
          <cell r="F2321" t="str">
            <v>Mortar Acian Bata Ringan</v>
          </cell>
          <cell r="G2321" t="str">
            <v>zak</v>
          </cell>
          <cell r="H2321">
            <v>99600</v>
          </cell>
        </row>
        <row r="2322">
          <cell r="F2322" t="str">
            <v>Mortar Perekat  Bata Ringan</v>
          </cell>
          <cell r="G2322" t="str">
            <v>zak</v>
          </cell>
          <cell r="H2322">
            <v>85600</v>
          </cell>
        </row>
        <row r="2323">
          <cell r="F2323" t="str">
            <v>Mortar Plesteran Bata Ringan</v>
          </cell>
          <cell r="G2323" t="str">
            <v>zak</v>
          </cell>
          <cell r="H2323">
            <v>82600</v>
          </cell>
        </row>
        <row r="2324">
          <cell r="F2324" t="str">
            <v>Mortar siap pakai</v>
          </cell>
          <cell r="G2324" t="str">
            <v>kg</v>
          </cell>
          <cell r="H2324">
            <v>1850</v>
          </cell>
        </row>
        <row r="2325">
          <cell r="F2325" t="str">
            <v>Mortar Skimcoat</v>
          </cell>
          <cell r="G2325" t="str">
            <v>kg</v>
          </cell>
          <cell r="H2325">
            <v>5070</v>
          </cell>
        </row>
        <row r="2326">
          <cell r="F2326" t="str">
            <v>Nako  per daun</v>
          </cell>
          <cell r="G2326" t="str">
            <v>buah</v>
          </cell>
          <cell r="H2326">
            <v>8700</v>
          </cell>
        </row>
        <row r="2327">
          <cell r="F2327" t="str">
            <v>Pasir Ottawa</v>
          </cell>
          <cell r="G2327" t="str">
            <v>Zak</v>
          </cell>
          <cell r="H2327">
            <v>515000</v>
          </cell>
        </row>
        <row r="2328">
          <cell r="F2328" t="str">
            <v>Pemasangan lantai tempered laminated glass  Jemabatan Kaca</v>
          </cell>
          <cell r="G2328" t="str">
            <v>Unit</v>
          </cell>
          <cell r="H2328">
            <v>107070707</v>
          </cell>
        </row>
        <row r="2329">
          <cell r="F2329" t="str">
            <v>Pen akrilik</v>
          </cell>
          <cell r="G2329" t="str">
            <v>buah</v>
          </cell>
          <cell r="H2329">
            <v>7000</v>
          </cell>
        </row>
        <row r="2330">
          <cell r="F2330" t="str">
            <v>Perekat untuk  wallpaper</v>
          </cell>
          <cell r="G2330" t="str">
            <v>kg</v>
          </cell>
          <cell r="H2330">
            <v>36800</v>
          </cell>
        </row>
        <row r="2331">
          <cell r="F2331" t="str">
            <v>Pintu lipat  (folding door) bahan plastik/PVC</v>
          </cell>
          <cell r="G2331" t="str">
            <v>m2</v>
          </cell>
          <cell r="H2331">
            <v>215000</v>
          </cell>
        </row>
        <row r="2332">
          <cell r="F2332" t="str">
            <v>Pintu type P1</v>
          </cell>
          <cell r="G2332" t="str">
            <v>unit</v>
          </cell>
          <cell r="H2332">
            <v>4689300</v>
          </cell>
        </row>
        <row r="2333">
          <cell r="F2333" t="str">
            <v>Pipa screen pvc  Ø 4"</v>
          </cell>
          <cell r="G2333" t="str">
            <v>m¹</v>
          </cell>
          <cell r="H2333">
            <v>94600</v>
          </cell>
        </row>
        <row r="2334">
          <cell r="F2334" t="str">
            <v>Pipa stainless  steel diameter 0,5 "  panjang 6 m</v>
          </cell>
          <cell r="G2334" t="str">
            <v>batang</v>
          </cell>
          <cell r="H2334">
            <v>1152000</v>
          </cell>
        </row>
        <row r="2335">
          <cell r="F2335" t="str">
            <v>Pipa stainless  steel diameter 0,75 "  panjang 6 m</v>
          </cell>
          <cell r="G2335" t="str">
            <v>batang</v>
          </cell>
          <cell r="H2335">
            <v>1253500</v>
          </cell>
        </row>
        <row r="2336">
          <cell r="F2336" t="str">
            <v>Pipa stainless  steel diameter 1 "  panjang 6 m</v>
          </cell>
          <cell r="G2336" t="str">
            <v>batang</v>
          </cell>
          <cell r="H2336">
            <v>1598600</v>
          </cell>
        </row>
        <row r="2337">
          <cell r="F2337" t="str">
            <v>Pipa stainless  steel diameter 1,5 "  panjang 6 m</v>
          </cell>
          <cell r="G2337" t="str">
            <v>batang</v>
          </cell>
          <cell r="H2337">
            <v>1877700</v>
          </cell>
        </row>
        <row r="2338">
          <cell r="F2338" t="str">
            <v>Pipa stainless  steel diameter 2 "  panjang 6 m</v>
          </cell>
          <cell r="G2338" t="str">
            <v>batang</v>
          </cell>
          <cell r="H2338">
            <v>2461300</v>
          </cell>
        </row>
        <row r="2339">
          <cell r="F2339" t="str">
            <v>Pipa stainless  steel diameter 2,5 "  panjang 6 m</v>
          </cell>
          <cell r="G2339" t="str">
            <v>batang</v>
          </cell>
          <cell r="H2339">
            <v>3045000</v>
          </cell>
        </row>
        <row r="2340">
          <cell r="F2340" t="str">
            <v>Pipa stainless  steel diameter 3 "  panjang 6 m</v>
          </cell>
          <cell r="G2340" t="str">
            <v>batang</v>
          </cell>
          <cell r="H2340">
            <v>4403200</v>
          </cell>
        </row>
        <row r="2341">
          <cell r="F2341" t="str">
            <v>Plastik aerator</v>
          </cell>
          <cell r="G2341" t="str">
            <v>buah</v>
          </cell>
          <cell r="H2341">
            <v>15900</v>
          </cell>
        </row>
        <row r="2342">
          <cell r="F2342" t="str">
            <v>Prasasti marmer 20x20</v>
          </cell>
          <cell r="G2342" t="str">
            <v>Unit</v>
          </cell>
          <cell r="H2342">
            <v>120000</v>
          </cell>
        </row>
        <row r="2343">
          <cell r="F2343" t="str">
            <v>Ramset</v>
          </cell>
          <cell r="G2343" t="str">
            <v>buah</v>
          </cell>
          <cell r="H2343">
            <v>3200</v>
          </cell>
        </row>
        <row r="2344">
          <cell r="F2344" t="str">
            <v>Recorder paper</v>
          </cell>
          <cell r="G2344" t="str">
            <v>set</v>
          </cell>
          <cell r="H2344">
            <v>174100</v>
          </cell>
        </row>
        <row r="2345">
          <cell r="F2345" t="str">
            <v>Rel pintu dorong</v>
          </cell>
          <cell r="G2345" t="str">
            <v>buah</v>
          </cell>
          <cell r="H2345">
            <v>243700</v>
          </cell>
        </row>
        <row r="2346">
          <cell r="F2346" t="str">
            <v>Reng baja ringan</v>
          </cell>
          <cell r="G2346" t="str">
            <v>batang</v>
          </cell>
          <cell r="H2346">
            <v>33900</v>
          </cell>
        </row>
        <row r="2347">
          <cell r="F2347" t="str">
            <v>Reng baja ringan</v>
          </cell>
          <cell r="G2347" t="str">
            <v>m</v>
          </cell>
          <cell r="H2347">
            <v>6000</v>
          </cell>
        </row>
        <row r="2348">
          <cell r="F2348" t="str">
            <v>Roster 10 x  20 cm</v>
          </cell>
          <cell r="G2348" t="str">
            <v>buah</v>
          </cell>
          <cell r="H2348">
            <v>11300</v>
          </cell>
        </row>
        <row r="2349">
          <cell r="F2349" t="str">
            <v>Roster 15 x  25 cm</v>
          </cell>
          <cell r="G2349" t="str">
            <v>buah</v>
          </cell>
          <cell r="H2349">
            <v>19300</v>
          </cell>
        </row>
        <row r="2350">
          <cell r="F2350" t="str">
            <v>Roster 15 x  30 cm</v>
          </cell>
          <cell r="G2350" t="str">
            <v>buah</v>
          </cell>
          <cell r="H2350">
            <v>19800</v>
          </cell>
        </row>
        <row r="2351">
          <cell r="F2351" t="str">
            <v>Roster 20 x 20 cm</v>
          </cell>
          <cell r="G2351" t="str">
            <v>buah</v>
          </cell>
          <cell r="H2351">
            <v>13100</v>
          </cell>
        </row>
        <row r="2352">
          <cell r="F2352" t="str">
            <v>Roster 25 x  25 cm</v>
          </cell>
          <cell r="G2352" t="str">
            <v>buah</v>
          </cell>
          <cell r="H2352">
            <v>16500</v>
          </cell>
        </row>
        <row r="2353">
          <cell r="F2353" t="str">
            <v>Roster 30 x  30 cm</v>
          </cell>
          <cell r="G2353" t="str">
            <v>buah</v>
          </cell>
          <cell r="H2353">
            <v>20500</v>
          </cell>
        </row>
        <row r="2354">
          <cell r="F2354" t="str">
            <v>Roster/terawang</v>
          </cell>
          <cell r="G2354" t="str">
            <v>buah</v>
          </cell>
          <cell r="H2354">
            <v>21500</v>
          </cell>
        </row>
        <row r="2355">
          <cell r="F2355" t="str">
            <v>Rumput  sintetis  uk. 1mx1m tebal 2 cm</v>
          </cell>
          <cell r="G2355" t="str">
            <v>buah</v>
          </cell>
          <cell r="H2355">
            <v>149300</v>
          </cell>
        </row>
        <row r="2356">
          <cell r="F2356" t="str">
            <v>Sabun</v>
          </cell>
          <cell r="G2356" t="str">
            <v>Kg</v>
          </cell>
          <cell r="H2356">
            <v>19400</v>
          </cell>
        </row>
        <row r="2357">
          <cell r="F2357" t="str">
            <v>Screen low  carbon</v>
          </cell>
          <cell r="G2357" t="str">
            <v>m¹</v>
          </cell>
          <cell r="H2357">
            <v>549300</v>
          </cell>
        </row>
        <row r="2358">
          <cell r="F2358" t="str">
            <v>Screen stainless  steel ø  4"</v>
          </cell>
          <cell r="G2358" t="str">
            <v>m¹</v>
          </cell>
          <cell r="H2358">
            <v>1137800</v>
          </cell>
        </row>
        <row r="2359">
          <cell r="F2359" t="str">
            <v>Sealant</v>
          </cell>
          <cell r="G2359" t="str">
            <v>tube</v>
          </cell>
          <cell r="H2359">
            <v>33100</v>
          </cell>
        </row>
        <row r="2360">
          <cell r="F2360" t="str">
            <v>Sealant</v>
          </cell>
          <cell r="G2360" t="str">
            <v>tube</v>
          </cell>
          <cell r="H2360">
            <v>33500</v>
          </cell>
        </row>
        <row r="2361">
          <cell r="F2361" t="str">
            <v>Sealant  kaca</v>
          </cell>
          <cell r="G2361" t="str">
            <v>kg</v>
          </cell>
          <cell r="H2361">
            <v>32100</v>
          </cell>
        </row>
        <row r="2362">
          <cell r="F2362" t="str">
            <v>Sealtape</v>
          </cell>
          <cell r="G2362" t="str">
            <v>buah</v>
          </cell>
          <cell r="H2362">
            <v>5700</v>
          </cell>
        </row>
        <row r="2363">
          <cell r="F2363" t="str">
            <v>Semen Sika</v>
          </cell>
          <cell r="G2363" t="str">
            <v>Zak</v>
          </cell>
          <cell r="H2363">
            <v>163900</v>
          </cell>
        </row>
        <row r="2364">
          <cell r="F2364" t="str">
            <v>Septic  tank pabrikasi 1000 liter</v>
          </cell>
          <cell r="G2364" t="str">
            <v>buah</v>
          </cell>
          <cell r="H2364">
            <v>3605000</v>
          </cell>
        </row>
        <row r="2365">
          <cell r="F2365" t="str">
            <v>Septic  tank pabrikasi 1200 liter</v>
          </cell>
          <cell r="G2365" t="str">
            <v>buah</v>
          </cell>
          <cell r="H2365">
            <v>5150000</v>
          </cell>
        </row>
        <row r="2366">
          <cell r="F2366" t="str">
            <v>Septic  tank pabrikasi 2000 liter</v>
          </cell>
          <cell r="G2366" t="str">
            <v>buah</v>
          </cell>
          <cell r="H2366">
            <v>9785000</v>
          </cell>
        </row>
        <row r="2367">
          <cell r="F2367" t="str">
            <v>Septic  tank pabrikasi 800 liter</v>
          </cell>
          <cell r="G2367" t="str">
            <v>buah</v>
          </cell>
          <cell r="H2367">
            <v>2629500</v>
          </cell>
        </row>
        <row r="2368">
          <cell r="F2368" t="str">
            <v>Sesek bambu</v>
          </cell>
          <cell r="G2368" t="str">
            <v>lembar</v>
          </cell>
          <cell r="H2368">
            <v>19100</v>
          </cell>
        </row>
        <row r="2369">
          <cell r="F2369" t="str">
            <v>Signage RMJ</v>
          </cell>
          <cell r="G2369" t="str">
            <v>unit</v>
          </cell>
          <cell r="H2369">
            <v>1987300</v>
          </cell>
        </row>
        <row r="2370">
          <cell r="F2370" t="str">
            <v>Signage Plat Baja lengkap dengan accessories</v>
          </cell>
          <cell r="G2370" t="str">
            <v xml:space="preserve">buah </v>
          </cell>
          <cell r="H2370">
            <v>1500000</v>
          </cell>
        </row>
        <row r="2371">
          <cell r="F2371" t="str">
            <v>Sitting Group (cast  iron, kayu)</v>
          </cell>
          <cell r="G2371" t="str">
            <v>unit</v>
          </cell>
          <cell r="H2371">
            <v>2389300</v>
          </cell>
        </row>
        <row r="2372">
          <cell r="F2372" t="str">
            <v>Skrup fixer</v>
          </cell>
          <cell r="G2372" t="str">
            <v>buah</v>
          </cell>
          <cell r="H2372">
            <v>1600</v>
          </cell>
        </row>
        <row r="2373">
          <cell r="F2373" t="str">
            <v>Soda api</v>
          </cell>
          <cell r="G2373" t="str">
            <v>kg</v>
          </cell>
          <cell r="H2373">
            <v>17900</v>
          </cell>
        </row>
        <row r="2374">
          <cell r="F2374" t="str">
            <v>Strorox-100</v>
          </cell>
          <cell r="G2374" t="str">
            <v>kg</v>
          </cell>
          <cell r="H2374">
            <v>40000</v>
          </cell>
        </row>
        <row r="2375">
          <cell r="F2375" t="str">
            <v>Tali ijuk</v>
          </cell>
          <cell r="G2375" t="str">
            <v>kg</v>
          </cell>
          <cell r="H2375">
            <v>8200</v>
          </cell>
        </row>
        <row r="2376">
          <cell r="F2376" t="str">
            <v xml:space="preserve">Tali Ijuk </v>
          </cell>
          <cell r="G2376" t="str">
            <v>m'</v>
          </cell>
          <cell r="H2376">
            <v>200</v>
          </cell>
        </row>
        <row r="2377">
          <cell r="F2377" t="str">
            <v>Terpal</v>
          </cell>
          <cell r="G2377" t="str">
            <v>m2</v>
          </cell>
          <cell r="H2377">
            <v>12000</v>
          </cell>
        </row>
        <row r="2378">
          <cell r="F2378" t="str">
            <v>Tiang Bolard (Bollard cast  iron) tinggi 1,2 m; ø bawah 5"; ø atas  4"</v>
          </cell>
          <cell r="G2378" t="str">
            <v>buah</v>
          </cell>
          <cell r="H2378">
            <v>1429100</v>
          </cell>
        </row>
        <row r="2379">
          <cell r="F2379" t="str">
            <v>Venetions  blinds  dan vertical blinds  (tirai)</v>
          </cell>
          <cell r="G2379" t="str">
            <v>m2</v>
          </cell>
          <cell r="H2379">
            <v>7400</v>
          </cell>
        </row>
        <row r="2380">
          <cell r="F2380" t="str">
            <v>Wallpaper</v>
          </cell>
          <cell r="G2380" t="str">
            <v>m'</v>
          </cell>
          <cell r="H2380">
            <v>13500</v>
          </cell>
        </row>
        <row r="2381">
          <cell r="F2381" t="str">
            <v>Waterstop lebar 150 mm</v>
          </cell>
          <cell r="G2381" t="str">
            <v>m'</v>
          </cell>
          <cell r="H2381">
            <v>75000</v>
          </cell>
        </row>
        <row r="2382">
          <cell r="F2382" t="str">
            <v>Waterstop lebar 200 mm</v>
          </cell>
          <cell r="G2382" t="str">
            <v>m'</v>
          </cell>
          <cell r="H2382">
            <v>94000</v>
          </cell>
        </row>
        <row r="2383">
          <cell r="F2383" t="str">
            <v>Waterstop lebar 250 mm</v>
          </cell>
          <cell r="G2383" t="str">
            <v>m'</v>
          </cell>
          <cell r="H2383">
            <v>136000</v>
          </cell>
        </row>
        <row r="2384">
          <cell r="F2384" t="str">
            <v>Wax</v>
          </cell>
          <cell r="G2384" t="str">
            <v>kg</v>
          </cell>
          <cell r="H2384">
            <v>130000</v>
          </cell>
        </row>
        <row r="2385">
          <cell r="F2385" t="str">
            <v>Paving Block Tebal 6 cm fc 20 Mpa</v>
          </cell>
          <cell r="G2385" t="str">
            <v>m2</v>
          </cell>
          <cell r="H2385">
            <v>70000</v>
          </cell>
        </row>
        <row r="2386">
          <cell r="F2386" t="str">
            <v xml:space="preserve">Pasir Filler </v>
          </cell>
          <cell r="G2386" t="str">
            <v>m3</v>
          </cell>
          <cell r="H2386">
            <v>300000</v>
          </cell>
        </row>
        <row r="2387">
          <cell r="F2387" t="str">
            <v>Paving Block Tebal 6 cm fc 25 Mpa</v>
          </cell>
          <cell r="G2387" t="str">
            <v>m2</v>
          </cell>
          <cell r="H2387">
            <v>82000</v>
          </cell>
        </row>
        <row r="2388">
          <cell r="F2388" t="str">
            <v>Paving Block Tebal 8 cm fc 20 Mpa</v>
          </cell>
          <cell r="G2388" t="str">
            <v>m2</v>
          </cell>
          <cell r="H2388">
            <v>85000</v>
          </cell>
        </row>
        <row r="2389">
          <cell r="F2389" t="str">
            <v>Paving Block Tebal 8 cm fc 25 Mpa</v>
          </cell>
          <cell r="G2389" t="str">
            <v>m2</v>
          </cell>
          <cell r="H2389">
            <v>97000</v>
          </cell>
        </row>
        <row r="2390">
          <cell r="F2390" t="str">
            <v>Stepping Band Lebar 15 mm</v>
          </cell>
          <cell r="G2390" t="str">
            <v>m</v>
          </cell>
          <cell r="H2390">
            <v>8570</v>
          </cell>
        </row>
        <row r="2391">
          <cell r="F2391" t="str">
            <v xml:space="preserve">Palet Kayu uk. 120x120x10 cm </v>
          </cell>
          <cell r="G2391" t="str">
            <v xml:space="preserve">buah </v>
          </cell>
          <cell r="H2391">
            <v>123000</v>
          </cell>
        </row>
        <row r="2392">
          <cell r="F2392" t="str">
            <v>Geotextile &gt;100 gr/m2</v>
          </cell>
          <cell r="G2392" t="str">
            <v>m2</v>
          </cell>
          <cell r="H2392">
            <v>17500</v>
          </cell>
        </row>
        <row r="2393">
          <cell r="F2393" t="str">
            <v>Geotextile &gt;400 gr/m2</v>
          </cell>
          <cell r="G2393" t="str">
            <v>m2</v>
          </cell>
          <cell r="H2393">
            <v>21000</v>
          </cell>
        </row>
        <row r="2394">
          <cell r="F2394" t="str">
            <v>Geotextile &gt;800 gr/m2</v>
          </cell>
          <cell r="G2394" t="str">
            <v>m2</v>
          </cell>
          <cell r="H2394">
            <v>32000</v>
          </cell>
        </row>
        <row r="2395">
          <cell r="F2395" t="str">
            <v>Geotekstil woven 400 gr/m2</v>
          </cell>
          <cell r="G2395" t="str">
            <v>m2</v>
          </cell>
          <cell r="H2395">
            <v>25000</v>
          </cell>
        </row>
        <row r="2396">
          <cell r="F2396" t="str">
            <v xml:space="preserve">Geomembran </v>
          </cell>
          <cell r="G2396" t="str">
            <v>m2</v>
          </cell>
          <cell r="H2396">
            <v>18950</v>
          </cell>
        </row>
        <row r="2397">
          <cell r="F2397" t="str">
            <v>Geosynthetic Clay Liner</v>
          </cell>
          <cell r="G2397" t="str">
            <v>m2</v>
          </cell>
          <cell r="H2397">
            <v>25000</v>
          </cell>
        </row>
        <row r="2398">
          <cell r="F2398" t="str">
            <v xml:space="preserve">Bentonite </v>
          </cell>
          <cell r="G2398" t="str">
            <v xml:space="preserve">kg </v>
          </cell>
          <cell r="H2398">
            <v>25000</v>
          </cell>
        </row>
        <row r="2399">
          <cell r="F2399" t="str">
            <v xml:space="preserve">MATERIAL LANSEKAP </v>
          </cell>
        </row>
        <row r="2400">
          <cell r="F2400" t="str">
            <v xml:space="preserve">Pupuk Organik </v>
          </cell>
          <cell r="G2400" t="str">
            <v>m3</v>
          </cell>
          <cell r="H2400">
            <v>178000</v>
          </cell>
        </row>
        <row r="2401">
          <cell r="F2401" t="str">
            <v xml:space="preserve">Kompos </v>
          </cell>
          <cell r="G2401" t="str">
            <v>m3</v>
          </cell>
          <cell r="H2401">
            <v>165000</v>
          </cell>
        </row>
        <row r="2402">
          <cell r="F2402" t="str">
            <v xml:space="preserve">Pohon Bunga Mentega di Polybag 20 Liter </v>
          </cell>
          <cell r="G2402" t="str">
            <v xml:space="preserve">buah </v>
          </cell>
          <cell r="H2402">
            <v>135000</v>
          </cell>
        </row>
        <row r="2403">
          <cell r="F2403" t="str">
            <v>Pohon Bunga Mentega di
Polybag 25 Liter</v>
          </cell>
          <cell r="G2403" t="str">
            <v xml:space="preserve">Buah </v>
          </cell>
          <cell r="H2403">
            <v>150000</v>
          </cell>
        </row>
        <row r="2404">
          <cell r="F2404" t="str">
            <v>Pohon Bunga Terompet Kuning di Polybag 20 Liter</v>
          </cell>
          <cell r="G2404" t="str">
            <v xml:space="preserve">buah </v>
          </cell>
          <cell r="H2404">
            <v>135000</v>
          </cell>
        </row>
        <row r="2405">
          <cell r="F2405" t="str">
            <v>Pohon Bunga Terompet
Kuning di Polybag 25 Liter</v>
          </cell>
          <cell r="G2405" t="str">
            <v xml:space="preserve">Buah </v>
          </cell>
          <cell r="H2405">
            <v>150000</v>
          </cell>
        </row>
        <row r="2406">
          <cell r="F2406" t="str">
            <v>Pohon Bunga Terompet Kuning di Polybag 50 Liter</v>
          </cell>
          <cell r="G2406" t="str">
            <v xml:space="preserve">Buah </v>
          </cell>
          <cell r="H2406">
            <v>200000</v>
          </cell>
        </row>
        <row r="2407">
          <cell r="F2407" t="str">
            <v xml:space="preserve">Pohon Bungur Sakura di Polybag 20 Liter </v>
          </cell>
          <cell r="G2407" t="str">
            <v xml:space="preserve">buah </v>
          </cell>
          <cell r="H2407">
            <v>150000</v>
          </cell>
        </row>
        <row r="2408">
          <cell r="F2408" t="str">
            <v>Pohon Bungur
Sakura/Bungur Jepang di
Polybag 25 Liter</v>
          </cell>
          <cell r="G2408" t="str">
            <v xml:space="preserve">Buah </v>
          </cell>
          <cell r="H2408">
            <v>175000</v>
          </cell>
        </row>
        <row r="2409">
          <cell r="F2409" t="str">
            <v>Pohon Bungur di Polybag 75 Liter</v>
          </cell>
          <cell r="G2409" t="str">
            <v xml:space="preserve">Buah </v>
          </cell>
          <cell r="H2409">
            <v>350000</v>
          </cell>
        </row>
        <row r="2410">
          <cell r="F2410" t="str">
            <v>Pohon Bungur di Polybag 100 Liter</v>
          </cell>
          <cell r="G2410" t="str">
            <v xml:space="preserve">buah </v>
          </cell>
          <cell r="H2410">
            <v>375000</v>
          </cell>
        </row>
        <row r="2411">
          <cell r="F2411" t="str">
            <v xml:space="preserve">Pohon Cassia Glauca di Polybag 20 Liter </v>
          </cell>
          <cell r="G2411" t="str">
            <v xml:space="preserve">buah </v>
          </cell>
          <cell r="H2411">
            <v>155000</v>
          </cell>
        </row>
        <row r="2412">
          <cell r="F2412" t="str">
            <v>Pohon Cassia glauca di
Polybag 25 Liter</v>
          </cell>
          <cell r="G2412" t="str">
            <v xml:space="preserve">buah </v>
          </cell>
          <cell r="H2412">
            <v>170000</v>
          </cell>
        </row>
        <row r="2413">
          <cell r="F2413" t="str">
            <v>Pohon Dracaena'song of india' di polybag 20 liter</v>
          </cell>
          <cell r="G2413" t="str">
            <v xml:space="preserve">Buah </v>
          </cell>
          <cell r="H2413">
            <v>165000</v>
          </cell>
        </row>
        <row r="2414">
          <cell r="F2414" t="str">
            <v>Pohon Dracaena ‘Song of
India’ di Polybag 25 Liter</v>
          </cell>
          <cell r="G2414" t="str">
            <v xml:space="preserve">Buah </v>
          </cell>
          <cell r="H2414">
            <v>180000</v>
          </cell>
        </row>
        <row r="2415">
          <cell r="F2415" t="str">
            <v>Pohon Dracaena 'Song of
Jamaica' di Polybag 20
Liter</v>
          </cell>
          <cell r="G2415" t="str">
            <v xml:space="preserve">Buah </v>
          </cell>
          <cell r="H2415">
            <v>170000</v>
          </cell>
        </row>
        <row r="2416">
          <cell r="F2416" t="str">
            <v>Pohon Dracaena 'Song of
Jamaica' di Polybag 25
Liter</v>
          </cell>
          <cell r="G2416" t="str">
            <v>Buah</v>
          </cell>
          <cell r="H2416">
            <v>190000</v>
          </cell>
        </row>
        <row r="2417">
          <cell r="F2417" t="str">
            <v>Pohon Jarak Batavia di
Polybag 20 Liter</v>
          </cell>
          <cell r="G2417" t="str">
            <v xml:space="preserve">Buah </v>
          </cell>
          <cell r="H2417">
            <v>175000</v>
          </cell>
        </row>
        <row r="2418">
          <cell r="F2418" t="str">
            <v>Pohon Jarak Batavia di Polybag 25 Liter</v>
          </cell>
          <cell r="G2418" t="str">
            <v>Buah</v>
          </cell>
          <cell r="H2418">
            <v>190000</v>
          </cell>
        </row>
        <row r="2419">
          <cell r="F2419" t="str">
            <v>Pohon Kayu Putih
Kuning di Polybag 20
Liter</v>
          </cell>
          <cell r="G2419" t="str">
            <v xml:space="preserve">Buah </v>
          </cell>
          <cell r="H2419">
            <v>180000</v>
          </cell>
        </row>
        <row r="2420">
          <cell r="F2420" t="str">
            <v>Pohon Kayu Putih Kuning di Polybag 25 Liter</v>
          </cell>
          <cell r="G2420" t="str">
            <v xml:space="preserve">Buah </v>
          </cell>
          <cell r="H2420">
            <v>190000</v>
          </cell>
        </row>
        <row r="2421">
          <cell r="F2421" t="str">
            <v>Pohon Bugenvil/bunga
kertas di Polybag 20 Liter</v>
          </cell>
          <cell r="G2421" t="str">
            <v xml:space="preserve">Buah </v>
          </cell>
          <cell r="H2421">
            <v>185000</v>
          </cell>
        </row>
        <row r="2422">
          <cell r="F2422" t="str">
            <v>Pohon Penda Merah di
Polybag 20 Liter</v>
          </cell>
          <cell r="G2422" t="str">
            <v xml:space="preserve">Buah </v>
          </cell>
          <cell r="H2422">
            <v>190000</v>
          </cell>
        </row>
        <row r="2423">
          <cell r="F2423" t="str">
            <v>Pohon Pucuk merah di Polybag 25 Liter</v>
          </cell>
          <cell r="G2423" t="str">
            <v xml:space="preserve">Buah </v>
          </cell>
          <cell r="H2423">
            <v>200000</v>
          </cell>
        </row>
        <row r="2424">
          <cell r="F2424" t="str">
            <v>Pohon Sikat Botol di
Polybag 20 Liter</v>
          </cell>
          <cell r="G2424" t="str">
            <v xml:space="preserve">buah </v>
          </cell>
          <cell r="H2424">
            <v>150000</v>
          </cell>
        </row>
        <row r="2425">
          <cell r="F2425" t="str">
            <v>Pohon Sikat Botol di
Polybag 25 Liter</v>
          </cell>
          <cell r="G2425" t="str">
            <v xml:space="preserve">Buah </v>
          </cell>
          <cell r="H2425">
            <v>165000</v>
          </cell>
        </row>
        <row r="2426">
          <cell r="F2426" t="str">
            <v xml:space="preserve">Pohon kecil Anggur terompet </v>
          </cell>
          <cell r="G2426" t="str">
            <v xml:space="preserve">buah </v>
          </cell>
          <cell r="H2426">
            <v>18000</v>
          </cell>
        </row>
        <row r="2427">
          <cell r="F2427" t="str">
            <v xml:space="preserve">Anti Rayap tanah </v>
          </cell>
          <cell r="G2427" t="str">
            <v>kg</v>
          </cell>
          <cell r="H2427">
            <v>28500</v>
          </cell>
        </row>
        <row r="2428">
          <cell r="F2428" t="str">
            <v xml:space="preserve">Pohon kecil Pucuk merah </v>
          </cell>
          <cell r="G2428" t="str">
            <v>buah</v>
          </cell>
          <cell r="H2428">
            <v>50000</v>
          </cell>
        </row>
        <row r="2429">
          <cell r="F2429" t="str">
            <v xml:space="preserve">Pohon Pucuk Merah di Polybag 20 Liter </v>
          </cell>
          <cell r="G2429" t="str">
            <v xml:space="preserve">Pohon </v>
          </cell>
          <cell r="H2429">
            <v>350000</v>
          </cell>
        </row>
        <row r="2430">
          <cell r="F2430" t="str">
            <v xml:space="preserve">Pohon Pucuk Merah di Polybag 25 Liter </v>
          </cell>
          <cell r="G2430" t="str">
            <v xml:space="preserve">Pohon </v>
          </cell>
          <cell r="H2430">
            <v>400000</v>
          </cell>
        </row>
        <row r="2431">
          <cell r="F2431" t="str">
            <v xml:space="preserve">Pohon Bunga Kupu-kupu di Polybag 50 Liter </v>
          </cell>
          <cell r="G2431" t="str">
            <v xml:space="preserve">Pohon </v>
          </cell>
          <cell r="H2431">
            <v>500000</v>
          </cell>
        </row>
        <row r="2432">
          <cell r="F2432" t="str">
            <v xml:space="preserve">Pohon Bunga Kupu-kupu di Polybag 75 Liter </v>
          </cell>
          <cell r="G2432" t="str">
            <v xml:space="preserve">Pohon </v>
          </cell>
          <cell r="H2432">
            <v>530000</v>
          </cell>
        </row>
        <row r="2433">
          <cell r="F2433" t="str">
            <v>Pohon Pulai di Polybag 75
Liter</v>
          </cell>
          <cell r="G2433" t="str">
            <v xml:space="preserve">Buah </v>
          </cell>
          <cell r="H2433">
            <v>150000</v>
          </cell>
        </row>
        <row r="2434">
          <cell r="F2434" t="str">
            <v>Pohon Pulai di Polybag 100 Liter</v>
          </cell>
          <cell r="G2434" t="str">
            <v xml:space="preserve">Buah </v>
          </cell>
          <cell r="H2434">
            <v>275000</v>
          </cell>
        </row>
        <row r="2435">
          <cell r="F2435" t="str">
            <v>Pohon Pulai di Polybag 150 Liter</v>
          </cell>
          <cell r="G2435" t="str">
            <v xml:space="preserve">buah </v>
          </cell>
          <cell r="H2435">
            <v>300000</v>
          </cell>
        </row>
        <row r="2436">
          <cell r="F2436" t="str">
            <v>Pohon Pulai di Polybag 200 Liter</v>
          </cell>
          <cell r="G2436" t="str">
            <v xml:space="preserve">Buah </v>
          </cell>
          <cell r="H2436">
            <v>325000</v>
          </cell>
        </row>
        <row r="2437">
          <cell r="F2437" t="str">
            <v>Pohon Pulai di Polybag 250
Liter</v>
          </cell>
          <cell r="G2437" t="str">
            <v xml:space="preserve">Buah </v>
          </cell>
          <cell r="H2437">
            <v>350000</v>
          </cell>
        </row>
        <row r="2438">
          <cell r="F2438" t="str">
            <v xml:space="preserve">Pohon sedang Ketapang Kencana </v>
          </cell>
          <cell r="G2438" t="str">
            <v>buah</v>
          </cell>
          <cell r="H2438">
            <v>150000</v>
          </cell>
        </row>
        <row r="2439">
          <cell r="F2439" t="str">
            <v>Pohon Mahoni di Polybag
75 Liter</v>
          </cell>
          <cell r="G2439" t="str">
            <v>Buah</v>
          </cell>
          <cell r="H2439">
            <v>150000</v>
          </cell>
        </row>
        <row r="2440">
          <cell r="F2440" t="str">
            <v>Pohon Mahoni di Polybag 100 Liter</v>
          </cell>
          <cell r="G2440" t="str">
            <v xml:space="preserve">Pohon </v>
          </cell>
          <cell r="H2440">
            <v>400000</v>
          </cell>
        </row>
        <row r="2441">
          <cell r="F2441" t="str">
            <v>Pohon Mahoni di Polybag 150 Liter</v>
          </cell>
          <cell r="G2441" t="str">
            <v xml:space="preserve">Pohon </v>
          </cell>
          <cell r="H2441">
            <v>425000</v>
          </cell>
        </row>
        <row r="2442">
          <cell r="F2442" t="str">
            <v>Pohon Beringin di Polybag 200 Liter</v>
          </cell>
          <cell r="G2442" t="str">
            <v xml:space="preserve">Pohon </v>
          </cell>
          <cell r="H2442">
            <v>550000</v>
          </cell>
        </row>
        <row r="2443">
          <cell r="F2443" t="str">
            <v>Pohon Beringin di Polybag 250 Liter</v>
          </cell>
          <cell r="G2443" t="str">
            <v xml:space="preserve">Pohon </v>
          </cell>
          <cell r="H2443">
            <v>590000</v>
          </cell>
        </row>
        <row r="2444">
          <cell r="F2444" t="str">
            <v>Pohon Beringin di Polybag 100 Liter</v>
          </cell>
          <cell r="G2444" t="str">
            <v xml:space="preserve">buah </v>
          </cell>
          <cell r="H2444">
            <v>250000</v>
          </cell>
        </row>
        <row r="2445">
          <cell r="F2445" t="str">
            <v>Pohon Beringin di Polybag 150 Liter</v>
          </cell>
          <cell r="G2445" t="str">
            <v xml:space="preserve">Buah </v>
          </cell>
          <cell r="H2445">
            <v>275000</v>
          </cell>
        </row>
        <row r="2446">
          <cell r="F2446" t="str">
            <v>Pohon Beringin di Polybag
250 Liter</v>
          </cell>
          <cell r="G2446" t="str">
            <v xml:space="preserve">Buah </v>
          </cell>
          <cell r="H2446">
            <v>300000</v>
          </cell>
        </row>
        <row r="2447">
          <cell r="F2447" t="str">
            <v>Pohon sedang Tabebuya</v>
          </cell>
          <cell r="G2447" t="str">
            <v>buah</v>
          </cell>
          <cell r="H2447">
            <v>450000</v>
          </cell>
        </row>
        <row r="2448">
          <cell r="F2448" t="str">
            <v>Pohon Bintaro di Polybag
50 Liter</v>
          </cell>
          <cell r="G2448" t="str">
            <v xml:space="preserve">Buah </v>
          </cell>
          <cell r="H2448">
            <v>220000</v>
          </cell>
        </row>
        <row r="2449">
          <cell r="F2449" t="str">
            <v>Pohon Bintaro di Polybag 75 Liter</v>
          </cell>
          <cell r="G2449" t="str">
            <v xml:space="preserve">Buah </v>
          </cell>
          <cell r="H2449">
            <v>350000</v>
          </cell>
        </row>
        <row r="2450">
          <cell r="F2450" t="str">
            <v>Pohon Besar Kamboja</v>
          </cell>
          <cell r="G2450" t="str">
            <v>buah</v>
          </cell>
          <cell r="H2450">
            <v>550000</v>
          </cell>
        </row>
        <row r="2451">
          <cell r="F2451" t="str">
            <v>Pohon Besar Beringin</v>
          </cell>
          <cell r="G2451" t="str">
            <v>buah</v>
          </cell>
          <cell r="H2451">
            <v>2900000</v>
          </cell>
        </row>
        <row r="2452">
          <cell r="F2452" t="str">
            <v>Pohon Besar Pulai</v>
          </cell>
          <cell r="G2452" t="str">
            <v>buah</v>
          </cell>
          <cell r="H2452">
            <v>5390000</v>
          </cell>
        </row>
        <row r="2453">
          <cell r="F2453" t="str">
            <v>Pohon Besar Trembesi</v>
          </cell>
          <cell r="G2453" t="str">
            <v>buah</v>
          </cell>
          <cell r="H2453">
            <v>650000</v>
          </cell>
        </row>
        <row r="2454">
          <cell r="F2454" t="str">
            <v>Pohon Trembesi di Polybag 75 Liter</v>
          </cell>
          <cell r="G2454" t="str">
            <v xml:space="preserve">buah </v>
          </cell>
          <cell r="H2454">
            <v>150000</v>
          </cell>
        </row>
        <row r="2455">
          <cell r="F2455" t="str">
            <v>Pohon Trembesi di Polybag 100 Liter</v>
          </cell>
          <cell r="G2455" t="str">
            <v xml:space="preserve">buah </v>
          </cell>
          <cell r="H2455">
            <v>275000</v>
          </cell>
        </row>
        <row r="2456">
          <cell r="F2456" t="str">
            <v>Pohon Trembesi di Polybag 150
Liter</v>
          </cell>
          <cell r="G2456" t="str">
            <v xml:space="preserve">Buah </v>
          </cell>
          <cell r="H2456">
            <v>300000</v>
          </cell>
        </row>
        <row r="2457">
          <cell r="F2457" t="str">
            <v>Pohon Trembesi di Polybag 200
Liter</v>
          </cell>
          <cell r="G2457" t="str">
            <v>Buah</v>
          </cell>
          <cell r="H2457">
            <v>325000</v>
          </cell>
        </row>
        <row r="2458">
          <cell r="F2458" t="str">
            <v>Pohon Trembesi di Polybag
250 Liter</v>
          </cell>
          <cell r="G2458" t="str">
            <v>Buah</v>
          </cell>
          <cell r="H2458">
            <v>350000</v>
          </cell>
        </row>
        <row r="2459">
          <cell r="F2459" t="str">
            <v>Pohon Thevetia di
Polybag 20 Liter</v>
          </cell>
          <cell r="G2459" t="str">
            <v xml:space="preserve">buah </v>
          </cell>
          <cell r="H2459">
            <v>170000</v>
          </cell>
        </row>
        <row r="2460">
          <cell r="F2460" t="str">
            <v>Pohon Thevetia di Polybag 25 Liter</v>
          </cell>
          <cell r="G2460" t="str">
            <v xml:space="preserve">Buah </v>
          </cell>
          <cell r="H2460">
            <v>190000</v>
          </cell>
        </row>
        <row r="2461">
          <cell r="F2461" t="str">
            <v>Pohon Turi di Polybag 20
Liter</v>
          </cell>
          <cell r="G2461" t="str">
            <v xml:space="preserve">buah </v>
          </cell>
          <cell r="H2461">
            <v>180000</v>
          </cell>
        </row>
        <row r="2462">
          <cell r="F2462" t="str">
            <v>Pohon Turi di Polybag 25 Liter</v>
          </cell>
          <cell r="G2462" t="str">
            <v xml:space="preserve">buah </v>
          </cell>
          <cell r="H2462">
            <v>190000</v>
          </cell>
        </row>
        <row r="2463">
          <cell r="F2463" t="str">
            <v>Pohon Kembang Merak di
Polybag 20 Liter</v>
          </cell>
          <cell r="G2463" t="str">
            <v xml:space="preserve">buah </v>
          </cell>
          <cell r="H2463">
            <v>210000</v>
          </cell>
        </row>
        <row r="2464">
          <cell r="F2464" t="str">
            <v>Pohon Pandan Bali di
Polybag 20 Liter</v>
          </cell>
          <cell r="G2464" t="str">
            <v xml:space="preserve">buah </v>
          </cell>
          <cell r="H2464">
            <v>200000</v>
          </cell>
        </row>
        <row r="2465">
          <cell r="F2465" t="str">
            <v>Pohon Yucca di Polybag
20 Liter</v>
          </cell>
          <cell r="G2465" t="str">
            <v xml:space="preserve">buah </v>
          </cell>
          <cell r="H2465">
            <v>190000</v>
          </cell>
        </row>
        <row r="2466">
          <cell r="F2466" t="str">
            <v>Pohon Flamboyan di Polybag 50 Liter</v>
          </cell>
          <cell r="G2466" t="str">
            <v xml:space="preserve">Buah </v>
          </cell>
          <cell r="H2466">
            <v>210000</v>
          </cell>
        </row>
        <row r="2467">
          <cell r="F2467" t="str">
            <v>Pohon Flamboyan Kuning di Polybag 50 Liter</v>
          </cell>
          <cell r="G2467" t="str">
            <v xml:space="preserve">Buah </v>
          </cell>
          <cell r="H2467">
            <v>210000</v>
          </cell>
        </row>
        <row r="2468">
          <cell r="F2468" t="str">
            <v>Pohon Flamboyan di Polybag 75 Liter</v>
          </cell>
          <cell r="G2468" t="str">
            <v xml:space="preserve">Buah </v>
          </cell>
          <cell r="H2468">
            <v>350000</v>
          </cell>
        </row>
        <row r="2469">
          <cell r="F2469" t="str">
            <v>Pohon Flamboyan di Polybag 100 Liter</v>
          </cell>
          <cell r="G2469" t="str">
            <v xml:space="preserve">Buah </v>
          </cell>
          <cell r="H2469">
            <v>375000</v>
          </cell>
        </row>
        <row r="2470">
          <cell r="F2470" t="str">
            <v>Pohon Flamboyan di Polybag 150 Liter</v>
          </cell>
          <cell r="G2470" t="str">
            <v xml:space="preserve">Buah </v>
          </cell>
          <cell r="H2470">
            <v>400000</v>
          </cell>
        </row>
        <row r="2471">
          <cell r="F2471" t="str">
            <v>Pohon Flamboyan di Polybag 200 Liter</v>
          </cell>
          <cell r="G2471" t="str">
            <v xml:space="preserve">Buah </v>
          </cell>
          <cell r="H2471">
            <v>425000</v>
          </cell>
        </row>
        <row r="2472">
          <cell r="F2472" t="str">
            <v>Pohon Flamboyan Kuning di Polybag 75 Liter</v>
          </cell>
          <cell r="G2472" t="str">
            <v xml:space="preserve">Buah </v>
          </cell>
          <cell r="H2472">
            <v>350000</v>
          </cell>
        </row>
        <row r="2473">
          <cell r="F2473" t="str">
            <v>Pohon Janda Merana di Polybag 50 Liter</v>
          </cell>
          <cell r="G2473" t="str">
            <v xml:space="preserve">Buah </v>
          </cell>
          <cell r="H2473">
            <v>220000</v>
          </cell>
        </row>
        <row r="2474">
          <cell r="F2474" t="str">
            <v>Pohon Janda Merana di Polybag 75 Liter</v>
          </cell>
          <cell r="G2474" t="str">
            <v xml:space="preserve">Buah </v>
          </cell>
          <cell r="H2474">
            <v>350000</v>
          </cell>
        </row>
        <row r="2475">
          <cell r="F2475" t="str">
            <v>Pohon Ketapang kencana di Polybag 50 Liter</v>
          </cell>
          <cell r="G2475" t="str">
            <v xml:space="preserve">Buah </v>
          </cell>
          <cell r="H2475">
            <v>225000</v>
          </cell>
        </row>
        <row r="2476">
          <cell r="F2476" t="str">
            <v>Pohon Ketapang kencana di Polybag 75 Liter</v>
          </cell>
          <cell r="G2476" t="str">
            <v xml:space="preserve">Buah </v>
          </cell>
          <cell r="H2476">
            <v>350000</v>
          </cell>
        </row>
        <row r="2477">
          <cell r="F2477" t="str">
            <v>Pohon Ketapang kencana di Polybag 100 Liter</v>
          </cell>
          <cell r="G2477" t="str">
            <v xml:space="preserve">Buah </v>
          </cell>
          <cell r="H2477">
            <v>375000</v>
          </cell>
        </row>
        <row r="2478">
          <cell r="F2478" t="str">
            <v>Pohon Sosis di Polybag 50 Liter</v>
          </cell>
          <cell r="G2478" t="str">
            <v xml:space="preserve">Buah </v>
          </cell>
          <cell r="H2478">
            <v>225000</v>
          </cell>
        </row>
        <row r="2479">
          <cell r="F2479" t="str">
            <v>Pohon Sosis di Polybag 75 Liter</v>
          </cell>
          <cell r="G2479" t="str">
            <v xml:space="preserve">Buah </v>
          </cell>
          <cell r="H2479">
            <v>150000</v>
          </cell>
        </row>
        <row r="2480">
          <cell r="F2480" t="str">
            <v>Pohon Sosis di Polybag 100 Liter</v>
          </cell>
          <cell r="G2480" t="str">
            <v xml:space="preserve">Buah </v>
          </cell>
          <cell r="H2480">
            <v>275000</v>
          </cell>
        </row>
        <row r="2481">
          <cell r="F2481" t="str">
            <v>Pohon Sosis di Polybag 150 Liter</v>
          </cell>
          <cell r="G2481" t="str">
            <v xml:space="preserve">Buah </v>
          </cell>
          <cell r="H2481">
            <v>300000</v>
          </cell>
        </row>
        <row r="2482">
          <cell r="F2482" t="str">
            <v>Pohon Sosis di Polybag 200 Liter</v>
          </cell>
          <cell r="G2482" t="str">
            <v xml:space="preserve">Buah </v>
          </cell>
          <cell r="H2482">
            <v>325000</v>
          </cell>
        </row>
        <row r="2483">
          <cell r="F2483" t="str">
            <v>Pohon Sosis di Polybag 250
Liter</v>
          </cell>
          <cell r="G2483" t="str">
            <v>Buah</v>
          </cell>
          <cell r="H2483">
            <v>350000</v>
          </cell>
        </row>
        <row r="2484">
          <cell r="F2484" t="str">
            <v>Pohon Tabebuya di Polybag 50 Liter</v>
          </cell>
          <cell r="G2484" t="str">
            <v xml:space="preserve">Buah </v>
          </cell>
          <cell r="H2484">
            <v>225000</v>
          </cell>
        </row>
        <row r="2485">
          <cell r="F2485" t="str">
            <v>Pohon Tabebuya di Polybag 75 Liter</v>
          </cell>
          <cell r="G2485" t="str">
            <v xml:space="preserve">Buah </v>
          </cell>
          <cell r="H2485">
            <v>150000</v>
          </cell>
        </row>
        <row r="2486">
          <cell r="F2486" t="str">
            <v>Pohon Waru di Polybag 50 Liter</v>
          </cell>
          <cell r="G2486" t="str">
            <v xml:space="preserve">Buah </v>
          </cell>
          <cell r="H2486">
            <v>225000</v>
          </cell>
        </row>
        <row r="2487">
          <cell r="F2487" t="str">
            <v>Pohon Waru di Polybag 75 Liter</v>
          </cell>
          <cell r="G2487" t="str">
            <v xml:space="preserve">Buah </v>
          </cell>
          <cell r="H2487">
            <v>250000</v>
          </cell>
        </row>
        <row r="2488">
          <cell r="F2488" t="str">
            <v>Pohon Biola Cantik di Polybag 75 Liter</v>
          </cell>
          <cell r="G2488" t="str">
            <v xml:space="preserve">Buah </v>
          </cell>
          <cell r="H2488">
            <v>350000</v>
          </cell>
        </row>
        <row r="2489">
          <cell r="F2489" t="str">
            <v>Pohon Biola Cantik di Polybag 100 Liter</v>
          </cell>
          <cell r="G2489" t="str">
            <v xml:space="preserve">Buah </v>
          </cell>
          <cell r="H2489">
            <v>375000</v>
          </cell>
        </row>
        <row r="2490">
          <cell r="F2490" t="str">
            <v>Pohon Kamboja di Polybag 75 Liter</v>
          </cell>
          <cell r="G2490" t="str">
            <v xml:space="preserve">Buah </v>
          </cell>
          <cell r="H2490">
            <v>350000</v>
          </cell>
        </row>
        <row r="2491">
          <cell r="F2491" t="str">
            <v>Pohon Kamboja di Polybag 100 Liter</v>
          </cell>
          <cell r="G2491" t="str">
            <v xml:space="preserve">buah </v>
          </cell>
          <cell r="H2491">
            <v>375000</v>
          </cell>
        </row>
        <row r="2492">
          <cell r="F2492" t="str">
            <v>Pohon Kamboja di Polybag 150 Liter</v>
          </cell>
          <cell r="G2492" t="str">
            <v xml:space="preserve">Buah </v>
          </cell>
          <cell r="H2492">
            <v>400000</v>
          </cell>
        </row>
        <row r="2493">
          <cell r="F2493" t="str">
            <v>Pohon Kamboja Fosil di Polybag 200 Liter</v>
          </cell>
          <cell r="G2493" t="str">
            <v xml:space="preserve">Buah </v>
          </cell>
          <cell r="H2493">
            <v>425000</v>
          </cell>
        </row>
        <row r="2494">
          <cell r="F2494" t="str">
            <v>Pohon Keben di Polybag 75 Liter</v>
          </cell>
          <cell r="G2494" t="str">
            <v xml:space="preserve">Buah </v>
          </cell>
          <cell r="H2494">
            <v>350000</v>
          </cell>
        </row>
        <row r="2495">
          <cell r="F2495" t="str">
            <v>Pohon Keben di Polybag 100 Liter</v>
          </cell>
          <cell r="G2495" t="str">
            <v xml:space="preserve">Buah </v>
          </cell>
          <cell r="H2495">
            <v>350000</v>
          </cell>
        </row>
        <row r="2496">
          <cell r="F2496" t="str">
            <v>Pohon Kecrutan di Polybag
75 Liter</v>
          </cell>
          <cell r="G2496" t="str">
            <v xml:space="preserve">Buah </v>
          </cell>
          <cell r="H2496">
            <v>350000</v>
          </cell>
        </row>
        <row r="2497">
          <cell r="F2497" t="str">
            <v>Pohon Kecrutan di Polybag 100 Liter</v>
          </cell>
          <cell r="G2497" t="str">
            <v xml:space="preserve">Buah </v>
          </cell>
          <cell r="H2497">
            <v>375000</v>
          </cell>
        </row>
        <row r="2498">
          <cell r="F2498" t="str">
            <v>Pohon Putat di Polybag 75
Liter</v>
          </cell>
          <cell r="G2498" t="str">
            <v xml:space="preserve">Buah </v>
          </cell>
          <cell r="H2498">
            <v>150000</v>
          </cell>
        </row>
        <row r="2499">
          <cell r="F2499" t="str">
            <v>Pohon Putat di Polybag 100 Liter</v>
          </cell>
          <cell r="G2499" t="str">
            <v xml:space="preserve">Buah </v>
          </cell>
          <cell r="H2499">
            <v>275000</v>
          </cell>
        </row>
        <row r="2500">
          <cell r="F2500" t="str">
            <v>Pohon Bodhi di Polybag 100 Liter</v>
          </cell>
          <cell r="G2500" t="str">
            <v xml:space="preserve">buah </v>
          </cell>
          <cell r="H2500">
            <v>275000</v>
          </cell>
        </row>
        <row r="2501">
          <cell r="F2501" t="str">
            <v>Pohon Bodhi di Polybag 150 Liter</v>
          </cell>
          <cell r="G2501" t="str">
            <v xml:space="preserve">Buah </v>
          </cell>
          <cell r="H2501">
            <v>300000</v>
          </cell>
        </row>
        <row r="2502">
          <cell r="F2502" t="str">
            <v>Pohon Bodhi di Polybag 200 Liter</v>
          </cell>
          <cell r="G2502" t="str">
            <v xml:space="preserve">Buah </v>
          </cell>
          <cell r="H2502">
            <v>325000</v>
          </cell>
        </row>
        <row r="2503">
          <cell r="F2503" t="str">
            <v>Pohon Bodhi di Polybag 250
Liter</v>
          </cell>
          <cell r="G2503" t="str">
            <v>Buah</v>
          </cell>
          <cell r="H2503">
            <v>350000</v>
          </cell>
        </row>
        <row r="2504">
          <cell r="F2504" t="str">
            <v>Pohon Baobab di Polybag 250
Liter</v>
          </cell>
          <cell r="G2504" t="str">
            <v>Buah</v>
          </cell>
          <cell r="H2504">
            <v>350000</v>
          </cell>
        </row>
        <row r="2505">
          <cell r="F2505" t="str">
            <v>Palem ekor tupai di Polybag 100
Liter</v>
          </cell>
          <cell r="G2505" t="str">
            <v xml:space="preserve">Buah </v>
          </cell>
          <cell r="H2505">
            <v>250000</v>
          </cell>
        </row>
        <row r="2506">
          <cell r="F2506" t="str">
            <v>Sylvertris di Polybag 100 Liter</v>
          </cell>
          <cell r="G2506" t="str">
            <v xml:space="preserve">Buah </v>
          </cell>
          <cell r="H2506">
            <v>250000</v>
          </cell>
        </row>
        <row r="2507">
          <cell r="F2507" t="str">
            <v>Sylvertris di Polybag 150 Liter</v>
          </cell>
          <cell r="G2507" t="str">
            <v xml:space="preserve">Buah </v>
          </cell>
          <cell r="H2507">
            <v>300000</v>
          </cell>
        </row>
        <row r="2508">
          <cell r="F2508" t="str">
            <v>Sylvertris di Polybag 200 Liter</v>
          </cell>
          <cell r="G2508" t="str">
            <v xml:space="preserve">Buah </v>
          </cell>
          <cell r="H2508">
            <v>400000</v>
          </cell>
        </row>
        <row r="2509">
          <cell r="F2509" t="str">
            <v>Sylvertris di Polybag 250 Liter</v>
          </cell>
          <cell r="G2509" t="str">
            <v xml:space="preserve">Buah </v>
          </cell>
          <cell r="H2509">
            <v>450000</v>
          </cell>
        </row>
        <row r="2510">
          <cell r="F2510" t="str">
            <v>Palem Putri di Polybag 100 Liter</v>
          </cell>
          <cell r="G2510" t="str">
            <v xml:space="preserve">Buah </v>
          </cell>
          <cell r="H2510">
            <v>200000</v>
          </cell>
        </row>
        <row r="2511">
          <cell r="F2511" t="str">
            <v>Palem Putri di Polybag 150 Liter</v>
          </cell>
          <cell r="G2511" t="str">
            <v xml:space="preserve">Buah </v>
          </cell>
          <cell r="H2511">
            <v>300000</v>
          </cell>
        </row>
        <row r="2512">
          <cell r="F2512" t="str">
            <v>Palem Putri di Polybag 200 Liter</v>
          </cell>
          <cell r="G2512" t="str">
            <v xml:space="preserve">Buah </v>
          </cell>
          <cell r="H2512">
            <v>400000</v>
          </cell>
        </row>
        <row r="2513">
          <cell r="F2513" t="str">
            <v>Palem Putri di Polybag 250 Liter</v>
          </cell>
          <cell r="G2513" t="str">
            <v xml:space="preserve">Buah </v>
          </cell>
          <cell r="H2513">
            <v>450000</v>
          </cell>
        </row>
        <row r="2514">
          <cell r="F2514" t="str">
            <v>Palem raja di Polybag 100 Liter</v>
          </cell>
          <cell r="G2514" t="str">
            <v xml:space="preserve">Buah </v>
          </cell>
          <cell r="H2514">
            <v>250000</v>
          </cell>
        </row>
        <row r="2515">
          <cell r="F2515" t="str">
            <v>Palem raja di Polybag 150 Liter</v>
          </cell>
          <cell r="G2515" t="str">
            <v xml:space="preserve">Buah </v>
          </cell>
          <cell r="H2515">
            <v>300000</v>
          </cell>
        </row>
        <row r="2516">
          <cell r="F2516" t="str">
            <v>Palem raja di Polybag 200 Liter</v>
          </cell>
          <cell r="G2516" t="str">
            <v xml:space="preserve">Buah </v>
          </cell>
          <cell r="H2516">
            <v>400000</v>
          </cell>
        </row>
        <row r="2517">
          <cell r="F2517" t="str">
            <v>Palem raja di Polybag 250 Liter</v>
          </cell>
          <cell r="G2517" t="str">
            <v>Buah</v>
          </cell>
          <cell r="H2517">
            <v>450000</v>
          </cell>
        </row>
        <row r="2518">
          <cell r="F2518" t="str">
            <v>Palem sadeng di Polybag 100
Liter</v>
          </cell>
          <cell r="G2518" t="str">
            <v xml:space="preserve">Buah </v>
          </cell>
          <cell r="H2518">
            <v>250000</v>
          </cell>
        </row>
        <row r="2519">
          <cell r="F2519" t="str">
            <v>Palem sadeng di Polybag 150 Liter</v>
          </cell>
          <cell r="G2519" t="str">
            <v xml:space="preserve">Buah </v>
          </cell>
          <cell r="H2519">
            <v>300000</v>
          </cell>
        </row>
        <row r="2520">
          <cell r="F2520" t="str">
            <v>Palem sadeng di Polybag 200
Liter</v>
          </cell>
          <cell r="G2520" t="str">
            <v xml:space="preserve">Buah </v>
          </cell>
          <cell r="H2520">
            <v>400000</v>
          </cell>
        </row>
        <row r="2521">
          <cell r="F2521" t="str">
            <v>Palem Sadeng di Polybag 250
Liter</v>
          </cell>
          <cell r="G2521" t="str">
            <v xml:space="preserve">Buah </v>
          </cell>
          <cell r="H2521">
            <v>450000</v>
          </cell>
        </row>
        <row r="2522">
          <cell r="F2522" t="str">
            <v>Palem Kecil Palem Wregu</v>
          </cell>
          <cell r="G2522" t="str">
            <v>buah</v>
          </cell>
          <cell r="H2522">
            <v>15000</v>
          </cell>
        </row>
        <row r="2523">
          <cell r="F2523" t="str">
            <v>Palem Kecil Palem Kuning</v>
          </cell>
          <cell r="G2523" t="str">
            <v>buah</v>
          </cell>
          <cell r="H2523">
            <v>45000</v>
          </cell>
        </row>
        <row r="2524">
          <cell r="F2524" t="str">
            <v xml:space="preserve">Palem Besar Palem Ekor Tupai </v>
          </cell>
          <cell r="G2524" t="str">
            <v>buah</v>
          </cell>
          <cell r="H2524">
            <v>230000</v>
          </cell>
        </row>
        <row r="2525">
          <cell r="F2525" t="str">
            <v>Palem ekor tupai di Polybag 150
Liter</v>
          </cell>
          <cell r="G2525" t="str">
            <v xml:space="preserve">Buah </v>
          </cell>
          <cell r="H2525">
            <v>300000</v>
          </cell>
        </row>
        <row r="2526">
          <cell r="F2526" t="str">
            <v>Palem ekor tupai di Polybag 200
Liter</v>
          </cell>
          <cell r="G2526" t="str">
            <v xml:space="preserve">Buah </v>
          </cell>
          <cell r="H2526">
            <v>400000</v>
          </cell>
        </row>
        <row r="2527">
          <cell r="F2527" t="str">
            <v>Palem ekor tupai di Polybag 250
Liter</v>
          </cell>
          <cell r="G2527" t="str">
            <v xml:space="preserve">Buah </v>
          </cell>
          <cell r="H2527">
            <v>450000</v>
          </cell>
        </row>
        <row r="2528">
          <cell r="F2528" t="str">
            <v xml:space="preserve">Palem Besar Kelapa </v>
          </cell>
          <cell r="G2528" t="str">
            <v>buah</v>
          </cell>
          <cell r="H2528">
            <v>445000</v>
          </cell>
        </row>
        <row r="2529">
          <cell r="F2529" t="str">
            <v xml:space="preserve">Palem Besar Palem Botol </v>
          </cell>
          <cell r="H2529">
            <v>460000</v>
          </cell>
        </row>
        <row r="2530">
          <cell r="F2530" t="str">
            <v>Palem jepang di Polybag 50 Liter</v>
          </cell>
          <cell r="G2530" t="str">
            <v xml:space="preserve">Buah </v>
          </cell>
          <cell r="H2530">
            <v>150000</v>
          </cell>
        </row>
        <row r="2531">
          <cell r="F2531" t="str">
            <v>Palem jepang di Polybag 75
Liter</v>
          </cell>
          <cell r="G2531" t="str">
            <v>Buah</v>
          </cell>
          <cell r="H2531">
            <v>200000</v>
          </cell>
        </row>
        <row r="2532">
          <cell r="F2532" t="str">
            <v>Palem komodoria/
komodor/chamadorea di
Polybag 50 Liter</v>
          </cell>
          <cell r="G2532" t="str">
            <v xml:space="preserve">Buah </v>
          </cell>
          <cell r="H2532">
            <v>150000</v>
          </cell>
        </row>
        <row r="2533">
          <cell r="F2533" t="str">
            <v>Palem komodoria/
komodor/chamadorea di
Polybag 75 Liter</v>
          </cell>
          <cell r="G2533" t="str">
            <v>Buah</v>
          </cell>
          <cell r="H2533">
            <v>200000</v>
          </cell>
        </row>
        <row r="2534">
          <cell r="F2534" t="str">
            <v>Palem kuning di Polybag 50
Liter</v>
          </cell>
          <cell r="G2534" t="str">
            <v xml:space="preserve">Buah </v>
          </cell>
          <cell r="H2534">
            <v>150000</v>
          </cell>
        </row>
        <row r="2535">
          <cell r="F2535" t="str">
            <v>Palem kuning di Polybag 75
Liter</v>
          </cell>
          <cell r="G2535" t="str">
            <v>Buah</v>
          </cell>
          <cell r="H2535">
            <v>200000</v>
          </cell>
        </row>
        <row r="2536">
          <cell r="F2536" t="str">
            <v>Palem Merah/ Pinang Merah di
Polybag 50 Liter</v>
          </cell>
          <cell r="G2536" t="str">
            <v xml:space="preserve">Buah </v>
          </cell>
          <cell r="H2536">
            <v>150000</v>
          </cell>
        </row>
        <row r="2537">
          <cell r="F2537" t="str">
            <v>Palem waregu di Polybag 50
Liter</v>
          </cell>
          <cell r="G2537" t="str">
            <v xml:space="preserve">Buah </v>
          </cell>
          <cell r="H2537">
            <v>150000</v>
          </cell>
        </row>
        <row r="2538">
          <cell r="F2538" t="str">
            <v>Palem waregu di Polybag 75
Liter</v>
          </cell>
          <cell r="G2538" t="str">
            <v xml:space="preserve">Buah </v>
          </cell>
          <cell r="H2538">
            <v>200000</v>
          </cell>
        </row>
        <row r="2539">
          <cell r="F2539" t="str">
            <v>Sikas Halus/Mawar Jambe di
Polybag 50 Liter</v>
          </cell>
          <cell r="G2539" t="str">
            <v>Buah</v>
          </cell>
          <cell r="H2539">
            <v>150000</v>
          </cell>
        </row>
        <row r="2540">
          <cell r="F2540" t="str">
            <v>Sikas Halus/Mawar Jambe di
Polybag 75 Liter</v>
          </cell>
          <cell r="G2540" t="str">
            <v xml:space="preserve">Buah </v>
          </cell>
          <cell r="H2540">
            <v>200000</v>
          </cell>
        </row>
        <row r="2541">
          <cell r="F2541" t="str">
            <v>Palem Phoenix di Polybag 50
Liter</v>
          </cell>
          <cell r="G2541" t="str">
            <v>Buah</v>
          </cell>
          <cell r="H2541">
            <v>150000</v>
          </cell>
        </row>
        <row r="2542">
          <cell r="F2542" t="str">
            <v>Palem Phoenix di Polybag 75
Liter</v>
          </cell>
          <cell r="G2542" t="str">
            <v>Buah</v>
          </cell>
          <cell r="H2542">
            <v>200000</v>
          </cell>
        </row>
        <row r="2543">
          <cell r="F2543" t="str">
            <v>Palem Merah/ Pinang Merah di
Polybag 75 Liter</v>
          </cell>
          <cell r="G2543" t="str">
            <v xml:space="preserve">Buah </v>
          </cell>
          <cell r="H2543">
            <v>200000</v>
          </cell>
        </row>
        <row r="2544">
          <cell r="F2544" t="str">
            <v>Palem Besar Palem Sadeng</v>
          </cell>
          <cell r="G2544" t="str">
            <v xml:space="preserve">Buah </v>
          </cell>
          <cell r="H2544">
            <v>510000</v>
          </cell>
        </row>
        <row r="2545">
          <cell r="F2545" t="str">
            <v>Semak Alamanda di Polybag 5 Liter</v>
          </cell>
          <cell r="G2545" t="str">
            <v xml:space="preserve">Polybag </v>
          </cell>
          <cell r="H2545">
            <v>10000</v>
          </cell>
        </row>
        <row r="2546">
          <cell r="F2546" t="str">
            <v>Semak Alamanda di Polybag 11 Liter</v>
          </cell>
          <cell r="G2546" t="str">
            <v xml:space="preserve">Polybag </v>
          </cell>
          <cell r="H2546">
            <v>15000</v>
          </cell>
        </row>
        <row r="2547">
          <cell r="F2547" t="str">
            <v>Semak Alamanda di Polybag 20 Liter</v>
          </cell>
          <cell r="G2547" t="str">
            <v xml:space="preserve">Polybag </v>
          </cell>
          <cell r="H2547">
            <v>20000</v>
          </cell>
        </row>
        <row r="2548">
          <cell r="F2548" t="str">
            <v>Semak Alamanda/Bunga
terompet emas di Polybag 5
Liter</v>
          </cell>
          <cell r="G2548" t="str">
            <v>Buah</v>
          </cell>
          <cell r="H2548">
            <v>3000</v>
          </cell>
        </row>
        <row r="2549">
          <cell r="F2549" t="str">
            <v>Semak Alamanda/Bunga
terompet emas di Polybag 11
Liter</v>
          </cell>
          <cell r="G2549" t="str">
            <v xml:space="preserve">Buah </v>
          </cell>
          <cell r="H2549">
            <v>5000</v>
          </cell>
        </row>
        <row r="2550">
          <cell r="F2550" t="str">
            <v>Semak Alamanda/Bunga
terompet emas di Polybag 20 Liter</v>
          </cell>
          <cell r="G2550" t="str">
            <v xml:space="preserve">Buah </v>
          </cell>
          <cell r="H2550">
            <v>9000</v>
          </cell>
        </row>
        <row r="2551">
          <cell r="F2551" t="str">
            <v>Semak Agave/lidah naga di
Polybag 11 Liter</v>
          </cell>
          <cell r="G2551" t="str">
            <v xml:space="preserve">Buah </v>
          </cell>
          <cell r="H2551">
            <v>5000</v>
          </cell>
        </row>
        <row r="2552">
          <cell r="F2552" t="str">
            <v>Semak Agave/lidah naga di
Polybag 20 Liter</v>
          </cell>
          <cell r="G2552" t="str">
            <v xml:space="preserve">Buah </v>
          </cell>
          <cell r="H2552">
            <v>9000</v>
          </cell>
        </row>
        <row r="2553">
          <cell r="F2553" t="str">
            <v>Semak Bakung Lele di Polybag
5 Liter</v>
          </cell>
          <cell r="G2553" t="str">
            <v xml:space="preserve">Buah </v>
          </cell>
          <cell r="H2553">
            <v>3500</v>
          </cell>
        </row>
        <row r="2554">
          <cell r="F2554" t="str">
            <v>Semak Bakung Lele di
Polybag 11 Liter</v>
          </cell>
          <cell r="G2554" t="str">
            <v xml:space="preserve">Buah </v>
          </cell>
          <cell r="H2554">
            <v>5000</v>
          </cell>
        </row>
        <row r="2555">
          <cell r="F2555" t="str">
            <v>Semak Bakung Jawa di
Polybag 11 Liter</v>
          </cell>
          <cell r="G2555" t="str">
            <v xml:space="preserve">Buah </v>
          </cell>
          <cell r="H2555">
            <v>5000</v>
          </cell>
        </row>
        <row r="2556">
          <cell r="F2556" t="str">
            <v>Semak Bakung Jawa di Polybag
20 Liter</v>
          </cell>
          <cell r="G2556" t="str">
            <v xml:space="preserve">Buah </v>
          </cell>
          <cell r="H2556">
            <v>9000</v>
          </cell>
        </row>
        <row r="2557">
          <cell r="F2557" t="str">
            <v>Semak Bromelia di Polybag
11 Liter</v>
          </cell>
          <cell r="G2557" t="str">
            <v xml:space="preserve">Buah </v>
          </cell>
          <cell r="H2557">
            <v>5000</v>
          </cell>
        </row>
        <row r="2558">
          <cell r="F2558" t="str">
            <v>Semak Bromelia di Polybag 20
Liter</v>
          </cell>
          <cell r="G2558" t="str">
            <v xml:space="preserve">Buah </v>
          </cell>
          <cell r="H2558">
            <v>9000</v>
          </cell>
        </row>
        <row r="2559">
          <cell r="F2559" t="str">
            <v>Semak Bugenvil/bunga kertas di
Polybag 20 Liter</v>
          </cell>
          <cell r="G2559" t="str">
            <v xml:space="preserve">Buah </v>
          </cell>
          <cell r="H2559">
            <v>9000</v>
          </cell>
        </row>
        <row r="2560">
          <cell r="F2560" t="str">
            <v>Semak Bunga Iris di Polybag 5
Liter</v>
          </cell>
          <cell r="G2560" t="str">
            <v xml:space="preserve">Buah </v>
          </cell>
          <cell r="H2560">
            <v>3000</v>
          </cell>
        </row>
        <row r="2561">
          <cell r="F2561" t="str">
            <v>Semak Bunga Terompet
Kuning di Polybag 11 Liter</v>
          </cell>
          <cell r="G2561" t="str">
            <v>Buah</v>
          </cell>
          <cell r="H2561">
            <v>5000</v>
          </cell>
        </row>
        <row r="2562">
          <cell r="F2562" t="str">
            <v>Semak Bunga Terompet Kuning di
Polybag 20 Liter</v>
          </cell>
          <cell r="G2562" t="str">
            <v xml:space="preserve">Buah </v>
          </cell>
          <cell r="H2562">
            <v>9000</v>
          </cell>
        </row>
        <row r="2563">
          <cell r="F2563" t="str">
            <v>Semak Calathea di Polybag 5
Liter</v>
          </cell>
          <cell r="G2563" t="str">
            <v xml:space="preserve">Buah </v>
          </cell>
          <cell r="H2563">
            <v>3000</v>
          </cell>
        </row>
        <row r="2564">
          <cell r="F2564" t="str">
            <v>Semak Canna di Polybag 20 Liter</v>
          </cell>
          <cell r="G2564" t="str">
            <v xml:space="preserve">Buah </v>
          </cell>
          <cell r="H2564">
            <v>9000</v>
          </cell>
        </row>
        <row r="2565">
          <cell r="F2565" t="str">
            <v>Semak Capit Udang</v>
          </cell>
          <cell r="G2565" t="str">
            <v xml:space="preserve">Buah </v>
          </cell>
          <cell r="H2565">
            <v>2100</v>
          </cell>
        </row>
        <row r="2566">
          <cell r="F2566" t="str">
            <v>Semak Cendrawasih di Polybag
5 Liter</v>
          </cell>
          <cell r="G2566" t="str">
            <v xml:space="preserve">Buah </v>
          </cell>
          <cell r="H2566">
            <v>3000</v>
          </cell>
        </row>
        <row r="2567">
          <cell r="F2567" t="str">
            <v>Semak Costus di Polybag 11
Liter</v>
          </cell>
          <cell r="G2567" t="str">
            <v>Buah</v>
          </cell>
          <cell r="H2567">
            <v>5000</v>
          </cell>
        </row>
        <row r="2568">
          <cell r="F2568" t="str">
            <v>Semak Costus di Polybag 11
Liter</v>
          </cell>
          <cell r="G2568" t="str">
            <v>Buah</v>
          </cell>
          <cell r="H2568">
            <v>5000</v>
          </cell>
        </row>
        <row r="2569">
          <cell r="F2569" t="str">
            <v>Semak Dracaena ‘Song of
India’ di Polybag 11 Liter</v>
          </cell>
          <cell r="G2569" t="str">
            <v xml:space="preserve">Buah </v>
          </cell>
          <cell r="H2569">
            <v>5000</v>
          </cell>
        </row>
        <row r="2570">
          <cell r="F2570" t="str">
            <v>Semak Dracaena 'Song of
Jamaica' di Polybag 11 Liter</v>
          </cell>
          <cell r="G2570" t="str">
            <v xml:space="preserve">Buah </v>
          </cell>
          <cell r="H2570">
            <v>5000</v>
          </cell>
        </row>
        <row r="2571">
          <cell r="F2571" t="str">
            <v>Semak Dracaena ‘Song of India’ di
Polybag 20 Liter</v>
          </cell>
          <cell r="G2571" t="str">
            <v xml:space="preserve">Buah </v>
          </cell>
          <cell r="H2571">
            <v>9000</v>
          </cell>
        </row>
        <row r="2572">
          <cell r="F2572" t="str">
            <v>Semak Dracaena 'Song of
Jamaica' di Polybag 20 Liter</v>
          </cell>
          <cell r="G2572" t="str">
            <v xml:space="preserve">Buah </v>
          </cell>
          <cell r="H2572">
            <v>9000</v>
          </cell>
        </row>
        <row r="2573">
          <cell r="F2573" t="str">
            <v>Semak Helliconia di Polybag
11 Liter</v>
          </cell>
          <cell r="G2573" t="str">
            <v xml:space="preserve">Buah </v>
          </cell>
          <cell r="H2573">
            <v>5000</v>
          </cell>
        </row>
        <row r="2574">
          <cell r="F2574" t="str">
            <v>Semak Helliconia di Polybag 20
Liter</v>
          </cell>
          <cell r="G2574" t="str">
            <v xml:space="preserve">Buah </v>
          </cell>
          <cell r="H2574">
            <v>9000</v>
          </cell>
        </row>
        <row r="2575">
          <cell r="F2575" t="str">
            <v>Semak Honje/Kecombrang di
Polybag 11 Liter</v>
          </cell>
          <cell r="G2575" t="str">
            <v xml:space="preserve">Buah </v>
          </cell>
          <cell r="H2575">
            <v>5000</v>
          </cell>
        </row>
        <row r="2576">
          <cell r="F2576" t="str">
            <v>Semak Honje/Kecombrang di
Polybag 20 Liter</v>
          </cell>
          <cell r="G2576" t="str">
            <v xml:space="preserve">Buah </v>
          </cell>
          <cell r="H2576">
            <v>9000</v>
          </cell>
        </row>
        <row r="2577">
          <cell r="F2577" t="str">
            <v>Semak Hujan Mas di Polybag 5
Liter</v>
          </cell>
          <cell r="G2577" t="str">
            <v xml:space="preserve">Buah </v>
          </cell>
          <cell r="H2577">
            <v>3000</v>
          </cell>
        </row>
        <row r="2578">
          <cell r="F2578" t="str">
            <v>Semak Hujan Mas di Polybag
11 Liter</v>
          </cell>
          <cell r="G2578" t="str">
            <v xml:space="preserve">Buah </v>
          </cell>
          <cell r="H2578">
            <v>5000</v>
          </cell>
        </row>
        <row r="2579">
          <cell r="F2579" t="str">
            <v>Semak Hujan Mas di Polybag 20
Liter</v>
          </cell>
          <cell r="G2579" t="str">
            <v xml:space="preserve">Buah </v>
          </cell>
          <cell r="H2579">
            <v>9000</v>
          </cell>
        </row>
        <row r="2580">
          <cell r="F2580" t="str">
            <v>Semak Kacapiring
wangi/Gardenia di Polybag 5
Liter</v>
          </cell>
          <cell r="G2580" t="str">
            <v xml:space="preserve">Buah </v>
          </cell>
          <cell r="H2580">
            <v>3000</v>
          </cell>
        </row>
        <row r="2581">
          <cell r="F2581" t="str">
            <v>Semak Kaca piring di Polybag
11 Liter</v>
          </cell>
          <cell r="G2581" t="str">
            <v>Buah</v>
          </cell>
          <cell r="H2581">
            <v>5000</v>
          </cell>
        </row>
        <row r="2582">
          <cell r="F2582" t="str">
            <v>Semak Kacapiring
wangi/Gardenia di Polybag
11 Liter</v>
          </cell>
          <cell r="G2582" t="str">
            <v xml:space="preserve">Buah </v>
          </cell>
          <cell r="H2582">
            <v>5000</v>
          </cell>
        </row>
        <row r="2583">
          <cell r="F2583" t="str">
            <v>Semak Kacapiring
wangi/Gardenia di Polybag 20
Liter</v>
          </cell>
          <cell r="G2583" t="str">
            <v xml:space="preserve">Buah </v>
          </cell>
          <cell r="H2583">
            <v>9000</v>
          </cell>
        </row>
        <row r="2584">
          <cell r="F2584" t="str">
            <v>Semak Kembang sepatu di
Polybag 20 Liter</v>
          </cell>
          <cell r="G2584" t="str">
            <v xml:space="preserve">Buah </v>
          </cell>
          <cell r="H2584">
            <v>9000</v>
          </cell>
        </row>
        <row r="2585">
          <cell r="F2585" t="str">
            <v>Semak Kemuning di Polybag 5
Liter</v>
          </cell>
          <cell r="G2585" t="str">
            <v>Buah</v>
          </cell>
          <cell r="H2585">
            <v>3000</v>
          </cell>
        </row>
        <row r="2586">
          <cell r="F2586" t="str">
            <v>Semak Kana di Polybag 11
Liter</v>
          </cell>
          <cell r="G2586" t="str">
            <v xml:space="preserve">Buah </v>
          </cell>
          <cell r="H2586">
            <v>5000</v>
          </cell>
        </row>
        <row r="2587">
          <cell r="F2587" t="str">
            <v>Semak Lili Brazil di Polybag
11 Liter</v>
          </cell>
          <cell r="G2587" t="str">
            <v xml:space="preserve">Buah </v>
          </cell>
          <cell r="H2587">
            <v>5000</v>
          </cell>
        </row>
        <row r="2588">
          <cell r="F2588" t="str">
            <v>Semak Melati Putih di Polybag
5 Liter</v>
          </cell>
          <cell r="G2588" t="str">
            <v>Buah</v>
          </cell>
          <cell r="H2588">
            <v>3000</v>
          </cell>
        </row>
        <row r="2589">
          <cell r="F2589" t="str">
            <v>Semak Melati Putih di
Polybag 11 Liter</v>
          </cell>
          <cell r="G2589" t="str">
            <v xml:space="preserve">Buah </v>
          </cell>
          <cell r="H2589">
            <v>5000</v>
          </cell>
        </row>
        <row r="2590">
          <cell r="F2590" t="str">
            <v>Semak Nusa Indah di
Polybag 11 Liter</v>
          </cell>
          <cell r="G2590" t="str">
            <v>Buah</v>
          </cell>
          <cell r="H2590">
            <v>5000</v>
          </cell>
        </row>
        <row r="2591">
          <cell r="F2591" t="str">
            <v>Semak Oleander/Bunga
Mentega di Polybag 11 Liter</v>
          </cell>
          <cell r="G2591" t="str">
            <v xml:space="preserve">Buah </v>
          </cell>
          <cell r="H2591">
            <v>5000</v>
          </cell>
        </row>
        <row r="2592">
          <cell r="F2592" t="str">
            <v>Semak Oleander/Bunga Mentega
di Polybag 20 Liter</v>
          </cell>
          <cell r="G2592" t="str">
            <v xml:space="preserve">Buah </v>
          </cell>
          <cell r="H2592">
            <v>9000</v>
          </cell>
        </row>
        <row r="2593">
          <cell r="F2593" t="str">
            <v>Semak Pandan Kuning di
Polybag 5 Liter</v>
          </cell>
          <cell r="G2593" t="str">
            <v>Buah</v>
          </cell>
          <cell r="H2593">
            <v>3000</v>
          </cell>
        </row>
        <row r="2594">
          <cell r="F2594" t="str">
            <v>Semak Penda Emas di Polybag 20
Liter</v>
          </cell>
          <cell r="G2594" t="str">
            <v xml:space="preserve">Buah </v>
          </cell>
          <cell r="H2594">
            <v>9000</v>
          </cell>
        </row>
        <row r="2595">
          <cell r="F2595" t="str">
            <v>Semak Pretty Pink di Polybag 5
Liter</v>
          </cell>
          <cell r="G2595" t="str">
            <v>Buah</v>
          </cell>
          <cell r="H2595">
            <v>3000</v>
          </cell>
        </row>
        <row r="2596">
          <cell r="F2596" t="str">
            <v>Semak Pretty Pink di Polybag
11 Liter</v>
          </cell>
          <cell r="G2596" t="str">
            <v xml:space="preserve">Buah </v>
          </cell>
          <cell r="H2596">
            <v>5000</v>
          </cell>
        </row>
        <row r="2597">
          <cell r="F2597" t="str">
            <v>Semak Puring di Polybag 11
Liter</v>
          </cell>
          <cell r="G2597" t="str">
            <v xml:space="preserve">Buah </v>
          </cell>
          <cell r="H2597">
            <v>5000</v>
          </cell>
        </row>
        <row r="2598">
          <cell r="F2598" t="str">
            <v>Semak Puring di Polybag 20 Liter</v>
          </cell>
          <cell r="G2598" t="str">
            <v xml:space="preserve">Buah </v>
          </cell>
          <cell r="H2598">
            <v>9000</v>
          </cell>
        </row>
        <row r="2599">
          <cell r="F2599" t="str">
            <v>Semak Ruelia / Kencana
Ungu di Polybag 11 Liter</v>
          </cell>
          <cell r="G2599" t="str">
            <v xml:space="preserve">Buah </v>
          </cell>
          <cell r="H2599">
            <v>5000</v>
          </cell>
        </row>
        <row r="2600">
          <cell r="F2600" t="str">
            <v>Semak Sansevieria/Lidah
Mertua di Polybag 5 Liter</v>
          </cell>
          <cell r="G2600" t="str">
            <v xml:space="preserve">Buah </v>
          </cell>
          <cell r="H2600">
            <v>3000</v>
          </cell>
        </row>
        <row r="2601">
          <cell r="F2601" t="str">
            <v>Semak Sansevieria/Lidah
Mertua di Polybag 11 Liter</v>
          </cell>
          <cell r="G2601" t="str">
            <v xml:space="preserve">Buah </v>
          </cell>
          <cell r="H2601">
            <v>5000</v>
          </cell>
        </row>
        <row r="2602">
          <cell r="F2602" t="str">
            <v>Semak Soka di Polybag 11
Liter</v>
          </cell>
          <cell r="G2602" t="str">
            <v xml:space="preserve">Buah </v>
          </cell>
          <cell r="H2602">
            <v>5000</v>
          </cell>
        </row>
        <row r="2603">
          <cell r="F2603" t="str">
            <v>Semak Tabernae/Mondokaki di
Polybag 5 Liter</v>
          </cell>
          <cell r="G2603" t="str">
            <v xml:space="preserve">Buah </v>
          </cell>
          <cell r="H2603">
            <v>3000</v>
          </cell>
        </row>
        <row r="2604">
          <cell r="F2604" t="str">
            <v>Semak Tabernae di Polybag
11 Liter</v>
          </cell>
          <cell r="G2604" t="str">
            <v xml:space="preserve">Buah </v>
          </cell>
          <cell r="H2604">
            <v>5000</v>
          </cell>
        </row>
        <row r="2605">
          <cell r="F2605" t="str">
            <v>Semak Tabernac di Polybag 20
Liter</v>
          </cell>
          <cell r="G2605" t="str">
            <v xml:space="preserve">Buah </v>
          </cell>
          <cell r="H2605">
            <v>9000</v>
          </cell>
        </row>
        <row r="2606">
          <cell r="F2606" t="str">
            <v>Semak Walisongo/Umbrella
tree di Polybag 5 Liter</v>
          </cell>
          <cell r="G2606" t="str">
            <v xml:space="preserve">Buah </v>
          </cell>
          <cell r="H2606">
            <v>3000</v>
          </cell>
        </row>
        <row r="2607">
          <cell r="F2607" t="str">
            <v>Semak Walisongo/Umbrella
Tree di Polybag 11 Liter</v>
          </cell>
          <cell r="G2607" t="str">
            <v xml:space="preserve">Buah </v>
          </cell>
          <cell r="H2607">
            <v>5000</v>
          </cell>
        </row>
        <row r="2608">
          <cell r="F2608" t="str">
            <v>Semak Walisongo/Umbrella Tree
di Polybag 20 Liter</v>
          </cell>
          <cell r="G2608" t="str">
            <v xml:space="preserve">Buah </v>
          </cell>
          <cell r="H2608">
            <v>9000</v>
          </cell>
        </row>
        <row r="2609">
          <cell r="F2609" t="str">
            <v xml:space="preserve">Penutup Tanah Kacang Hias </v>
          </cell>
          <cell r="H2609">
            <v>2500</v>
          </cell>
        </row>
        <row r="2610">
          <cell r="F2610" t="str">
            <v>Penutup Tanah Kacang hias di
Polybag 0.5 Liter</v>
          </cell>
          <cell r="G2610" t="str">
            <v>m2</v>
          </cell>
          <cell r="H2610">
            <v>15000</v>
          </cell>
        </row>
        <row r="2611">
          <cell r="F2611" t="str">
            <v>Penutup Tanah Kucai Mini di
Polybag 0.5 Liter</v>
          </cell>
          <cell r="G2611" t="str">
            <v>m2</v>
          </cell>
          <cell r="H2611">
            <v>15000</v>
          </cell>
        </row>
        <row r="2612">
          <cell r="F2612" t="str">
            <v>Penutup Tanah Lantana di
Polybag 0.5 Liter</v>
          </cell>
          <cell r="G2612" t="str">
            <v>m2</v>
          </cell>
          <cell r="H2612">
            <v>15000</v>
          </cell>
        </row>
        <row r="2613">
          <cell r="F2613" t="str">
            <v>Penutup Tanah Sutra bombay
di Polybag 0.5 Liter</v>
          </cell>
          <cell r="G2613" t="str">
            <v>m2</v>
          </cell>
          <cell r="H2613">
            <v>15000</v>
          </cell>
        </row>
        <row r="2614">
          <cell r="F2614" t="str">
            <v>Penutup Tanah Widelia di
Polybag 0.5 Liter</v>
          </cell>
          <cell r="G2614" t="str">
            <v>m2</v>
          </cell>
          <cell r="H2614">
            <v>15000</v>
          </cell>
        </row>
        <row r="2615">
          <cell r="F2615" t="str">
            <v>Rumput embun</v>
          </cell>
          <cell r="G2615" t="str">
            <v>m2</v>
          </cell>
          <cell r="H2615">
            <v>17000</v>
          </cell>
        </row>
        <row r="2616">
          <cell r="F2616" t="str">
            <v>Rumput gajah</v>
          </cell>
          <cell r="G2616" t="str">
            <v>m2</v>
          </cell>
          <cell r="H2616">
            <v>10000</v>
          </cell>
        </row>
        <row r="2617">
          <cell r="F2617" t="str">
            <v>Rumput Gajah Mini</v>
          </cell>
          <cell r="G2617" t="str">
            <v>m2</v>
          </cell>
          <cell r="H2617">
            <v>15000</v>
          </cell>
        </row>
        <row r="2618">
          <cell r="F2618" t="str">
            <v>Rumput peking</v>
          </cell>
          <cell r="G2618" t="str">
            <v>m2</v>
          </cell>
          <cell r="H2618">
            <v>19000</v>
          </cell>
        </row>
        <row r="2619">
          <cell r="F2619" t="str">
            <v xml:space="preserve">Matras Tipe I, Termasuk angkur / penguat matras </v>
          </cell>
          <cell r="G2619" t="str">
            <v>m2</v>
          </cell>
          <cell r="H2619">
            <v>5600</v>
          </cell>
        </row>
        <row r="2620">
          <cell r="F2620" t="str">
            <v xml:space="preserve">Perekat Campuran Hydroseeding </v>
          </cell>
          <cell r="G2620" t="str">
            <v>kg</v>
          </cell>
          <cell r="H2620">
            <v>16000</v>
          </cell>
        </row>
        <row r="2621">
          <cell r="F2621" t="str">
            <v>Bibit Vegetasi (Biji Rumput)</v>
          </cell>
          <cell r="G2621" t="str">
            <v>kg</v>
          </cell>
          <cell r="H2621">
            <v>80000</v>
          </cell>
        </row>
        <row r="2622">
          <cell r="F2622" t="str">
            <v xml:space="preserve">Mulsa </v>
          </cell>
          <cell r="G2622" t="str">
            <v>kg</v>
          </cell>
          <cell r="H2622">
            <v>35000</v>
          </cell>
        </row>
        <row r="2623">
          <cell r="F2623" t="str">
            <v>Pupuk anorganik *)</v>
          </cell>
          <cell r="G2623" t="str">
            <v>kg</v>
          </cell>
          <cell r="H2623">
            <v>18000</v>
          </cell>
        </row>
        <row r="2624">
          <cell r="F2624" t="str">
            <v>Pupuk anorganik (ex: NPK)</v>
          </cell>
          <cell r="G2624" t="str">
            <v>m3</v>
          </cell>
          <cell r="H2624">
            <v>180000</v>
          </cell>
        </row>
        <row r="2625">
          <cell r="F2625" t="str">
            <v>Pupuk anorganik cair (ex: NPK)</v>
          </cell>
          <cell r="G2625" t="str">
            <v>M3</v>
          </cell>
          <cell r="H2625">
            <v>150000</v>
          </cell>
        </row>
        <row r="2626">
          <cell r="F2626" t="str">
            <v xml:space="preserve">Pupuk anorganik padat </v>
          </cell>
          <cell r="G2626" t="str">
            <v>m3</v>
          </cell>
          <cell r="H2626">
            <v>150000</v>
          </cell>
        </row>
        <row r="2627">
          <cell r="F2627" t="str">
            <v>Perekat Matras
Perkuatan (Lem)</v>
          </cell>
          <cell r="G2627" t="str">
            <v>kg</v>
          </cell>
          <cell r="H2627">
            <v>18000</v>
          </cell>
        </row>
        <row r="2628">
          <cell r="F2628" t="str">
            <v xml:space="preserve">Matras Tipe II, Termasuk angkur / penguat matras </v>
          </cell>
          <cell r="G2628" t="str">
            <v>m2</v>
          </cell>
          <cell r="H2628">
            <v>7500</v>
          </cell>
        </row>
        <row r="2629">
          <cell r="F2629" t="str">
            <v xml:space="preserve">Matras Tipe III, Termasuk angkur / penguat matras </v>
          </cell>
          <cell r="H2629">
            <v>9500</v>
          </cell>
        </row>
        <row r="2630">
          <cell r="F2630" t="str">
            <v>Bibit Vegetasi (Biji Legume Crop Cover/LCC)</v>
          </cell>
          <cell r="G2630" t="str">
            <v>kg</v>
          </cell>
          <cell r="H2630">
            <v>166000</v>
          </cell>
        </row>
        <row r="2631">
          <cell r="F2631" t="str">
            <v xml:space="preserve">Material Organik </v>
          </cell>
          <cell r="G2631" t="str">
            <v>m3</v>
          </cell>
          <cell r="H2631">
            <v>10500</v>
          </cell>
        </row>
        <row r="2632">
          <cell r="F2632" t="str">
            <v xml:space="preserve">Kapur </v>
          </cell>
          <cell r="G2632" t="str">
            <v xml:space="preserve">kg </v>
          </cell>
          <cell r="H2632">
            <v>3100</v>
          </cell>
        </row>
        <row r="2633">
          <cell r="F2633" t="str">
            <v xml:space="preserve">Pasir </v>
          </cell>
          <cell r="G2633" t="str">
            <v>m3</v>
          </cell>
          <cell r="H2633">
            <v>250000</v>
          </cell>
        </row>
        <row r="2634">
          <cell r="F2634" t="str">
            <v xml:space="preserve">sulfur </v>
          </cell>
          <cell r="G2634" t="str">
            <v>kg</v>
          </cell>
          <cell r="H2634">
            <v>12000</v>
          </cell>
        </row>
        <row r="2635">
          <cell r="F2635" t="str">
            <v>Air Bersih</v>
          </cell>
          <cell r="G2635" t="str">
            <v xml:space="preserve">liter </v>
          </cell>
          <cell r="H2635">
            <v>550</v>
          </cell>
        </row>
        <row r="2636">
          <cell r="F2636" t="str">
            <v>Fungisida/Insektisida</v>
          </cell>
          <cell r="G2636" t="str">
            <v xml:space="preserve">kg </v>
          </cell>
          <cell r="H2636">
            <v>430000</v>
          </cell>
        </row>
        <row r="2637">
          <cell r="F2637" t="str">
            <v>Cat Minyak</v>
          </cell>
          <cell r="G2637" t="str">
            <v xml:space="preserve">liter </v>
          </cell>
          <cell r="H2637">
            <v>48500</v>
          </cell>
        </row>
        <row r="2638">
          <cell r="F2638" t="str">
            <v>Tong Sampah 2 tabung</v>
          </cell>
          <cell r="G2638" t="str">
            <v>buah</v>
          </cell>
          <cell r="H2638">
            <v>340000</v>
          </cell>
        </row>
        <row r="2639">
          <cell r="F2639" t="str">
            <v>Besi Hollow 30x60</v>
          </cell>
          <cell r="G2639" t="str">
            <v>m3</v>
          </cell>
          <cell r="H2639">
            <v>13700</v>
          </cell>
        </row>
        <row r="2640">
          <cell r="F2640" t="str">
            <v xml:space="preserve">Bambu* dia. 3-5 cm </v>
          </cell>
          <cell r="G2640" t="str">
            <v>m'</v>
          </cell>
          <cell r="H2640">
            <v>700</v>
          </cell>
        </row>
        <row r="2641">
          <cell r="F2641" t="str">
            <v xml:space="preserve">Bambu* dia. 5-8 cm </v>
          </cell>
          <cell r="G2641" t="str">
            <v>m</v>
          </cell>
          <cell r="H2641">
            <v>900</v>
          </cell>
        </row>
        <row r="2642">
          <cell r="F2642" t="str">
            <v xml:space="preserve">bambu* dia. 8-10 cm </v>
          </cell>
          <cell r="G2642" t="str">
            <v>M</v>
          </cell>
          <cell r="H2642">
            <v>12000</v>
          </cell>
        </row>
        <row r="2643">
          <cell r="F2643" t="str">
            <v xml:space="preserve">bambu* dia. 10-12 cm </v>
          </cell>
          <cell r="G2643" t="str">
            <v>m</v>
          </cell>
          <cell r="H2643">
            <v>15000</v>
          </cell>
        </row>
        <row r="2644">
          <cell r="F2644" t="str">
            <v xml:space="preserve">Tali/pengikat sejenisnya </v>
          </cell>
          <cell r="G2644" t="str">
            <v>m</v>
          </cell>
          <cell r="H2644">
            <v>500</v>
          </cell>
        </row>
        <row r="2645">
          <cell r="F2645" t="str">
            <v>Sewa Lahan</v>
          </cell>
          <cell r="G2645" t="str">
            <v>m2</v>
          </cell>
          <cell r="H2645">
            <v>1000000</v>
          </cell>
        </row>
        <row r="2647">
          <cell r="F2647" t="str">
            <v>Alat  bantu</v>
          </cell>
          <cell r="G2647" t="str">
            <v>set</v>
          </cell>
          <cell r="H2647">
            <v>50000</v>
          </cell>
        </row>
        <row r="2648">
          <cell r="F2648" t="str">
            <v>Asphalt Distributor</v>
          </cell>
          <cell r="G2648" t="str">
            <v>jam</v>
          </cell>
          <cell r="H2648">
            <v>307300</v>
          </cell>
        </row>
        <row r="2649">
          <cell r="F2649" t="str">
            <v>Asphalt  finisher</v>
          </cell>
          <cell r="G2649" t="str">
            <v>jam</v>
          </cell>
          <cell r="H2649">
            <v>602500</v>
          </cell>
        </row>
        <row r="2650">
          <cell r="F2650" t="str">
            <v>Asphalt  liquid mixer 1000 ℓ</v>
          </cell>
          <cell r="G2650" t="str">
            <v>jam</v>
          </cell>
          <cell r="H2650">
            <v>61100</v>
          </cell>
        </row>
        <row r="2651">
          <cell r="F2651" t="str">
            <v>Asphalt  mixing plant</v>
          </cell>
          <cell r="G2651" t="str">
            <v>jam</v>
          </cell>
          <cell r="H2651">
            <v>6253800</v>
          </cell>
        </row>
        <row r="2652">
          <cell r="F2652" t="str">
            <v>Asphalt  sprayer 850 ℓ</v>
          </cell>
          <cell r="G2652" t="str">
            <v>jam</v>
          </cell>
          <cell r="H2652">
            <v>74900</v>
          </cell>
        </row>
        <row r="2653">
          <cell r="F2653" t="str">
            <v>Bender baja beton</v>
          </cell>
          <cell r="G2653" t="str">
            <v>hari</v>
          </cell>
          <cell r="H2653">
            <v>850000</v>
          </cell>
        </row>
        <row r="2654">
          <cell r="F2654" t="str">
            <v>Blending equipment</v>
          </cell>
          <cell r="G2654" t="str">
            <v>jam</v>
          </cell>
          <cell r="H2654">
            <v>235000</v>
          </cell>
        </row>
        <row r="2655">
          <cell r="F2655" t="str">
            <v>Bore pile machine</v>
          </cell>
          <cell r="G2655" t="str">
            <v>jam</v>
          </cell>
          <cell r="H2655">
            <v>476900</v>
          </cell>
        </row>
        <row r="2656">
          <cell r="F2656" t="str">
            <v>Bulldozer 100-150 HP</v>
          </cell>
          <cell r="G2656" t="str">
            <v>jam</v>
          </cell>
          <cell r="H2656">
            <v>912500</v>
          </cell>
        </row>
        <row r="2657">
          <cell r="F2657" t="str">
            <v>Chain saw</v>
          </cell>
          <cell r="G2657" t="str">
            <v>jam</v>
          </cell>
          <cell r="H2657">
            <v>60200</v>
          </cell>
        </row>
        <row r="2658">
          <cell r="F2658" t="str">
            <v>Chainsaw 20”; 5,5HP</v>
          </cell>
          <cell r="G2658" t="str">
            <v>hari</v>
          </cell>
          <cell r="H2658">
            <v>300000</v>
          </cell>
        </row>
        <row r="2659">
          <cell r="F2659" t="str">
            <v>Chainsaw 30”; 7,5HP</v>
          </cell>
          <cell r="G2659" t="str">
            <v>hari</v>
          </cell>
          <cell r="H2659">
            <v>300000</v>
          </cell>
        </row>
        <row r="2660">
          <cell r="F2660" t="str">
            <v>Cold milling machine</v>
          </cell>
          <cell r="G2660" t="str">
            <v>jam</v>
          </cell>
          <cell r="H2660">
            <v>648500</v>
          </cell>
        </row>
        <row r="2661">
          <cell r="F2661" t="str">
            <v>Colt T-120 (D); R-Blk. 4; 12 m3</v>
          </cell>
          <cell r="G2661" t="str">
            <v>jam</v>
          </cell>
          <cell r="H2661">
            <v>314110.76</v>
          </cell>
        </row>
        <row r="2662">
          <cell r="F2662" t="str">
            <v>Compressor 4000-6500 ℓ\m</v>
          </cell>
          <cell r="G2662" t="str">
            <v>jam</v>
          </cell>
          <cell r="H2662">
            <v>185500</v>
          </cell>
        </row>
        <row r="2663">
          <cell r="F2663" t="str">
            <v>Compressor bor</v>
          </cell>
          <cell r="G2663" t="str">
            <v>unit</v>
          </cell>
          <cell r="H2663">
            <v>700000</v>
          </cell>
        </row>
        <row r="2664">
          <cell r="F2664" t="str">
            <v>Concrete mixer 350 ℓ</v>
          </cell>
          <cell r="G2664" t="str">
            <v>jam</v>
          </cell>
          <cell r="H2664">
            <v>94600</v>
          </cell>
        </row>
        <row r="2665">
          <cell r="F2665" t="str">
            <v>Concrete mixer 500 ℓ</v>
          </cell>
          <cell r="G2665" t="str">
            <v>jam</v>
          </cell>
          <cell r="H2665">
            <v>103400</v>
          </cell>
        </row>
        <row r="2666">
          <cell r="F2666" t="str">
            <v>Concrete mixer truck 5 m³</v>
          </cell>
          <cell r="G2666" t="str">
            <v>jam</v>
          </cell>
          <cell r="H2666">
            <v>576100</v>
          </cell>
        </row>
        <row r="2667">
          <cell r="F2667" t="str">
            <v>Concrete pan mixer</v>
          </cell>
          <cell r="G2667" t="str">
            <v>jam</v>
          </cell>
          <cell r="H2667">
            <v>800700</v>
          </cell>
        </row>
        <row r="2668">
          <cell r="F2668" t="str">
            <v>Concrete pump</v>
          </cell>
          <cell r="G2668" t="str">
            <v>jam</v>
          </cell>
          <cell r="H2668">
            <v>296800</v>
          </cell>
        </row>
        <row r="2669">
          <cell r="F2669" t="str">
            <v>Concrete slip form paver</v>
          </cell>
          <cell r="G2669" t="str">
            <v>jam</v>
          </cell>
          <cell r="H2669">
            <v>582400</v>
          </cell>
        </row>
        <row r="2670">
          <cell r="F2670" t="str">
            <v>Concrete vibrator</v>
          </cell>
          <cell r="G2670" t="str">
            <v>hari</v>
          </cell>
          <cell r="H2670">
            <v>800000</v>
          </cell>
        </row>
        <row r="2671">
          <cell r="F2671" t="str">
            <v>Crane on track 35 ton</v>
          </cell>
          <cell r="G2671" t="str">
            <v>jam</v>
          </cell>
          <cell r="H2671">
            <v>440800</v>
          </cell>
        </row>
        <row r="2672">
          <cell r="F2672" t="str">
            <v>Crane Truck 3 ton; Winch 5 Ton</v>
          </cell>
          <cell r="G2672" t="str">
            <v>jam</v>
          </cell>
          <cell r="H2672">
            <v>430662.86</v>
          </cell>
        </row>
        <row r="2673">
          <cell r="F2673" t="str">
            <v>Crane on wheel 10-15 ton</v>
          </cell>
          <cell r="G2673" t="str">
            <v>jam</v>
          </cell>
          <cell r="H2673">
            <v>359800</v>
          </cell>
        </row>
        <row r="2674">
          <cell r="F2674" t="str">
            <v>Cutter baja beton</v>
          </cell>
          <cell r="G2674" t="str">
            <v>hari</v>
          </cell>
          <cell r="H2674">
            <v>800000</v>
          </cell>
        </row>
        <row r="2675">
          <cell r="F2675" t="str">
            <v>Cutting machine</v>
          </cell>
          <cell r="G2675" t="str">
            <v>jam</v>
          </cell>
          <cell r="H2675">
            <v>55100</v>
          </cell>
        </row>
        <row r="2676">
          <cell r="F2676" t="str">
            <v>Depresiasi alat  compressor</v>
          </cell>
          <cell r="G2676" t="str">
            <v>hari</v>
          </cell>
          <cell r="H2676">
            <v>425000</v>
          </cell>
        </row>
        <row r="2677">
          <cell r="F2677" t="str">
            <v>Depresiasi mesin pompa uji</v>
          </cell>
          <cell r="G2677" t="str">
            <v>hari</v>
          </cell>
          <cell r="H2677">
            <v>42000</v>
          </cell>
        </row>
        <row r="2678">
          <cell r="F2678" t="str">
            <v>Depresiasi peralatan pemboran</v>
          </cell>
          <cell r="G2678" t="str">
            <v>hari</v>
          </cell>
          <cell r="H2678">
            <v>265000</v>
          </cell>
        </row>
        <row r="2679">
          <cell r="F2679" t="str">
            <v>Dump truck 1</v>
          </cell>
          <cell r="G2679" t="str">
            <v>jam</v>
          </cell>
          <cell r="H2679">
            <v>556100</v>
          </cell>
        </row>
        <row r="2680">
          <cell r="F2680" t="str">
            <v>Dump truck 2</v>
          </cell>
          <cell r="G2680" t="str">
            <v>jam</v>
          </cell>
          <cell r="H2680">
            <v>556100</v>
          </cell>
        </row>
        <row r="2681">
          <cell r="F2681" t="str">
            <v>Dump truck 3</v>
          </cell>
          <cell r="G2681" t="str">
            <v>jam</v>
          </cell>
          <cell r="H2681">
            <v>556100</v>
          </cell>
        </row>
        <row r="2682">
          <cell r="F2682" t="str">
            <v>Dump truck 20 ton</v>
          </cell>
          <cell r="G2682" t="str">
            <v>jam</v>
          </cell>
          <cell r="H2682">
            <v>556100</v>
          </cell>
        </row>
        <row r="2683">
          <cell r="F2683" t="str">
            <v>Dump truck 3,5 ton</v>
          </cell>
          <cell r="G2683" t="str">
            <v>jam</v>
          </cell>
          <cell r="H2683">
            <v>304800</v>
          </cell>
        </row>
        <row r="2684">
          <cell r="F2684" t="str">
            <v>Dump truck 40 ton</v>
          </cell>
          <cell r="G2684" t="str">
            <v>jam</v>
          </cell>
          <cell r="H2684">
            <v>676500</v>
          </cell>
        </row>
        <row r="2685">
          <cell r="F2685" t="str">
            <v>Dump truck 7,5 ton</v>
          </cell>
          <cell r="G2685" t="str">
            <v>jam</v>
          </cell>
          <cell r="H2685">
            <v>344400</v>
          </cell>
        </row>
        <row r="2686">
          <cell r="F2686" t="str">
            <v>Pick up L300</v>
          </cell>
          <cell r="G2686" t="str">
            <v>jam</v>
          </cell>
          <cell r="H2686">
            <v>268539.71000000002</v>
          </cell>
        </row>
        <row r="2687">
          <cell r="F2687" t="str">
            <v>Fuso (D); R-Blk. 8; 35 m3</v>
          </cell>
          <cell r="G2687" t="str">
            <v>jam</v>
          </cell>
          <cell r="H2687">
            <v>418543.76</v>
          </cell>
        </row>
        <row r="2688">
          <cell r="F2688" t="str">
            <v>Flat deck truck 7 ton</v>
          </cell>
          <cell r="G2688" t="str">
            <v xml:space="preserve">hari </v>
          </cell>
          <cell r="H2688">
            <v>2700000</v>
          </cell>
        </row>
        <row r="2689">
          <cell r="F2689" t="str">
            <v xml:space="preserve">Hoist 1 ton </v>
          </cell>
          <cell r="G2689" t="str">
            <v xml:space="preserve">hari </v>
          </cell>
          <cell r="H2689">
            <v>180000</v>
          </cell>
        </row>
        <row r="2690">
          <cell r="F2690" t="str">
            <v>Excavator 95 HP</v>
          </cell>
          <cell r="G2690" t="str">
            <v>jam</v>
          </cell>
          <cell r="H2690">
            <v>480000</v>
          </cell>
        </row>
        <row r="2691">
          <cell r="F2691" t="str">
            <v xml:space="preserve">Excavator </v>
          </cell>
          <cell r="G2691" t="str">
            <v xml:space="preserve">Hari </v>
          </cell>
          <cell r="H2691">
            <v>5150000</v>
          </cell>
        </row>
        <row r="2692">
          <cell r="F2692" t="str">
            <v>Excavator 80-140 HP</v>
          </cell>
          <cell r="G2692" t="str">
            <v>jam</v>
          </cell>
          <cell r="H2692">
            <v>668200</v>
          </cell>
        </row>
        <row r="2693">
          <cell r="F2693" t="str">
            <v>Flat  bed truck 3-4 m³</v>
          </cell>
          <cell r="G2693" t="str">
            <v>jam</v>
          </cell>
          <cell r="H2693">
            <v>465100</v>
          </cell>
        </row>
        <row r="2694">
          <cell r="F2694" t="str">
            <v>Generator set  135 KVA</v>
          </cell>
          <cell r="G2694" t="str">
            <v>jam</v>
          </cell>
          <cell r="H2694">
            <v>410200</v>
          </cell>
        </row>
        <row r="2695">
          <cell r="F2695" t="str">
            <v>Jack hammer</v>
          </cell>
          <cell r="G2695" t="str">
            <v>hari</v>
          </cell>
          <cell r="H2695">
            <v>350000</v>
          </cell>
        </row>
        <row r="2696">
          <cell r="F2696" t="str">
            <v>Jack hammer + genset</v>
          </cell>
          <cell r="G2696" t="str">
            <v>hari</v>
          </cell>
          <cell r="H2696">
            <v>2300000</v>
          </cell>
        </row>
        <row r="2697">
          <cell r="F2697" t="str">
            <v xml:space="preserve">Sewa Genset </v>
          </cell>
          <cell r="G2697" t="str">
            <v xml:space="preserve">hari </v>
          </cell>
          <cell r="H2697">
            <v>150000</v>
          </cell>
        </row>
        <row r="2698">
          <cell r="F2698" t="str">
            <v>Logging</v>
          </cell>
          <cell r="G2698" t="str">
            <v>unit</v>
          </cell>
          <cell r="H2698">
            <v>280000</v>
          </cell>
        </row>
        <row r="2699">
          <cell r="F2699" t="str">
            <v>Mata bor auger 20 cm</v>
          </cell>
          <cell r="G2699" t="str">
            <v>hari</v>
          </cell>
          <cell r="H2699">
            <v>100000</v>
          </cell>
        </row>
        <row r="2700">
          <cell r="F2700" t="str">
            <v>Mata bor auger 30 cm</v>
          </cell>
          <cell r="G2700" t="str">
            <v>hari</v>
          </cell>
          <cell r="H2700">
            <v>170000</v>
          </cell>
        </row>
        <row r="2701">
          <cell r="F2701" t="str">
            <v>Mata bor auger 40 cm</v>
          </cell>
          <cell r="G2701" t="str">
            <v>hari</v>
          </cell>
          <cell r="H2701">
            <v>250000</v>
          </cell>
        </row>
        <row r="2702">
          <cell r="F2702" t="str">
            <v>Mata bor auger 50 cm</v>
          </cell>
          <cell r="G2702" t="str">
            <v>hari</v>
          </cell>
          <cell r="H2702">
            <v>340000</v>
          </cell>
        </row>
        <row r="2703">
          <cell r="F2703" t="str">
            <v>Mesin bor</v>
          </cell>
          <cell r="G2703" t="str">
            <v>unit</v>
          </cell>
          <cell r="H2703">
            <v>450000</v>
          </cell>
        </row>
        <row r="2704">
          <cell r="F2704" t="str">
            <v>Mesin gilas  2 roda 6 - 10 ton</v>
          </cell>
          <cell r="G2704" t="str">
            <v>jam</v>
          </cell>
          <cell r="H2704">
            <v>325000</v>
          </cell>
        </row>
        <row r="2705">
          <cell r="F2705" t="str">
            <v>Mesin gilas  3 roda 6 - 10 ton</v>
          </cell>
          <cell r="G2705" t="str">
            <v>jam</v>
          </cell>
          <cell r="H2705">
            <v>350000</v>
          </cell>
        </row>
        <row r="2706">
          <cell r="F2706" t="str">
            <v>Mesin gilas  roda karet  8 - 10 ton</v>
          </cell>
          <cell r="G2706" t="str">
            <v>jam</v>
          </cell>
          <cell r="H2706">
            <v>415000</v>
          </cell>
        </row>
        <row r="2707">
          <cell r="F2707" t="str">
            <v>Mesin kerek</v>
          </cell>
          <cell r="G2707" t="str">
            <v>unit</v>
          </cell>
          <cell r="H2707">
            <v>50000</v>
          </cell>
        </row>
        <row r="2708">
          <cell r="F2708" t="str">
            <v>Mesin poles</v>
          </cell>
          <cell r="G2708" t="str">
            <v>hari</v>
          </cell>
          <cell r="H2708">
            <v>150000</v>
          </cell>
        </row>
        <row r="2709">
          <cell r="F2709" t="str">
            <v>Mesin trowel</v>
          </cell>
          <cell r="G2709" t="str">
            <v>jam</v>
          </cell>
          <cell r="H2709">
            <v>45000</v>
          </cell>
        </row>
        <row r="2710">
          <cell r="F2710" t="str">
            <v>Mesin Gendong</v>
          </cell>
          <cell r="G2710" t="str">
            <v xml:space="preserve">Jam </v>
          </cell>
          <cell r="H2710">
            <v>150000</v>
          </cell>
        </row>
        <row r="2711">
          <cell r="F2711" t="str">
            <v>Motor grader &gt;100 HP</v>
          </cell>
          <cell r="G2711" t="str">
            <v>jam</v>
          </cell>
          <cell r="H2711">
            <v>548600</v>
          </cell>
        </row>
        <row r="2712">
          <cell r="F2712" t="str">
            <v>Pedestrian Roller</v>
          </cell>
          <cell r="G2712" t="str">
            <v>jam</v>
          </cell>
          <cell r="H2712">
            <v>99800</v>
          </cell>
        </row>
        <row r="2713">
          <cell r="F2713" t="str">
            <v>Pile driver +  hammer 2,5 ton</v>
          </cell>
          <cell r="G2713" t="str">
            <v>jam</v>
          </cell>
          <cell r="H2713">
            <v>153400</v>
          </cell>
        </row>
        <row r="2714">
          <cell r="F2714" t="str">
            <v>Pneumatic  tire roller 8-10 ton</v>
          </cell>
          <cell r="G2714" t="str">
            <v>jam</v>
          </cell>
          <cell r="H2714">
            <v>491000</v>
          </cell>
        </row>
        <row r="2715">
          <cell r="F2715" t="str">
            <v>Pompa beton ∅ 2,5", 75KW; 120 bar, T= 50 m'/H=80 m’</v>
          </cell>
          <cell r="G2715" t="str">
            <v>hari</v>
          </cell>
          <cell r="H2715">
            <v>6600000</v>
          </cell>
        </row>
        <row r="2716">
          <cell r="F2716" t="str">
            <v>Pompa beton ∅ 2,5",20 KW; 20 bar, T = 18 m'</v>
          </cell>
          <cell r="G2716" t="str">
            <v>hari</v>
          </cell>
          <cell r="H2716">
            <v>6300000</v>
          </cell>
        </row>
        <row r="2717">
          <cell r="F2717" t="str">
            <v>Pompa beton ∅ 3",140KW; 180 bar, T = 75 m' / H=150 m'</v>
          </cell>
          <cell r="G2717" t="str">
            <v>hari</v>
          </cell>
          <cell r="H2717">
            <v>8000000</v>
          </cell>
        </row>
        <row r="2718">
          <cell r="F2718" t="str">
            <v>Pompa beton φ 1,5";5 KW; 8 bar; T = 5 m'</v>
          </cell>
          <cell r="G2718" t="str">
            <v>hari</v>
          </cell>
          <cell r="H2718">
            <v>6000000</v>
          </cell>
        </row>
        <row r="2719">
          <cell r="F2719" t="str">
            <v>Pompa injeksi</v>
          </cell>
          <cell r="G2719" t="str">
            <v>unit</v>
          </cell>
          <cell r="H2719">
            <v>300000</v>
          </cell>
        </row>
        <row r="2720">
          <cell r="F2720" t="str">
            <v>Pompa tangan</v>
          </cell>
          <cell r="G2720" t="str">
            <v>unit</v>
          </cell>
          <cell r="H2720">
            <v>160000</v>
          </cell>
        </row>
        <row r="2721">
          <cell r="F2721" t="str">
            <v>Road Marking Machine</v>
          </cell>
          <cell r="G2721" t="str">
            <v>jam</v>
          </cell>
          <cell r="H2721">
            <v>491000</v>
          </cell>
        </row>
        <row r="2722">
          <cell r="F2722" t="str">
            <v>Sewa alat cutting machine</v>
          </cell>
          <cell r="G2722" t="str">
            <v>hari</v>
          </cell>
          <cell r="H2722">
            <v>25000</v>
          </cell>
        </row>
        <row r="2723">
          <cell r="F2723" t="str">
            <v>Sewa alat las</v>
          </cell>
          <cell r="G2723" t="str">
            <v>hari</v>
          </cell>
          <cell r="H2723">
            <v>25000</v>
          </cell>
        </row>
        <row r="2724">
          <cell r="F2724" t="str">
            <v xml:space="preserve">Alat las listrik </v>
          </cell>
          <cell r="G2724" t="str">
            <v xml:space="preserve">jam </v>
          </cell>
          <cell r="H2724">
            <v>3125</v>
          </cell>
        </row>
        <row r="2725">
          <cell r="F2725" t="str">
            <v>Alat las listrik 150 A</v>
          </cell>
          <cell r="G2725" t="str">
            <v xml:space="preserve">jam </v>
          </cell>
          <cell r="H2725">
            <v>3125</v>
          </cell>
        </row>
        <row r="2726">
          <cell r="F2726" t="str">
            <v>Alat las listrik 250 A</v>
          </cell>
          <cell r="G2726" t="str">
            <v xml:space="preserve">jam </v>
          </cell>
          <cell r="H2726">
            <v>3125</v>
          </cell>
        </row>
        <row r="2727">
          <cell r="F2727" t="str">
            <v>Alat las listrik 350 A</v>
          </cell>
          <cell r="G2727" t="str">
            <v xml:space="preserve">jam </v>
          </cell>
          <cell r="H2727">
            <v>3125</v>
          </cell>
        </row>
        <row r="2728">
          <cell r="F2728" t="str">
            <v>Alat las listrik 500 A</v>
          </cell>
          <cell r="G2728" t="str">
            <v xml:space="preserve">jam </v>
          </cell>
          <cell r="H2728">
            <v>3125</v>
          </cell>
        </row>
        <row r="2729">
          <cell r="F2729" t="str">
            <v>Mesin Las Gotextile</v>
          </cell>
          <cell r="G2729" t="str">
            <v xml:space="preserve">hari </v>
          </cell>
          <cell r="H2729">
            <v>25000</v>
          </cell>
        </row>
        <row r="2730">
          <cell r="F2730" t="str">
            <v xml:space="preserve">Kunci Momen </v>
          </cell>
          <cell r="G2730" t="str">
            <v>hari</v>
          </cell>
          <cell r="H2730">
            <v>20000</v>
          </cell>
        </row>
        <row r="2731">
          <cell r="F2731" t="str">
            <v>Sewa bor horisontal</v>
          </cell>
          <cell r="G2731" t="str">
            <v>hari</v>
          </cell>
          <cell r="H2731">
            <v>150000</v>
          </cell>
        </row>
        <row r="2732">
          <cell r="F2732" t="str">
            <v>Sewa Scaffolding :</v>
          </cell>
        </row>
        <row r="2733">
          <cell r="F2733" t="str">
            <v>- ScaffoldingPipe brancing 3 m</v>
          </cell>
          <cell r="G2733" t="str">
            <v>bulan</v>
          </cell>
          <cell r="H2733">
            <v>8800</v>
          </cell>
        </row>
        <row r="2734">
          <cell r="F2734" t="str">
            <v>- Scaffolding Pipe brancing 6 m</v>
          </cell>
          <cell r="G2734" t="str">
            <v>bulan</v>
          </cell>
          <cell r="H2734">
            <v>17600</v>
          </cell>
        </row>
        <row r="2735">
          <cell r="F2735" t="str">
            <v>Sewa Scaffolding</v>
          </cell>
          <cell r="G2735" t="str">
            <v>hari</v>
          </cell>
          <cell r="H2735">
            <v>586.66666666666663</v>
          </cell>
        </row>
        <row r="2736">
          <cell r="F2736" t="str">
            <v xml:space="preserve">Sewa Gondola </v>
          </cell>
          <cell r="G2736" t="str">
            <v>hari</v>
          </cell>
          <cell r="H2736">
            <v>322000</v>
          </cell>
        </row>
        <row r="2737">
          <cell r="F2737" t="str">
            <v>Sewa Pipe Support</v>
          </cell>
          <cell r="G2737" t="str">
            <v xml:space="preserve">hari </v>
          </cell>
          <cell r="H2737">
            <v>850</v>
          </cell>
        </row>
        <row r="2738">
          <cell r="F2738" t="str">
            <v>Stamper</v>
          </cell>
          <cell r="G2738" t="str">
            <v>jam</v>
          </cell>
          <cell r="H2738">
            <v>35000</v>
          </cell>
        </row>
        <row r="2739">
          <cell r="F2739" t="str">
            <v xml:space="preserve">Sprayer Gendong </v>
          </cell>
          <cell r="G2739" t="str">
            <v xml:space="preserve">Hari </v>
          </cell>
          <cell r="H2739">
            <v>350000</v>
          </cell>
        </row>
        <row r="2740">
          <cell r="F2740" t="str">
            <v xml:space="preserve">Stamper Kodok 150 kg </v>
          </cell>
          <cell r="G2740" t="str">
            <v xml:space="preserve">Hari </v>
          </cell>
          <cell r="H2740">
            <v>350000</v>
          </cell>
        </row>
        <row r="2741">
          <cell r="F2741" t="str">
            <v xml:space="preserve">Stamper Kuda </v>
          </cell>
          <cell r="G2741" t="str">
            <v xml:space="preserve">hari </v>
          </cell>
          <cell r="H2741">
            <v>290000</v>
          </cell>
        </row>
        <row r="2742">
          <cell r="F2742" t="str">
            <v xml:space="preserve">Stamper D-Drum </v>
          </cell>
          <cell r="G2742" t="str">
            <v xml:space="preserve">hari </v>
          </cell>
          <cell r="H2742">
            <v>310000</v>
          </cell>
        </row>
        <row r="2743">
          <cell r="F2743" t="str">
            <v>Stamper Smooth_Drum</v>
          </cell>
          <cell r="G2743" t="str">
            <v xml:space="preserve">hari </v>
          </cell>
          <cell r="H2743">
            <v>350000</v>
          </cell>
        </row>
        <row r="2744">
          <cell r="F2744" t="str">
            <v>Stang bor, batang bor dia. 1-1/4"</v>
          </cell>
          <cell r="G2744" t="str">
            <v>hari</v>
          </cell>
          <cell r="H2744">
            <v>95000</v>
          </cell>
        </row>
        <row r="2745">
          <cell r="F2745" t="str">
            <v>Stone crusher</v>
          </cell>
          <cell r="G2745" t="str">
            <v>jam</v>
          </cell>
          <cell r="H2745">
            <v>799500</v>
          </cell>
        </row>
        <row r="2746">
          <cell r="F2746" t="str">
            <v>Tandem roller 6-8 ton</v>
          </cell>
          <cell r="G2746" t="str">
            <v>jam</v>
          </cell>
          <cell r="H2746">
            <v>469500</v>
          </cell>
        </row>
        <row r="2747">
          <cell r="F2747" t="str">
            <v>Theodolit</v>
          </cell>
          <cell r="G2747" t="str">
            <v>hari</v>
          </cell>
          <cell r="H2747">
            <v>150000</v>
          </cell>
        </row>
        <row r="2748">
          <cell r="F2748" t="str">
            <v>Three wheel roller</v>
          </cell>
          <cell r="G2748" t="str">
            <v>jam</v>
          </cell>
          <cell r="H2748">
            <v>262300</v>
          </cell>
        </row>
        <row r="2749">
          <cell r="F2749" t="str">
            <v xml:space="preserve">P. Tyre Roller </v>
          </cell>
          <cell r="G2749" t="str">
            <v xml:space="preserve">jam </v>
          </cell>
          <cell r="H2749">
            <v>275000</v>
          </cell>
        </row>
        <row r="2750">
          <cell r="F2750" t="str">
            <v>Tower crane arm 30 m</v>
          </cell>
          <cell r="G2750" t="str">
            <v>hari</v>
          </cell>
          <cell r="H2750">
            <v>3442900</v>
          </cell>
        </row>
        <row r="2751">
          <cell r="F2751" t="str">
            <v xml:space="preserve">Crane </v>
          </cell>
          <cell r="G2751" t="str">
            <v xml:space="preserve">hari </v>
          </cell>
          <cell r="H2751">
            <v>3442900</v>
          </cell>
        </row>
        <row r="2752">
          <cell r="F2752" t="str">
            <v xml:space="preserve">Crane </v>
          </cell>
          <cell r="G2752" t="str">
            <v xml:space="preserve">jam </v>
          </cell>
          <cell r="H2752">
            <v>430000</v>
          </cell>
        </row>
        <row r="2753">
          <cell r="F2753" t="str">
            <v xml:space="preserve">Sewa Crane kapasitas 1 ton </v>
          </cell>
          <cell r="G2753" t="str">
            <v xml:space="preserve">jam </v>
          </cell>
          <cell r="H2753">
            <v>430000</v>
          </cell>
        </row>
        <row r="2754">
          <cell r="F2754" t="str">
            <v>Transportasi peralatan drailler</v>
          </cell>
          <cell r="G2754" t="str">
            <v>unit</v>
          </cell>
          <cell r="H2754">
            <v>500000</v>
          </cell>
        </row>
        <row r="2755">
          <cell r="F2755" t="str">
            <v>Vibratory plate tamper</v>
          </cell>
          <cell r="G2755" t="str">
            <v>jam</v>
          </cell>
          <cell r="H2755">
            <v>58800</v>
          </cell>
        </row>
        <row r="2756">
          <cell r="F2756" t="str">
            <v>Vibratory roller 1 ton</v>
          </cell>
          <cell r="G2756" t="str">
            <v>jam</v>
          </cell>
          <cell r="H2756">
            <v>95000</v>
          </cell>
        </row>
        <row r="2757">
          <cell r="F2757" t="str">
            <v>Vibratory roller 5-8 ton</v>
          </cell>
          <cell r="G2757" t="str">
            <v>jam</v>
          </cell>
          <cell r="H2757">
            <v>392200</v>
          </cell>
        </row>
        <row r="2758">
          <cell r="F2758" t="str">
            <v>Water pump 70-100 mm</v>
          </cell>
          <cell r="G2758" t="str">
            <v>jam</v>
          </cell>
          <cell r="H2758">
            <v>71700</v>
          </cell>
        </row>
        <row r="2759">
          <cell r="F2759" t="str">
            <v>Water tanker truck 3000-4000 ℓ</v>
          </cell>
          <cell r="G2759" t="str">
            <v>jam</v>
          </cell>
          <cell r="H2759">
            <v>255200</v>
          </cell>
        </row>
        <row r="2760">
          <cell r="F2760" t="str">
            <v xml:space="preserve">Water Truck </v>
          </cell>
          <cell r="G2760" t="str">
            <v xml:space="preserve">hari </v>
          </cell>
          <cell r="H2760">
            <v>1550000</v>
          </cell>
        </row>
        <row r="2761">
          <cell r="F2761" t="str">
            <v>Waterpass</v>
          </cell>
          <cell r="G2761" t="str">
            <v>hari</v>
          </cell>
          <cell r="H2761">
            <v>75000</v>
          </cell>
        </row>
        <row r="2762">
          <cell r="F2762" t="str">
            <v>Wheel loader</v>
          </cell>
          <cell r="G2762" t="str">
            <v>jam</v>
          </cell>
          <cell r="H2762">
            <v>472400</v>
          </cell>
        </row>
        <row r="2763">
          <cell r="F2763" t="str">
            <v xml:space="preserve">AMP </v>
          </cell>
          <cell r="G2763" t="str">
            <v xml:space="preserve">Jam </v>
          </cell>
          <cell r="H2763">
            <v>3981125</v>
          </cell>
        </row>
        <row r="2764">
          <cell r="F2764" t="str">
            <v xml:space="preserve">Asphalt Finisher </v>
          </cell>
          <cell r="G2764" t="str">
            <v xml:space="preserve">Jam </v>
          </cell>
          <cell r="H2764">
            <v>450000</v>
          </cell>
        </row>
        <row r="2765">
          <cell r="F2765" t="str">
            <v>Wheel loader 1,0-1,6 m³</v>
          </cell>
          <cell r="G2765" t="str">
            <v>jam</v>
          </cell>
          <cell r="H2765">
            <v>472400</v>
          </cell>
        </row>
        <row r="2766">
          <cell r="F2766" t="str">
            <v>Alat  pancang Hammer 0.5 ton</v>
          </cell>
          <cell r="G2766" t="str">
            <v>hari</v>
          </cell>
          <cell r="H2766">
            <v>350000</v>
          </cell>
        </row>
        <row r="2767">
          <cell r="F2767" t="str">
            <v>Alat Pancang Mini Pile</v>
          </cell>
          <cell r="G2767" t="str">
            <v xml:space="preserve">hari </v>
          </cell>
          <cell r="H2767">
            <v>250000</v>
          </cell>
        </row>
        <row r="2768">
          <cell r="F2768" t="str">
            <v>Alat pancang Hidraulik Pile Driver</v>
          </cell>
          <cell r="G2768" t="str">
            <v xml:space="preserve">hari </v>
          </cell>
          <cell r="H2768">
            <v>487000</v>
          </cell>
        </row>
        <row r="2769">
          <cell r="F2769" t="str">
            <v>Alat  penyambung tiang pancang dolken</v>
          </cell>
          <cell r="G2769" t="str">
            <v>hari</v>
          </cell>
          <cell r="H2769">
            <v>350000</v>
          </cell>
        </row>
        <row r="2770">
          <cell r="F2770" t="str">
            <v>Alat Penyambung Balok</v>
          </cell>
          <cell r="G2770" t="str">
            <v xml:space="preserve">buah </v>
          </cell>
          <cell r="H2770">
            <v>200000</v>
          </cell>
        </row>
        <row r="2771">
          <cell r="F2771" t="str">
            <v xml:space="preserve">Alat Penyambung Beton </v>
          </cell>
          <cell r="G2771" t="str">
            <v xml:space="preserve">buah </v>
          </cell>
          <cell r="H2771">
            <v>250000</v>
          </cell>
        </row>
        <row r="2772">
          <cell r="F2772" t="str">
            <v>Alat Penyambung Beton dia. 30 cm</v>
          </cell>
          <cell r="G2772" t="str">
            <v xml:space="preserve">buah </v>
          </cell>
          <cell r="H2772">
            <v>250000</v>
          </cell>
        </row>
        <row r="2773">
          <cell r="F2773" t="str">
            <v>Alat Penyambung Beton dia. 35 cm</v>
          </cell>
          <cell r="G2773" t="str">
            <v xml:space="preserve">buah </v>
          </cell>
          <cell r="H2773">
            <v>255000</v>
          </cell>
        </row>
        <row r="2774">
          <cell r="F2774" t="str">
            <v>Alat sambung kayu terbuat dari baja</v>
          </cell>
          <cell r="G2774" t="str">
            <v xml:space="preserve">buah </v>
          </cell>
          <cell r="H2774">
            <v>250000</v>
          </cell>
        </row>
        <row r="2775">
          <cell r="F2775" t="str">
            <v>Sepatu pancang</v>
          </cell>
          <cell r="G2775" t="str">
            <v xml:space="preserve">buah </v>
          </cell>
          <cell r="H2775">
            <v>124500</v>
          </cell>
        </row>
        <row r="2776">
          <cell r="F2776" t="str">
            <v>Sepatu pancang beton</v>
          </cell>
          <cell r="G2776" t="str">
            <v xml:space="preserve">buah </v>
          </cell>
          <cell r="H2776">
            <v>124500</v>
          </cell>
        </row>
        <row r="2777">
          <cell r="F2777" t="str">
            <v>Sepatu Pancang dia. 30 cm</v>
          </cell>
          <cell r="G2777" t="str">
            <v xml:space="preserve">buah </v>
          </cell>
          <cell r="H2777">
            <v>135000</v>
          </cell>
        </row>
        <row r="2778">
          <cell r="F2778" t="str">
            <v>Sepatu Pancang dia. 35 cm</v>
          </cell>
          <cell r="G2778" t="str">
            <v xml:space="preserve">buah </v>
          </cell>
          <cell r="H2778">
            <v>140000</v>
          </cell>
        </row>
        <row r="2779">
          <cell r="F2779" t="str">
            <v>Crawler Crane 10 Ton + Ladder 14 ton</v>
          </cell>
          <cell r="G2779" t="str">
            <v xml:space="preserve">jam </v>
          </cell>
          <cell r="H2779">
            <v>500000</v>
          </cell>
        </row>
        <row r="2780">
          <cell r="F2780" t="str">
            <v>Crawler Crane 20 Ton + Ladder 14 ton</v>
          </cell>
          <cell r="G2780" t="str">
            <v xml:space="preserve">jam </v>
          </cell>
          <cell r="H2780">
            <v>550000</v>
          </cell>
        </row>
        <row r="2781">
          <cell r="F2781" t="str">
            <v>Driver Hammer</v>
          </cell>
          <cell r="G2781" t="str">
            <v xml:space="preserve">jam </v>
          </cell>
          <cell r="H2781">
            <v>50000</v>
          </cell>
        </row>
        <row r="2782">
          <cell r="F2782" t="str">
            <v>Driver Hammer 2 ton</v>
          </cell>
          <cell r="G2782" t="str">
            <v xml:space="preserve">jam </v>
          </cell>
          <cell r="H2782">
            <v>50000</v>
          </cell>
        </row>
        <row r="2783">
          <cell r="F2783" t="str">
            <v xml:space="preserve">Sewa Mesin Hydroseeding 2000L </v>
          </cell>
          <cell r="G2783" t="str">
            <v xml:space="preserve">liter </v>
          </cell>
          <cell r="H2783">
            <v>350000</v>
          </cell>
        </row>
        <row r="2784">
          <cell r="F2784" t="str">
            <v>Angkur/mur/baut</v>
          </cell>
          <cell r="G2784" t="str">
            <v>set</v>
          </cell>
          <cell r="H2784">
            <v>45000</v>
          </cell>
        </row>
        <row r="2785">
          <cell r="F2785" t="str">
            <v xml:space="preserve">Angkur M16 </v>
          </cell>
          <cell r="G2785" t="str">
            <v xml:space="preserve">buah </v>
          </cell>
          <cell r="H2785">
            <v>18500</v>
          </cell>
        </row>
        <row r="2786">
          <cell r="F2786" t="str">
            <v>Beton Neser</v>
          </cell>
          <cell r="G2786" t="str">
            <v>batang</v>
          </cell>
          <cell r="H2786">
            <v>52000</v>
          </cell>
        </row>
        <row r="2787">
          <cell r="F2787" t="str">
            <v>BP (Biaya Penyambungan)</v>
          </cell>
          <cell r="G2787" t="str">
            <v>VA</v>
          </cell>
          <cell r="H2787">
            <v>969</v>
          </cell>
        </row>
        <row r="2788">
          <cell r="F2788" t="str">
            <v>Cutting stiker +  pasang</v>
          </cell>
          <cell r="G2788" t="str">
            <v>buah</v>
          </cell>
          <cell r="H2788">
            <v>15000</v>
          </cell>
        </row>
        <row r="2789">
          <cell r="F2789" t="str">
            <v>Gergaji besi</v>
          </cell>
          <cell r="G2789" t="str">
            <v>buah</v>
          </cell>
          <cell r="H2789">
            <v>3500</v>
          </cell>
        </row>
        <row r="2790">
          <cell r="F2790" t="str">
            <v>GIL  (Gambar Instalasi Langganan), administrasi pemasangan</v>
          </cell>
          <cell r="G2790" t="str">
            <v>VA</v>
          </cell>
          <cell r="H2790">
            <v>850</v>
          </cell>
        </row>
        <row r="2791">
          <cell r="F2791" t="str">
            <v>Linggis (baja keras)</v>
          </cell>
          <cell r="G2791" t="str">
            <v>buah</v>
          </cell>
          <cell r="H2791">
            <v>30000</v>
          </cell>
        </row>
        <row r="2792">
          <cell r="F2792" t="str">
            <v>Mesin bor (jam)</v>
          </cell>
          <cell r="G2792" t="str">
            <v>jam</v>
          </cell>
          <cell r="H2792">
            <v>85000</v>
          </cell>
        </row>
        <row r="2793">
          <cell r="F2793" t="str">
            <v>Molen beton mixer 350 liter</v>
          </cell>
          <cell r="G2793" t="str">
            <v>hari</v>
          </cell>
          <cell r="H2793">
            <v>300000</v>
          </cell>
        </row>
        <row r="2794">
          <cell r="F2794" t="str">
            <v>Mesin Molen 1m3</v>
          </cell>
          <cell r="G2794" t="str">
            <v xml:space="preserve">hari </v>
          </cell>
          <cell r="H2794">
            <v>300000</v>
          </cell>
        </row>
        <row r="2795">
          <cell r="F2795" t="str">
            <v>Pahat beton (baja keras)</v>
          </cell>
          <cell r="G2795" t="str">
            <v>buah</v>
          </cell>
          <cell r="H2795">
            <v>15000</v>
          </cell>
        </row>
        <row r="2796">
          <cell r="F2796" t="str">
            <v>Palu/godam (baja keras)</v>
          </cell>
          <cell r="G2796" t="str">
            <v>buah</v>
          </cell>
          <cell r="H2796">
            <v>25000</v>
          </cell>
        </row>
        <row r="2797">
          <cell r="F2797" t="str">
            <v>Perapian lokasi kerja</v>
          </cell>
          <cell r="G2797" t="str">
            <v>ls</v>
          </cell>
          <cell r="H2797">
            <v>20000</v>
          </cell>
        </row>
        <row r="2798">
          <cell r="F2798" t="str">
            <v>Pisau Gerinda</v>
          </cell>
          <cell r="G2798" t="str">
            <v>buah</v>
          </cell>
          <cell r="H2798">
            <v>52000</v>
          </cell>
        </row>
        <row r="2799">
          <cell r="F2799" t="str">
            <v>Pompa Air,   diesel 10 KW</v>
          </cell>
          <cell r="G2799" t="str">
            <v>hari</v>
          </cell>
          <cell r="H2799">
            <v>500000</v>
          </cell>
        </row>
        <row r="2800">
          <cell r="F2800" t="str">
            <v>Pompa Air,   diesel 20 KW</v>
          </cell>
          <cell r="G2800" t="str">
            <v>hari</v>
          </cell>
          <cell r="H2800">
            <v>1000000</v>
          </cell>
        </row>
        <row r="2801">
          <cell r="F2801" t="str">
            <v>Pompa Air,   diesel 5 KW</v>
          </cell>
          <cell r="G2801" t="str">
            <v>hari</v>
          </cell>
          <cell r="H2801">
            <v>250000</v>
          </cell>
        </row>
        <row r="2802">
          <cell r="F2802" t="str">
            <v>Pompa Sedot</v>
          </cell>
          <cell r="G2802" t="str">
            <v>hari</v>
          </cell>
          <cell r="H2802">
            <v>280000</v>
          </cell>
        </row>
        <row r="2803">
          <cell r="F2803" t="str">
            <v xml:space="preserve">Pompa Sedot Pasir </v>
          </cell>
          <cell r="G2803" t="str">
            <v xml:space="preserve">hari </v>
          </cell>
          <cell r="H2803">
            <v>280000</v>
          </cell>
        </row>
        <row r="2804">
          <cell r="F2804" t="str">
            <v xml:space="preserve">Pompa Lumpur </v>
          </cell>
          <cell r="G2804" t="str">
            <v xml:space="preserve">hari </v>
          </cell>
          <cell r="H2804">
            <v>260000</v>
          </cell>
        </row>
        <row r="2805">
          <cell r="F2805" t="str">
            <v xml:space="preserve">Mobil Sedot Lumpur </v>
          </cell>
          <cell r="G2805" t="str">
            <v>Jam</v>
          </cell>
          <cell r="H2805">
            <v>67500</v>
          </cell>
        </row>
        <row r="2806">
          <cell r="F2806" t="str">
            <v xml:space="preserve">Boom Lift </v>
          </cell>
          <cell r="G2806" t="str">
            <v>hari</v>
          </cell>
          <cell r="H2806">
            <v>3300000</v>
          </cell>
        </row>
        <row r="2807">
          <cell r="F2807" t="str">
            <v>Pompa submesible</v>
          </cell>
          <cell r="G2807" t="str">
            <v>unit</v>
          </cell>
          <cell r="H2807">
            <v>1920000</v>
          </cell>
        </row>
        <row r="2808">
          <cell r="F2808" t="str">
            <v>Pressure grout machine 30 KW; 60 -75 bar (D)</v>
          </cell>
          <cell r="G2808" t="str">
            <v>jam</v>
          </cell>
          <cell r="H2808">
            <v>42000</v>
          </cell>
        </row>
        <row r="2809">
          <cell r="F2809" t="str">
            <v>Sewa alat  cutting machine</v>
          </cell>
          <cell r="G2809" t="str">
            <v>hari</v>
          </cell>
          <cell r="H2809">
            <v>44000</v>
          </cell>
        </row>
        <row r="2810">
          <cell r="F2810" t="str">
            <v>Sewa bekisting</v>
          </cell>
          <cell r="G2810" t="str">
            <v>hari</v>
          </cell>
          <cell r="H2810">
            <v>7500</v>
          </cell>
        </row>
        <row r="2811">
          <cell r="F2811" t="str">
            <v>Sewa bekisting rigid</v>
          </cell>
          <cell r="G2811" t="str">
            <v>hari</v>
          </cell>
          <cell r="H2811">
            <v>7500</v>
          </cell>
        </row>
        <row r="2812">
          <cell r="F2812" t="str">
            <v>Sewa bor horisontal</v>
          </cell>
          <cell r="G2812" t="str">
            <v>hari</v>
          </cell>
          <cell r="H2812">
            <v>150000</v>
          </cell>
        </row>
        <row r="2813">
          <cell r="F2813" t="str">
            <v>Sewa mobil crane</v>
          </cell>
          <cell r="G2813" t="str">
            <v>hari</v>
          </cell>
          <cell r="H2813">
            <v>1450000</v>
          </cell>
        </row>
        <row r="2814">
          <cell r="F2814" t="str">
            <v>Sewa mobil crane kapasitas  15 Ton</v>
          </cell>
          <cell r="G2814" t="str">
            <v>hari</v>
          </cell>
          <cell r="H2814">
            <v>3400000</v>
          </cell>
        </row>
        <row r="2815">
          <cell r="F2815" t="str">
            <v>Sewa mobil crane kapasitas  25 Ton</v>
          </cell>
          <cell r="G2815" t="str">
            <v>hari</v>
          </cell>
          <cell r="H2815">
            <v>6250000</v>
          </cell>
        </row>
        <row r="2816">
          <cell r="F2816" t="str">
            <v>Sewa mobil crane kapasitas  5 Ton</v>
          </cell>
          <cell r="G2816" t="str">
            <v>hari</v>
          </cell>
          <cell r="H2816">
            <v>1450000</v>
          </cell>
        </row>
        <row r="2817">
          <cell r="F2817" t="str">
            <v>Sewa tangga 7 meter</v>
          </cell>
          <cell r="G2817" t="str">
            <v>buah</v>
          </cell>
          <cell r="H2817">
            <v>50000</v>
          </cell>
        </row>
        <row r="2818">
          <cell r="F2818" t="str">
            <v>Sewa tangga 7 meter</v>
          </cell>
          <cell r="G2818" t="str">
            <v>hari</v>
          </cell>
          <cell r="H2818">
            <v>50000</v>
          </cell>
        </row>
        <row r="2819">
          <cell r="F2819" t="str">
            <v xml:space="preserve">Tandon Air kap. 2 m3 </v>
          </cell>
          <cell r="G2819" t="str">
            <v xml:space="preserve">hari </v>
          </cell>
          <cell r="H2819">
            <v>25000</v>
          </cell>
        </row>
        <row r="2820">
          <cell r="F2820" t="str">
            <v xml:space="preserve">Tangga Service </v>
          </cell>
          <cell r="G2820" t="str">
            <v xml:space="preserve">buah </v>
          </cell>
          <cell r="H2820">
            <v>1144000</v>
          </cell>
        </row>
        <row r="2821">
          <cell r="F2821" t="str">
            <v>SLO (Sertifikat  Laik Operasi)</v>
          </cell>
          <cell r="G2821" t="str">
            <v>VA</v>
          </cell>
          <cell r="H2821">
            <v>30</v>
          </cell>
        </row>
        <row r="2822">
          <cell r="F2822" t="str">
            <v>Tripod tinggi 5 m</v>
          </cell>
          <cell r="G2822" t="str">
            <v>hari</v>
          </cell>
          <cell r="H2822">
            <v>250000</v>
          </cell>
        </row>
        <row r="2823">
          <cell r="F2823" t="str">
            <v>Truck Crane 5 ton</v>
          </cell>
          <cell r="G2823" t="str">
            <v>jam</v>
          </cell>
          <cell r="H2823">
            <v>525000</v>
          </cell>
        </row>
        <row r="2824">
          <cell r="F2824" t="str">
            <v>UJL  (Uang Jaminan Langganan)</v>
          </cell>
          <cell r="G2824" t="str">
            <v>VA</v>
          </cell>
          <cell r="H2824">
            <v>165</v>
          </cell>
        </row>
        <row r="2825">
          <cell r="F2825" t="str">
            <v>Sewa casing PVC dia. 20 cm</v>
          </cell>
          <cell r="G2825" t="str">
            <v>m</v>
          </cell>
          <cell r="H2825">
            <v>25000</v>
          </cell>
        </row>
        <row r="2826">
          <cell r="F2826" t="str">
            <v>Sewa casing pipa baja dia. 30 cm</v>
          </cell>
          <cell r="G2826" t="str">
            <v>m</v>
          </cell>
          <cell r="H2826">
            <v>30700</v>
          </cell>
        </row>
        <row r="2827">
          <cell r="F2827" t="str">
            <v>Sewa casing pipa baja dia. 40 cm</v>
          </cell>
          <cell r="G2827" t="str">
            <v>m</v>
          </cell>
          <cell r="H2827">
            <v>43500</v>
          </cell>
        </row>
        <row r="2828">
          <cell r="F2828" t="str">
            <v>Sewa casing pipa baja dia. 50 cm</v>
          </cell>
          <cell r="G2828" t="str">
            <v>m</v>
          </cell>
          <cell r="H2828">
            <v>55800</v>
          </cell>
        </row>
        <row r="2829">
          <cell r="F2829" t="str">
            <v>Pengelasan</v>
          </cell>
          <cell r="G2829" t="str">
            <v>cm</v>
          </cell>
          <cell r="H2829">
            <v>332</v>
          </cell>
        </row>
        <row r="2830">
          <cell r="F2830" t="str">
            <v xml:space="preserve">Baja Strip </v>
          </cell>
          <cell r="G2830" t="str">
            <v xml:space="preserve">kg </v>
          </cell>
          <cell r="H2830">
            <v>28000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B239-3393-473D-8D02-9599585D8AC4}">
  <dimension ref="B7:AJ414"/>
  <sheetViews>
    <sheetView tabSelected="1" topLeftCell="A259" workbookViewId="0">
      <selection activeCell="F394" sqref="F394"/>
    </sheetView>
  </sheetViews>
  <sheetFormatPr defaultColWidth="9.109375" defaultRowHeight="15.6" x14ac:dyDescent="0.3"/>
  <cols>
    <col min="1" max="1" width="9.109375" style="2"/>
    <col min="2" max="2" width="5.88671875" style="50" customWidth="1"/>
    <col min="3" max="3" width="32.21875" style="51" customWidth="1"/>
    <col min="4" max="4" width="11.33203125" style="18" customWidth="1"/>
    <col min="5" max="5" width="7.88671875" style="50" customWidth="1"/>
    <col min="6" max="6" width="13.5546875" style="20" customWidth="1"/>
    <col min="7" max="7" width="15.109375" style="20" bestFit="1" customWidth="1"/>
    <col min="8" max="8" width="8.109375" style="1" customWidth="1"/>
    <col min="9" max="9" width="9" style="3" hidden="1" customWidth="1"/>
    <col min="10" max="15" width="6.6640625" style="3" hidden="1" customWidth="1"/>
    <col min="16" max="16" width="6.5546875" style="3" hidden="1" customWidth="1"/>
    <col min="17" max="17" width="6" style="3" hidden="1" customWidth="1"/>
    <col min="18" max="18" width="6.5546875" style="3" hidden="1" customWidth="1"/>
    <col min="19" max="19" width="6" style="3" hidden="1" customWidth="1"/>
    <col min="20" max="21" width="7.44140625" style="3" hidden="1" customWidth="1"/>
    <col min="22" max="22" width="6.88671875" style="3" hidden="1" customWidth="1"/>
    <col min="23" max="30" width="6.6640625" style="3" hidden="1" customWidth="1"/>
    <col min="31" max="36" width="6.6640625" style="3" customWidth="1"/>
    <col min="37" max="16384" width="9.109375" style="2"/>
  </cols>
  <sheetData>
    <row r="7" spans="2:36" ht="24.6" customHeight="1" x14ac:dyDescent="0.3">
      <c r="B7" s="156" t="s">
        <v>2</v>
      </c>
      <c r="C7" s="157" t="s">
        <v>0</v>
      </c>
      <c r="D7" s="158" t="s">
        <v>1</v>
      </c>
      <c r="E7" s="157" t="s">
        <v>218</v>
      </c>
      <c r="F7" s="159" t="s">
        <v>219</v>
      </c>
      <c r="G7" s="160" t="s">
        <v>220</v>
      </c>
    </row>
    <row r="8" spans="2:36" s="55" customFormat="1" x14ac:dyDescent="0.3">
      <c r="B8" s="161">
        <v>1</v>
      </c>
      <c r="C8" s="162">
        <v>2</v>
      </c>
      <c r="D8" s="163">
        <v>3</v>
      </c>
      <c r="E8" s="162">
        <v>4</v>
      </c>
      <c r="F8" s="163">
        <v>5</v>
      </c>
      <c r="G8" s="162">
        <v>6</v>
      </c>
      <c r="H8" s="1"/>
      <c r="I8" s="6"/>
      <c r="J8" s="6" t="s">
        <v>8</v>
      </c>
      <c r="K8" s="6" t="s">
        <v>7</v>
      </c>
      <c r="L8" s="6" t="s">
        <v>9</v>
      </c>
      <c r="M8" s="6" t="s">
        <v>10</v>
      </c>
      <c r="N8" s="6" t="s">
        <v>21</v>
      </c>
      <c r="O8" s="6" t="s">
        <v>30</v>
      </c>
      <c r="P8" s="6"/>
      <c r="Q8" s="6" t="s">
        <v>33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2:36" x14ac:dyDescent="0.3">
      <c r="B9" s="10"/>
      <c r="C9" s="11"/>
      <c r="D9" s="12"/>
      <c r="E9" s="13"/>
      <c r="F9" s="14"/>
      <c r="G9" s="15"/>
      <c r="I9" s="3" t="s">
        <v>11</v>
      </c>
      <c r="J9" s="3">
        <v>20.3</v>
      </c>
      <c r="K9" s="3">
        <v>54.45</v>
      </c>
      <c r="L9" s="3">
        <v>2.5</v>
      </c>
      <c r="M9" s="3">
        <f>L9*K9*J9</f>
        <v>2763.3375000000001</v>
      </c>
      <c r="P9" s="2"/>
      <c r="Q9" s="3">
        <f>J9*K9</f>
        <v>1105.335</v>
      </c>
    </row>
    <row r="10" spans="2:36" x14ac:dyDescent="0.3">
      <c r="B10" s="16" t="s">
        <v>3</v>
      </c>
      <c r="C10" s="17" t="s">
        <v>4</v>
      </c>
      <c r="E10" s="19"/>
      <c r="G10" s="21"/>
      <c r="AG10" s="9" t="s">
        <v>221</v>
      </c>
    </row>
    <row r="11" spans="2:36" x14ac:dyDescent="0.3">
      <c r="B11" s="22" t="s">
        <v>16</v>
      </c>
      <c r="C11" s="23" t="s">
        <v>5</v>
      </c>
      <c r="E11" s="19"/>
      <c r="G11" s="21"/>
      <c r="I11" s="3" t="s">
        <v>12</v>
      </c>
      <c r="J11" s="3">
        <v>2.9</v>
      </c>
      <c r="K11" s="3">
        <v>5.3</v>
      </c>
      <c r="L11" s="3">
        <v>2.5</v>
      </c>
      <c r="M11" s="3">
        <f t="shared" ref="M11:O21" si="0">L11*K11*J11</f>
        <v>38.424999999999997</v>
      </c>
      <c r="Q11" s="3">
        <f>J11*K11</f>
        <v>15.37</v>
      </c>
      <c r="AG11" s="9" t="s">
        <v>222</v>
      </c>
    </row>
    <row r="12" spans="2:36" x14ac:dyDescent="0.3">
      <c r="B12" s="24">
        <v>1</v>
      </c>
      <c r="C12" s="23" t="s">
        <v>17</v>
      </c>
      <c r="D12" s="18">
        <f>M9</f>
        <v>2763.3375000000001</v>
      </c>
      <c r="E12" s="19" t="s">
        <v>224</v>
      </c>
      <c r="F12" s="20">
        <f>AHSP!$I$3</f>
        <v>52800</v>
      </c>
      <c r="G12" s="21">
        <f>D12*F12</f>
        <v>145904220</v>
      </c>
      <c r="J12" s="3">
        <v>2.8</v>
      </c>
      <c r="K12" s="3">
        <v>19.3</v>
      </c>
      <c r="L12" s="3">
        <v>1.25</v>
      </c>
      <c r="M12" s="3">
        <f t="shared" si="0"/>
        <v>67.55</v>
      </c>
      <c r="Q12" s="3">
        <f>J12*K12</f>
        <v>54.04</v>
      </c>
      <c r="AG12" s="9" t="s">
        <v>223</v>
      </c>
    </row>
    <row r="13" spans="2:36" x14ac:dyDescent="0.3">
      <c r="B13" s="24">
        <v>2</v>
      </c>
      <c r="C13" s="23" t="s">
        <v>18</v>
      </c>
      <c r="D13" s="18">
        <f>O22</f>
        <v>165.197</v>
      </c>
      <c r="E13" s="19" t="s">
        <v>224</v>
      </c>
      <c r="F13" s="20">
        <f>AHSP!$I$3</f>
        <v>52800</v>
      </c>
      <c r="G13" s="21">
        <f t="shared" ref="G13:G16" si="1">D13*F13</f>
        <v>8722401.5999999996</v>
      </c>
      <c r="M13" s="3">
        <f>SUM(M11:M12)</f>
        <v>105.97499999999999</v>
      </c>
    </row>
    <row r="14" spans="2:36" x14ac:dyDescent="0.3">
      <c r="B14" s="24">
        <v>3</v>
      </c>
      <c r="C14" s="23" t="s">
        <v>19</v>
      </c>
      <c r="D14" s="18">
        <f>N28</f>
        <v>110.2</v>
      </c>
      <c r="E14" s="19" t="s">
        <v>224</v>
      </c>
      <c r="F14" s="20">
        <f>AHSP!$I$3</f>
        <v>52800</v>
      </c>
      <c r="G14" s="21">
        <f t="shared" si="1"/>
        <v>5818560</v>
      </c>
      <c r="I14" s="3" t="s">
        <v>13</v>
      </c>
      <c r="J14" s="3">
        <v>3.5</v>
      </c>
      <c r="K14" s="3">
        <v>4</v>
      </c>
      <c r="L14" s="3">
        <v>3</v>
      </c>
      <c r="M14" s="3">
        <f t="shared" si="0"/>
        <v>42</v>
      </c>
      <c r="N14" s="3">
        <v>2</v>
      </c>
      <c r="O14" s="3">
        <f>M14*N14</f>
        <v>84</v>
      </c>
      <c r="Q14" s="3">
        <f>J14*K14</f>
        <v>14</v>
      </c>
      <c r="R14" s="3" t="s">
        <v>40</v>
      </c>
    </row>
    <row r="15" spans="2:36" x14ac:dyDescent="0.3">
      <c r="B15" s="24">
        <v>4</v>
      </c>
      <c r="C15" s="23" t="s">
        <v>15</v>
      </c>
      <c r="D15" s="18">
        <f>M13</f>
        <v>105.97499999999999</v>
      </c>
      <c r="E15" s="19" t="s">
        <v>224</v>
      </c>
      <c r="F15" s="20">
        <f>AHSP!$I$3</f>
        <v>52800</v>
      </c>
      <c r="G15" s="21">
        <f t="shared" si="1"/>
        <v>5595480</v>
      </c>
      <c r="I15" s="3" t="s">
        <v>20</v>
      </c>
      <c r="J15" s="3">
        <v>0.65</v>
      </c>
      <c r="K15" s="3">
        <v>7.8</v>
      </c>
      <c r="L15" s="3">
        <v>0.5</v>
      </c>
      <c r="M15" s="3">
        <f t="shared" si="0"/>
        <v>2.5350000000000001</v>
      </c>
      <c r="N15" s="3">
        <v>9</v>
      </c>
      <c r="O15" s="3">
        <f t="shared" si="0"/>
        <v>11.407500000000001</v>
      </c>
      <c r="Q15" s="3">
        <f>SUM(Q9:Q14)</f>
        <v>1188.7449999999999</v>
      </c>
      <c r="R15" s="3">
        <v>0.6</v>
      </c>
      <c r="S15" s="3">
        <f>R15*K15*N15*2</f>
        <v>84.24</v>
      </c>
    </row>
    <row r="16" spans="2:36" x14ac:dyDescent="0.3">
      <c r="B16" s="24">
        <v>5</v>
      </c>
      <c r="C16" s="23" t="s">
        <v>14</v>
      </c>
      <c r="D16" s="18">
        <f>O14</f>
        <v>84</v>
      </c>
      <c r="E16" s="19" t="s">
        <v>224</v>
      </c>
      <c r="F16" s="20">
        <f>AHSP!$I$3</f>
        <v>52800</v>
      </c>
      <c r="G16" s="21">
        <f t="shared" si="1"/>
        <v>4435200</v>
      </c>
      <c r="I16" s="3" t="s">
        <v>22</v>
      </c>
      <c r="J16" s="3">
        <v>0.6</v>
      </c>
      <c r="K16" s="3">
        <v>5.9</v>
      </c>
      <c r="L16" s="3">
        <v>0.4</v>
      </c>
      <c r="M16" s="3">
        <f t="shared" si="0"/>
        <v>1.4160000000000001</v>
      </c>
      <c r="N16" s="3">
        <v>18</v>
      </c>
      <c r="O16" s="3">
        <f t="shared" ref="O16:O21" si="2">M16*N16</f>
        <v>25.488000000000003</v>
      </c>
      <c r="R16" s="3">
        <v>0.4</v>
      </c>
      <c r="S16" s="3">
        <f t="shared" ref="S16:S21" si="3">R16*K16*N16*2</f>
        <v>84.960000000000008</v>
      </c>
    </row>
    <row r="17" spans="2:25" x14ac:dyDescent="0.3">
      <c r="B17" s="22"/>
      <c r="C17" s="23"/>
      <c r="E17" s="19"/>
      <c r="G17" s="21"/>
      <c r="J17" s="3">
        <v>0.6</v>
      </c>
      <c r="K17" s="3">
        <v>53.75</v>
      </c>
      <c r="L17" s="3">
        <v>0.4</v>
      </c>
      <c r="M17" s="3">
        <f t="shared" si="0"/>
        <v>12.9</v>
      </c>
      <c r="N17" s="3">
        <v>2</v>
      </c>
      <c r="O17" s="3">
        <f t="shared" si="2"/>
        <v>25.8</v>
      </c>
      <c r="R17" s="3">
        <v>0.4</v>
      </c>
      <c r="S17" s="3">
        <f t="shared" si="3"/>
        <v>86</v>
      </c>
    </row>
    <row r="18" spans="2:25" x14ac:dyDescent="0.3">
      <c r="B18" s="22" t="s">
        <v>31</v>
      </c>
      <c r="C18" s="23" t="s">
        <v>32</v>
      </c>
      <c r="D18" s="18">
        <f>Q15</f>
        <v>1188.7449999999999</v>
      </c>
      <c r="E18" s="19" t="s">
        <v>225</v>
      </c>
      <c r="F18" s="20">
        <f>AHSP!I18</f>
        <v>24500</v>
      </c>
      <c r="G18" s="21">
        <f>D18*F18</f>
        <v>29124252.499999996</v>
      </c>
      <c r="I18" s="3" t="s">
        <v>24</v>
      </c>
      <c r="J18" s="3">
        <v>0.55000000000000004</v>
      </c>
      <c r="K18" s="3">
        <f>2*6.8+2*5.15</f>
        <v>23.9</v>
      </c>
      <c r="L18" s="3">
        <v>0.3</v>
      </c>
      <c r="M18" s="3">
        <f t="shared" si="0"/>
        <v>3.9434999999999998</v>
      </c>
      <c r="N18" s="3">
        <v>1</v>
      </c>
      <c r="O18" s="3">
        <f t="shared" si="2"/>
        <v>3.9434999999999998</v>
      </c>
      <c r="R18" s="3">
        <v>0.4</v>
      </c>
      <c r="S18" s="3">
        <f t="shared" si="3"/>
        <v>19.12</v>
      </c>
    </row>
    <row r="19" spans="2:25" x14ac:dyDescent="0.3">
      <c r="B19" s="22"/>
      <c r="C19" s="23"/>
      <c r="E19" s="19"/>
      <c r="G19" s="21"/>
      <c r="J19" s="3">
        <v>0.55000000000000004</v>
      </c>
      <c r="K19" s="3">
        <f>4*9+19.6*2</f>
        <v>75.2</v>
      </c>
      <c r="L19" s="3">
        <v>0.3</v>
      </c>
      <c r="M19" s="3">
        <f t="shared" si="0"/>
        <v>12.407999999999999</v>
      </c>
      <c r="N19" s="3">
        <v>1</v>
      </c>
      <c r="O19" s="3">
        <f t="shared" si="2"/>
        <v>12.407999999999999</v>
      </c>
      <c r="R19" s="3">
        <v>0.4</v>
      </c>
      <c r="S19" s="3">
        <f t="shared" si="3"/>
        <v>60.160000000000004</v>
      </c>
    </row>
    <row r="20" spans="2:25" x14ac:dyDescent="0.3">
      <c r="B20" s="22" t="s">
        <v>34</v>
      </c>
      <c r="C20" s="23" t="s">
        <v>6</v>
      </c>
      <c r="D20" s="18">
        <f>SUM(D12:D16)</f>
        <v>3228.7094999999999</v>
      </c>
      <c r="E20" s="19" t="s">
        <v>224</v>
      </c>
      <c r="F20" s="20">
        <f>AHSP!I32</f>
        <v>29900</v>
      </c>
      <c r="G20" s="21">
        <f>D20*F20</f>
        <v>96538414.049999997</v>
      </c>
    </row>
    <row r="21" spans="2:25" x14ac:dyDescent="0.3">
      <c r="B21" s="22"/>
      <c r="C21" s="23"/>
      <c r="E21" s="19"/>
      <c r="F21" s="25" t="s">
        <v>227</v>
      </c>
      <c r="G21" s="26">
        <f>SUM(G12:G20)</f>
        <v>296138528.14999998</v>
      </c>
      <c r="I21" s="3" t="s">
        <v>23</v>
      </c>
      <c r="J21" s="3">
        <v>0.5</v>
      </c>
      <c r="K21" s="3">
        <f>2*8.6</f>
        <v>17.2</v>
      </c>
      <c r="L21" s="3">
        <v>0.25</v>
      </c>
      <c r="M21" s="3">
        <f t="shared" si="0"/>
        <v>2.15</v>
      </c>
      <c r="N21" s="3">
        <v>1</v>
      </c>
      <c r="O21" s="3">
        <f t="shared" si="2"/>
        <v>2.15</v>
      </c>
      <c r="R21" s="3">
        <v>0.4</v>
      </c>
      <c r="S21" s="3">
        <f t="shared" si="3"/>
        <v>13.76</v>
      </c>
    </row>
    <row r="22" spans="2:25" x14ac:dyDescent="0.3">
      <c r="B22" s="22"/>
      <c r="C22" s="23"/>
      <c r="E22" s="19"/>
      <c r="G22" s="21"/>
      <c r="O22" s="3">
        <f>SUM(O14:O21)</f>
        <v>165.197</v>
      </c>
      <c r="S22" s="3">
        <f>SUM(S15:S21)</f>
        <v>348.24</v>
      </c>
    </row>
    <row r="23" spans="2:25" x14ac:dyDescent="0.3">
      <c r="B23" s="16" t="s">
        <v>35</v>
      </c>
      <c r="C23" s="17" t="s">
        <v>36</v>
      </c>
      <c r="D23" s="18">
        <v>220</v>
      </c>
      <c r="E23" s="19" t="s">
        <v>37</v>
      </c>
      <c r="G23" s="21">
        <f>D23*F23</f>
        <v>0</v>
      </c>
      <c r="J23" s="3" t="s">
        <v>8</v>
      </c>
      <c r="K23" s="3" t="s">
        <v>7</v>
      </c>
      <c r="L23" s="3" t="s">
        <v>9</v>
      </c>
      <c r="M23" s="3" t="s">
        <v>29</v>
      </c>
      <c r="N23" s="3" t="s">
        <v>30</v>
      </c>
      <c r="P23" s="3" t="s">
        <v>29</v>
      </c>
      <c r="Q23" s="3" t="s">
        <v>30</v>
      </c>
    </row>
    <row r="24" spans="2:25" x14ac:dyDescent="0.3">
      <c r="B24" s="22"/>
      <c r="C24" s="23"/>
      <c r="E24" s="19"/>
      <c r="F24" s="25" t="s">
        <v>228</v>
      </c>
      <c r="G24" s="26">
        <f>SUM(G23)</f>
        <v>0</v>
      </c>
      <c r="I24" s="3" t="s">
        <v>25</v>
      </c>
      <c r="J24" s="3">
        <v>1</v>
      </c>
      <c r="K24" s="3">
        <v>1</v>
      </c>
      <c r="L24" s="3">
        <v>0.5</v>
      </c>
      <c r="M24" s="3">
        <v>26</v>
      </c>
      <c r="N24" s="3">
        <f>M24*L24*K24*J24</f>
        <v>13</v>
      </c>
      <c r="P24" s="3">
        <v>1</v>
      </c>
      <c r="Q24" s="3">
        <f>P24*M24</f>
        <v>26</v>
      </c>
      <c r="R24" s="3">
        <v>0.6</v>
      </c>
      <c r="S24" s="3">
        <f>2*(J24+K24)*M24*R24</f>
        <v>62.4</v>
      </c>
    </row>
    <row r="25" spans="2:25" x14ac:dyDescent="0.3">
      <c r="B25" s="27"/>
      <c r="C25" s="23"/>
      <c r="E25" s="19"/>
      <c r="G25" s="21"/>
      <c r="I25" s="3" t="s">
        <v>26</v>
      </c>
      <c r="J25" s="3">
        <v>1.2</v>
      </c>
      <c r="K25" s="3">
        <v>2</v>
      </c>
      <c r="L25" s="3">
        <v>0.5</v>
      </c>
      <c r="M25" s="3">
        <v>11</v>
      </c>
      <c r="N25" s="3">
        <f t="shared" ref="N25:N27" si="4">M25*L25*K25*J25</f>
        <v>13.2</v>
      </c>
      <c r="P25" s="3">
        <v>2</v>
      </c>
      <c r="Q25" s="3">
        <f t="shared" ref="Q25:Q27" si="5">P25*M25</f>
        <v>22</v>
      </c>
      <c r="R25" s="3">
        <v>0.6</v>
      </c>
      <c r="S25" s="3">
        <f t="shared" ref="S25:S27" si="6">2*(J25+K25)*M25*R25</f>
        <v>42.24</v>
      </c>
    </row>
    <row r="26" spans="2:25" x14ac:dyDescent="0.3">
      <c r="B26" s="16" t="s">
        <v>38</v>
      </c>
      <c r="C26" s="17" t="s">
        <v>72</v>
      </c>
      <c r="E26" s="19"/>
      <c r="G26" s="21"/>
      <c r="I26" s="3" t="s">
        <v>27</v>
      </c>
      <c r="J26" s="3">
        <v>2</v>
      </c>
      <c r="K26" s="3">
        <v>2</v>
      </c>
      <c r="L26" s="3">
        <v>0.5</v>
      </c>
      <c r="M26" s="3">
        <v>20</v>
      </c>
      <c r="N26" s="3">
        <f t="shared" si="4"/>
        <v>40</v>
      </c>
      <c r="P26" s="3">
        <v>3</v>
      </c>
      <c r="Q26" s="3">
        <f t="shared" si="5"/>
        <v>60</v>
      </c>
      <c r="R26" s="3">
        <v>0.6</v>
      </c>
      <c r="S26" s="3">
        <f t="shared" si="6"/>
        <v>96</v>
      </c>
    </row>
    <row r="27" spans="2:25" x14ac:dyDescent="0.3">
      <c r="B27" s="22" t="s">
        <v>16</v>
      </c>
      <c r="C27" s="23" t="s">
        <v>39</v>
      </c>
      <c r="E27" s="19"/>
      <c r="G27" s="21"/>
      <c r="I27" s="3" t="s">
        <v>28</v>
      </c>
      <c r="J27" s="3">
        <v>2</v>
      </c>
      <c r="K27" s="3">
        <v>2</v>
      </c>
      <c r="L27" s="3">
        <v>0.5</v>
      </c>
      <c r="M27" s="3">
        <v>22</v>
      </c>
      <c r="N27" s="3">
        <f t="shared" si="4"/>
        <v>44</v>
      </c>
      <c r="P27" s="3">
        <v>5</v>
      </c>
      <c r="Q27" s="3">
        <f t="shared" si="5"/>
        <v>110</v>
      </c>
      <c r="R27" s="3">
        <v>0.6</v>
      </c>
      <c r="S27" s="3">
        <f t="shared" si="6"/>
        <v>105.6</v>
      </c>
    </row>
    <row r="28" spans="2:25" x14ac:dyDescent="0.3">
      <c r="B28" s="24">
        <v>1</v>
      </c>
      <c r="C28" s="23" t="s">
        <v>18</v>
      </c>
      <c r="D28" s="18">
        <f>S22</f>
        <v>348.24</v>
      </c>
      <c r="E28" s="19" t="s">
        <v>225</v>
      </c>
      <c r="F28" s="20">
        <f>AHSP!$H$47</f>
        <v>272100</v>
      </c>
      <c r="G28" s="21">
        <f t="shared" ref="G28:G30" si="7">D28*F28</f>
        <v>94756104</v>
      </c>
      <c r="N28" s="3">
        <f>SUM(N24:N27)</f>
        <v>110.2</v>
      </c>
      <c r="Q28" s="3">
        <f>SUM(Q24:Q27)</f>
        <v>218</v>
      </c>
      <c r="S28" s="3">
        <f>SUM(S24:S27)</f>
        <v>306.24</v>
      </c>
    </row>
    <row r="29" spans="2:25" x14ac:dyDescent="0.3">
      <c r="B29" s="24">
        <v>2</v>
      </c>
      <c r="C29" s="23" t="s">
        <v>19</v>
      </c>
      <c r="D29" s="18">
        <f>S28</f>
        <v>306.24</v>
      </c>
      <c r="E29" s="19" t="s">
        <v>225</v>
      </c>
      <c r="F29" s="20">
        <f>AHSP!$H$47</f>
        <v>272100</v>
      </c>
      <c r="G29" s="21">
        <f t="shared" si="7"/>
        <v>83327904</v>
      </c>
      <c r="J29" s="3" t="s">
        <v>47</v>
      </c>
      <c r="K29" s="3" t="s">
        <v>48</v>
      </c>
      <c r="L29" s="3" t="s">
        <v>49</v>
      </c>
      <c r="M29" s="3" t="s">
        <v>50</v>
      </c>
      <c r="N29" s="3" t="s">
        <v>55</v>
      </c>
      <c r="O29" s="3" t="s">
        <v>56</v>
      </c>
      <c r="P29" s="3" t="s">
        <v>57</v>
      </c>
      <c r="U29" s="5" t="s">
        <v>54</v>
      </c>
    </row>
    <row r="30" spans="2:25" x14ac:dyDescent="0.3">
      <c r="B30" s="22" t="s">
        <v>31</v>
      </c>
      <c r="C30" s="23" t="s">
        <v>41</v>
      </c>
      <c r="D30" s="18">
        <f>D18</f>
        <v>1188.7449999999999</v>
      </c>
      <c r="E30" s="19" t="s">
        <v>225</v>
      </c>
      <c r="F30" s="20">
        <f>AHSP!$H$47</f>
        <v>272100</v>
      </c>
      <c r="G30" s="21">
        <f t="shared" si="7"/>
        <v>323457514.5</v>
      </c>
      <c r="I30" s="3" t="s">
        <v>20</v>
      </c>
      <c r="J30" s="3">
        <f>K15*N15</f>
        <v>70.2</v>
      </c>
      <c r="K30" s="3">
        <v>9</v>
      </c>
      <c r="L30" s="3">
        <v>5</v>
      </c>
      <c r="M30" s="3">
        <f>1.8/0.15</f>
        <v>12</v>
      </c>
      <c r="N30" s="3">
        <v>2.23</v>
      </c>
      <c r="O30" s="3">
        <v>1.58</v>
      </c>
      <c r="P30" s="3">
        <v>0.39500000000000002</v>
      </c>
      <c r="Q30" s="3">
        <f>1.1*J30*(K30*N30+L30*O30+M30*P30)</f>
        <v>2525.8662000000004</v>
      </c>
      <c r="T30" s="3" t="s">
        <v>50</v>
      </c>
      <c r="U30" s="3" t="s">
        <v>51</v>
      </c>
      <c r="V30" s="3" t="s">
        <v>52</v>
      </c>
      <c r="W30" s="3" t="s">
        <v>49</v>
      </c>
      <c r="X30" s="3" t="s">
        <v>48</v>
      </c>
      <c r="Y30" s="3" t="s">
        <v>53</v>
      </c>
    </row>
    <row r="31" spans="2:25" x14ac:dyDescent="0.3">
      <c r="B31" s="22" t="s">
        <v>34</v>
      </c>
      <c r="C31" s="23" t="s">
        <v>42</v>
      </c>
      <c r="E31" s="19"/>
      <c r="G31" s="21"/>
      <c r="I31" s="3" t="s">
        <v>22</v>
      </c>
      <c r="J31" s="3">
        <f>K16*N16</f>
        <v>106.2</v>
      </c>
      <c r="K31" s="3">
        <v>8.5</v>
      </c>
      <c r="L31" s="3">
        <v>2</v>
      </c>
      <c r="M31" s="3">
        <f>1.56/0.15</f>
        <v>10.4</v>
      </c>
      <c r="N31" s="3">
        <v>2.23</v>
      </c>
      <c r="O31" s="3">
        <v>1.58</v>
      </c>
      <c r="P31" s="3">
        <v>0.39500000000000002</v>
      </c>
      <c r="Q31" s="3">
        <f t="shared" ref="Q31:Q32" si="8">1.1*J31*(K31*N31+L31*O31+M31*P31)</f>
        <v>3063.37086</v>
      </c>
      <c r="T31" s="3">
        <v>0.39500000000000002</v>
      </c>
      <c r="U31" s="3">
        <v>0.62</v>
      </c>
      <c r="V31" s="3">
        <v>1.04</v>
      </c>
      <c r="W31" s="3">
        <v>1.58</v>
      </c>
      <c r="X31" s="3">
        <v>2.23</v>
      </c>
      <c r="Y31" s="3">
        <v>2.98</v>
      </c>
    </row>
    <row r="32" spans="2:25" x14ac:dyDescent="0.3">
      <c r="B32" s="24">
        <v>1</v>
      </c>
      <c r="C32" s="23" t="s">
        <v>43</v>
      </c>
      <c r="D32" s="18">
        <f>Q30</f>
        <v>2525.8662000000004</v>
      </c>
      <c r="E32" s="19" t="s">
        <v>65</v>
      </c>
      <c r="F32" s="20">
        <f>AHSP!$H$67</f>
        <v>19300</v>
      </c>
      <c r="G32" s="21">
        <f t="shared" ref="G32:G42" si="9">D32*F32</f>
        <v>48749217.660000004</v>
      </c>
      <c r="I32" s="3" t="s">
        <v>58</v>
      </c>
      <c r="J32" s="3">
        <f>2*53.75</f>
        <v>107.5</v>
      </c>
      <c r="L32" s="3">
        <v>13</v>
      </c>
      <c r="M32" s="3">
        <f>M31</f>
        <v>10.4</v>
      </c>
      <c r="N32" s="3">
        <v>2.23</v>
      </c>
      <c r="O32" s="3">
        <v>1.58</v>
      </c>
      <c r="P32" s="3">
        <v>0.39500000000000002</v>
      </c>
      <c r="Q32" s="3">
        <f t="shared" si="8"/>
        <v>2914.6260000000002</v>
      </c>
    </row>
    <row r="33" spans="2:27" x14ac:dyDescent="0.3">
      <c r="B33" s="24">
        <v>2</v>
      </c>
      <c r="C33" s="23" t="s">
        <v>44</v>
      </c>
      <c r="D33" s="18">
        <f t="shared" ref="D33:D36" si="10">Q31</f>
        <v>3063.37086</v>
      </c>
      <c r="E33" s="19" t="s">
        <v>65</v>
      </c>
      <c r="F33" s="20">
        <f>AHSP!$H$67</f>
        <v>19300</v>
      </c>
      <c r="G33" s="21">
        <f t="shared" si="9"/>
        <v>59123057.597999997</v>
      </c>
      <c r="I33" s="3" t="s">
        <v>24</v>
      </c>
      <c r="J33" s="3">
        <f>K18+K19</f>
        <v>99.1</v>
      </c>
      <c r="L33" s="3">
        <v>10</v>
      </c>
      <c r="M33" s="3">
        <f>1.2/0.15</f>
        <v>8</v>
      </c>
      <c r="N33" s="3">
        <v>2.23</v>
      </c>
      <c r="O33" s="3">
        <v>1.58</v>
      </c>
      <c r="P33" s="3">
        <v>0.39500000000000002</v>
      </c>
      <c r="Q33" s="3">
        <f t="shared" ref="Q33:Q34" si="11">1.1*J33*(K33*N33+L33*O33+M33*P33)</f>
        <v>2066.8296</v>
      </c>
    </row>
    <row r="34" spans="2:27" x14ac:dyDescent="0.3">
      <c r="B34" s="24">
        <v>3</v>
      </c>
      <c r="C34" s="23" t="s">
        <v>59</v>
      </c>
      <c r="D34" s="18">
        <f t="shared" si="10"/>
        <v>2914.6260000000002</v>
      </c>
      <c r="E34" s="19" t="s">
        <v>65</v>
      </c>
      <c r="F34" s="20">
        <f>AHSP!$H$67</f>
        <v>19300</v>
      </c>
      <c r="G34" s="21">
        <f t="shared" si="9"/>
        <v>56252281.800000004</v>
      </c>
      <c r="I34" s="3" t="s">
        <v>23</v>
      </c>
      <c r="J34" s="3">
        <f>K21</f>
        <v>17.2</v>
      </c>
      <c r="L34" s="3">
        <v>8</v>
      </c>
      <c r="M34" s="3">
        <v>8</v>
      </c>
      <c r="N34" s="3">
        <v>2.23</v>
      </c>
      <c r="O34" s="3">
        <v>1.58</v>
      </c>
      <c r="P34" s="3">
        <v>0.39500000000000002</v>
      </c>
      <c r="Q34" s="3">
        <f t="shared" si="11"/>
        <v>298.93600000000004</v>
      </c>
    </row>
    <row r="35" spans="2:27" x14ac:dyDescent="0.3">
      <c r="B35" s="24">
        <v>4</v>
      </c>
      <c r="C35" s="23" t="s">
        <v>45</v>
      </c>
      <c r="D35" s="18">
        <f t="shared" si="10"/>
        <v>2066.8296</v>
      </c>
      <c r="E35" s="19" t="s">
        <v>65</v>
      </c>
      <c r="F35" s="20">
        <f>AHSP!$H$67</f>
        <v>19300</v>
      </c>
      <c r="G35" s="21">
        <f t="shared" si="9"/>
        <v>39889811.280000001</v>
      </c>
      <c r="N35" s="3" t="s">
        <v>48</v>
      </c>
      <c r="O35" s="3" t="s">
        <v>49</v>
      </c>
      <c r="P35" s="3" t="s">
        <v>55</v>
      </c>
      <c r="Q35" s="3" t="s">
        <v>56</v>
      </c>
      <c r="R35" s="3" t="s">
        <v>64</v>
      </c>
      <c r="S35" s="3" t="s">
        <v>29</v>
      </c>
      <c r="T35" s="3" t="s">
        <v>30</v>
      </c>
    </row>
    <row r="36" spans="2:27" x14ac:dyDescent="0.3">
      <c r="B36" s="24">
        <v>5</v>
      </c>
      <c r="C36" s="23" t="s">
        <v>46</v>
      </c>
      <c r="D36" s="18">
        <f t="shared" si="10"/>
        <v>298.93600000000004</v>
      </c>
      <c r="E36" s="19" t="s">
        <v>65</v>
      </c>
      <c r="F36" s="20">
        <f>AHSP!$H$67</f>
        <v>19300</v>
      </c>
      <c r="G36" s="21">
        <f t="shared" si="9"/>
        <v>5769464.8000000007</v>
      </c>
      <c r="I36" s="3" t="s">
        <v>25</v>
      </c>
      <c r="J36" s="6">
        <v>0.75</v>
      </c>
      <c r="K36" s="6">
        <v>0.65</v>
      </c>
      <c r="L36" s="3">
        <f>K36+J36</f>
        <v>1.4</v>
      </c>
      <c r="M36" s="3">
        <v>6</v>
      </c>
      <c r="N36" s="3">
        <f>2*M36*L36</f>
        <v>16.799999999999997</v>
      </c>
      <c r="O36" s="3">
        <f>N36+K36*4</f>
        <v>19.399999999999999</v>
      </c>
      <c r="P36" s="3">
        <v>2.23</v>
      </c>
      <c r="Q36" s="3">
        <v>1.58</v>
      </c>
      <c r="R36" s="3">
        <f>N36*P36+O36*Q36</f>
        <v>68.115999999999985</v>
      </c>
      <c r="S36" s="3">
        <v>26</v>
      </c>
      <c r="T36" s="3">
        <f>S36*R36</f>
        <v>1771.0159999999996</v>
      </c>
    </row>
    <row r="37" spans="2:27" x14ac:dyDescent="0.3">
      <c r="B37" s="24">
        <v>6</v>
      </c>
      <c r="C37" s="23" t="s">
        <v>60</v>
      </c>
      <c r="D37" s="18">
        <f>T36</f>
        <v>1771.0159999999996</v>
      </c>
      <c r="E37" s="19" t="s">
        <v>65</v>
      </c>
      <c r="F37" s="20">
        <f>AHSP!$H$67</f>
        <v>19300</v>
      </c>
      <c r="G37" s="21">
        <f t="shared" si="9"/>
        <v>34180608.79999999</v>
      </c>
      <c r="I37" s="3" t="s">
        <v>26</v>
      </c>
      <c r="J37" s="6">
        <v>0.75</v>
      </c>
      <c r="K37" s="6">
        <v>1.65</v>
      </c>
      <c r="L37" s="3">
        <f t="shared" ref="L37:L39" si="12">K37+J37</f>
        <v>2.4</v>
      </c>
      <c r="M37" s="3">
        <v>9</v>
      </c>
      <c r="N37" s="3">
        <f t="shared" ref="N37:N39" si="13">2*M37*L37</f>
        <v>43.199999999999996</v>
      </c>
      <c r="O37" s="3">
        <f>N37+2*(1.65+0.85)</f>
        <v>48.199999999999996</v>
      </c>
      <c r="P37" s="3">
        <v>2.23</v>
      </c>
      <c r="Q37" s="3">
        <v>1.58</v>
      </c>
      <c r="R37" s="3">
        <f>N37*P37+O37*Q37</f>
        <v>172.49199999999996</v>
      </c>
      <c r="S37" s="3">
        <v>11</v>
      </c>
      <c r="T37" s="3">
        <f>S37*R37</f>
        <v>1897.4119999999996</v>
      </c>
    </row>
    <row r="38" spans="2:27" x14ac:dyDescent="0.3">
      <c r="B38" s="24">
        <v>7</v>
      </c>
      <c r="C38" s="23" t="s">
        <v>61</v>
      </c>
      <c r="D38" s="18">
        <f>T37</f>
        <v>1897.4119999999996</v>
      </c>
      <c r="E38" s="19" t="s">
        <v>65</v>
      </c>
      <c r="F38" s="20">
        <f>AHSP!$H$67</f>
        <v>19300</v>
      </c>
      <c r="G38" s="21">
        <f t="shared" si="9"/>
        <v>36620051.599999994</v>
      </c>
      <c r="J38" s="6">
        <v>0.75</v>
      </c>
      <c r="K38" s="6">
        <v>1.1499999999999999</v>
      </c>
      <c r="L38" s="3">
        <f t="shared" si="12"/>
        <v>1.9</v>
      </c>
      <c r="M38" s="3">
        <v>10</v>
      </c>
      <c r="N38" s="3">
        <f t="shared" si="13"/>
        <v>38</v>
      </c>
    </row>
    <row r="39" spans="2:27" x14ac:dyDescent="0.3">
      <c r="B39" s="24">
        <v>8</v>
      </c>
      <c r="C39" s="23" t="s">
        <v>62</v>
      </c>
      <c r="D39" s="18">
        <f>T40</f>
        <v>5298.7199999999993</v>
      </c>
      <c r="E39" s="19" t="s">
        <v>65</v>
      </c>
      <c r="F39" s="20">
        <f>AHSP!$H$67</f>
        <v>19300</v>
      </c>
      <c r="G39" s="21">
        <f t="shared" si="9"/>
        <v>102265295.99999999</v>
      </c>
      <c r="J39" s="6">
        <v>0.75</v>
      </c>
      <c r="K39" s="6">
        <v>1.65</v>
      </c>
      <c r="L39" s="3">
        <f t="shared" si="12"/>
        <v>2.4</v>
      </c>
      <c r="M39" s="3">
        <v>6</v>
      </c>
      <c r="N39" s="3">
        <f t="shared" si="13"/>
        <v>28.799999999999997</v>
      </c>
    </row>
    <row r="40" spans="2:27" x14ac:dyDescent="0.3">
      <c r="B40" s="24">
        <v>9</v>
      </c>
      <c r="C40" s="23" t="s">
        <v>63</v>
      </c>
      <c r="D40" s="18">
        <f>T41</f>
        <v>6666.7919999999986</v>
      </c>
      <c r="E40" s="19" t="s">
        <v>65</v>
      </c>
      <c r="F40" s="20">
        <f>AHSP!$H$67</f>
        <v>19300</v>
      </c>
      <c r="G40" s="21">
        <f t="shared" si="9"/>
        <v>128669085.59999998</v>
      </c>
      <c r="I40" s="3" t="s">
        <v>27</v>
      </c>
      <c r="J40" s="6"/>
      <c r="K40" s="6"/>
      <c r="N40" s="3">
        <f>SUM(N38:N39)</f>
        <v>66.8</v>
      </c>
      <c r="O40" s="3">
        <f>N40+4*K39</f>
        <v>73.399999999999991</v>
      </c>
      <c r="P40" s="3">
        <v>2.23</v>
      </c>
      <c r="Q40" s="3">
        <v>1.58</v>
      </c>
      <c r="R40" s="3">
        <f t="shared" ref="R40:R41" si="14">N40*P40+O40*Q40</f>
        <v>264.93599999999998</v>
      </c>
      <c r="S40" s="3">
        <v>20</v>
      </c>
      <c r="T40" s="3">
        <f t="shared" ref="T40:T41" si="15">S40*R40</f>
        <v>5298.7199999999993</v>
      </c>
    </row>
    <row r="41" spans="2:27" x14ac:dyDescent="0.3">
      <c r="B41" s="24">
        <v>10</v>
      </c>
      <c r="C41" s="23" t="s">
        <v>67</v>
      </c>
      <c r="D41" s="18">
        <f>Q9*2</f>
        <v>2210.67</v>
      </c>
      <c r="E41" s="19" t="s">
        <v>225</v>
      </c>
      <c r="F41" s="182">
        <f>AHSP!$H$152</f>
        <v>13800</v>
      </c>
      <c r="G41" s="21">
        <f t="shared" si="9"/>
        <v>30507246</v>
      </c>
      <c r="I41" s="3" t="s">
        <v>28</v>
      </c>
      <c r="J41" s="6">
        <v>0.75</v>
      </c>
      <c r="K41" s="6">
        <v>1.65</v>
      </c>
      <c r="L41" s="3">
        <f>K41+J41</f>
        <v>2.4</v>
      </c>
      <c r="M41" s="3">
        <v>16</v>
      </c>
      <c r="N41" s="3">
        <f>2*M41*L41</f>
        <v>76.8</v>
      </c>
      <c r="O41" s="3">
        <f>N41+4*K41</f>
        <v>83.399999999999991</v>
      </c>
      <c r="P41" s="3">
        <v>2.23</v>
      </c>
      <c r="Q41" s="3">
        <v>1.58</v>
      </c>
      <c r="R41" s="3">
        <f t="shared" si="14"/>
        <v>303.03599999999994</v>
      </c>
      <c r="S41" s="3">
        <v>22</v>
      </c>
      <c r="T41" s="3">
        <f t="shared" si="15"/>
        <v>6666.7919999999986</v>
      </c>
    </row>
    <row r="42" spans="2:27" x14ac:dyDescent="0.3">
      <c r="B42" s="24">
        <v>11</v>
      </c>
      <c r="C42" s="23" t="s">
        <v>68</v>
      </c>
      <c r="D42" s="18">
        <f>N43</f>
        <v>3831.8280000000009</v>
      </c>
      <c r="E42" s="19" t="s">
        <v>65</v>
      </c>
      <c r="F42" s="20">
        <f>AHSP!$H$67</f>
        <v>19300</v>
      </c>
      <c r="G42" s="21">
        <f t="shared" si="9"/>
        <v>73954280.400000021</v>
      </c>
      <c r="J42" s="3" t="s">
        <v>8</v>
      </c>
      <c r="K42" s="3" t="s">
        <v>7</v>
      </c>
      <c r="L42" s="3" t="s">
        <v>52</v>
      </c>
      <c r="M42" s="3" t="s">
        <v>69</v>
      </c>
      <c r="N42" s="3" t="s">
        <v>30</v>
      </c>
    </row>
    <row r="43" spans="2:27" x14ac:dyDescent="0.3">
      <c r="B43" s="22" t="s">
        <v>9</v>
      </c>
      <c r="C43" s="23" t="s">
        <v>70</v>
      </c>
      <c r="E43" s="19"/>
      <c r="G43" s="21"/>
      <c r="I43" s="3" t="s">
        <v>11</v>
      </c>
      <c r="J43" s="3">
        <v>20.3</v>
      </c>
      <c r="K43" s="3">
        <v>54.45</v>
      </c>
      <c r="L43" s="3">
        <f>K43/0.3*J43/2*2</f>
        <v>3684.4500000000007</v>
      </c>
      <c r="M43" s="3">
        <v>1.04</v>
      </c>
      <c r="N43" s="3">
        <f>M43*L43</f>
        <v>3831.8280000000009</v>
      </c>
    </row>
    <row r="44" spans="2:27" x14ac:dyDescent="0.3">
      <c r="B44" s="24">
        <v>1</v>
      </c>
      <c r="C44" s="23" t="s">
        <v>43</v>
      </c>
      <c r="D44" s="18">
        <f>O45</f>
        <v>31.940999999999999</v>
      </c>
      <c r="E44" s="19" t="s">
        <v>224</v>
      </c>
      <c r="F44" s="20">
        <f>AHSP!$H$107</f>
        <v>1382600</v>
      </c>
      <c r="G44" s="21">
        <f t="shared" ref="G44:G53" si="16">D44*F44</f>
        <v>44161626.600000001</v>
      </c>
      <c r="J44" s="3" t="s">
        <v>8</v>
      </c>
      <c r="K44" s="3" t="s">
        <v>7</v>
      </c>
      <c r="L44" s="3" t="s">
        <v>71</v>
      </c>
      <c r="M44" s="3" t="s">
        <v>29</v>
      </c>
      <c r="O44" s="3" t="s">
        <v>30</v>
      </c>
      <c r="R44" s="3" t="s">
        <v>8</v>
      </c>
      <c r="S44" s="3" t="s">
        <v>7</v>
      </c>
      <c r="T44" s="3" t="s">
        <v>9</v>
      </c>
      <c r="U44" s="3" t="s">
        <v>29</v>
      </c>
      <c r="V44" s="3" t="s">
        <v>30</v>
      </c>
    </row>
    <row r="45" spans="2:27" x14ac:dyDescent="0.3">
      <c r="B45" s="24">
        <v>2</v>
      </c>
      <c r="C45" s="23" t="s">
        <v>44</v>
      </c>
      <c r="D45" s="18">
        <f>N46</f>
        <v>38.231999999999999</v>
      </c>
      <c r="E45" s="19" t="s">
        <v>224</v>
      </c>
      <c r="F45" s="20">
        <f>AHSP!$H$107</f>
        <v>1382600</v>
      </c>
      <c r="G45" s="21">
        <f t="shared" si="16"/>
        <v>52859563.199999996</v>
      </c>
      <c r="I45" s="3" t="s">
        <v>20</v>
      </c>
      <c r="J45" s="3">
        <v>0.65</v>
      </c>
      <c r="K45" s="3">
        <v>7.8</v>
      </c>
      <c r="L45" s="3">
        <v>0.7</v>
      </c>
      <c r="M45" s="3">
        <v>9</v>
      </c>
      <c r="O45" s="3">
        <f>J45*K45*L45*M45</f>
        <v>31.940999999999999</v>
      </c>
      <c r="Q45" s="3" t="s">
        <v>25</v>
      </c>
      <c r="R45" s="3">
        <v>0.8</v>
      </c>
      <c r="S45" s="3">
        <v>0.8</v>
      </c>
      <c r="T45" s="3">
        <v>0.65</v>
      </c>
      <c r="U45" s="3">
        <v>26</v>
      </c>
      <c r="V45" s="3">
        <f>U45*T45*S45*R45</f>
        <v>10.816000000000003</v>
      </c>
      <c r="Y45" s="3" t="s">
        <v>108</v>
      </c>
      <c r="Z45" s="3" t="s">
        <v>109</v>
      </c>
      <c r="AA45" s="3" t="s">
        <v>109</v>
      </c>
    </row>
    <row r="46" spans="2:27" x14ac:dyDescent="0.3">
      <c r="B46" s="24">
        <v>3</v>
      </c>
      <c r="C46" s="23" t="s">
        <v>59</v>
      </c>
      <c r="D46" s="18">
        <f>N47</f>
        <v>38.699999999999996</v>
      </c>
      <c r="E46" s="19" t="s">
        <v>224</v>
      </c>
      <c r="F46" s="20">
        <f>AHSP!$H$107</f>
        <v>1382600</v>
      </c>
      <c r="G46" s="21">
        <f t="shared" si="16"/>
        <v>53506619.999999993</v>
      </c>
      <c r="I46" s="3" t="s">
        <v>22</v>
      </c>
      <c r="J46" s="3">
        <v>0.6</v>
      </c>
      <c r="K46" s="3">
        <v>5.9</v>
      </c>
      <c r="L46" s="3">
        <v>0.6</v>
      </c>
      <c r="M46" s="3">
        <v>18</v>
      </c>
      <c r="N46" s="3">
        <f>M46*L46*K46*J46</f>
        <v>38.231999999999999</v>
      </c>
      <c r="Q46" s="3" t="s">
        <v>26</v>
      </c>
      <c r="R46" s="3">
        <v>1</v>
      </c>
      <c r="S46" s="3">
        <v>1.8</v>
      </c>
      <c r="T46" s="3">
        <v>0.65</v>
      </c>
      <c r="U46" s="3">
        <v>11</v>
      </c>
      <c r="V46" s="3">
        <f t="shared" ref="V46:V48" si="17">U46*T46*S46*R46</f>
        <v>12.870000000000001</v>
      </c>
      <c r="Y46" s="3" t="s">
        <v>51</v>
      </c>
      <c r="Z46" s="3" t="s">
        <v>51</v>
      </c>
      <c r="AA46" s="3" t="s">
        <v>50</v>
      </c>
    </row>
    <row r="47" spans="2:27" x14ac:dyDescent="0.3">
      <c r="B47" s="24">
        <v>4</v>
      </c>
      <c r="C47" s="23" t="s">
        <v>45</v>
      </c>
      <c r="D47" s="18">
        <f>O49</f>
        <v>27.252500000000005</v>
      </c>
      <c r="E47" s="19" t="s">
        <v>224</v>
      </c>
      <c r="F47" s="20">
        <f>AHSP!$H$107</f>
        <v>1382600</v>
      </c>
      <c r="G47" s="21">
        <f t="shared" si="16"/>
        <v>37679306.500000007</v>
      </c>
      <c r="J47" s="3">
        <v>0.6</v>
      </c>
      <c r="K47" s="3">
        <v>53.75</v>
      </c>
      <c r="L47" s="3">
        <v>0.6</v>
      </c>
      <c r="M47" s="3">
        <v>2</v>
      </c>
      <c r="N47" s="3">
        <f t="shared" ref="N47:N49" si="18">M47*L47*K47*J47</f>
        <v>38.699999999999996</v>
      </c>
      <c r="O47" s="3">
        <f>N47+N46</f>
        <v>76.931999999999988</v>
      </c>
      <c r="Q47" s="3" t="s">
        <v>27</v>
      </c>
      <c r="R47" s="3">
        <v>1.8</v>
      </c>
      <c r="S47" s="3">
        <v>1.67</v>
      </c>
      <c r="T47" s="3">
        <v>0.65</v>
      </c>
      <c r="U47" s="3">
        <v>20</v>
      </c>
      <c r="V47" s="3">
        <f>U47*T47*(S47*R47-1*0.67/2)</f>
        <v>34.722999999999999</v>
      </c>
      <c r="X47" s="3" t="s">
        <v>92</v>
      </c>
      <c r="Y47" s="3">
        <f>2.55/0.125</f>
        <v>20.399999999999999</v>
      </c>
      <c r="Z47" s="3">
        <f>0.95*4/0.2</f>
        <v>18.999999999999996</v>
      </c>
      <c r="AA47" s="3">
        <f>0.95*4/0.3</f>
        <v>12.666666666666666</v>
      </c>
    </row>
    <row r="48" spans="2:27" x14ac:dyDescent="0.3">
      <c r="B48" s="24">
        <v>5</v>
      </c>
      <c r="C48" s="23" t="s">
        <v>46</v>
      </c>
      <c r="D48" s="18">
        <f>O50</f>
        <v>3.87</v>
      </c>
      <c r="E48" s="19" t="s">
        <v>224</v>
      </c>
      <c r="F48" s="20">
        <f>AHSP!$H$107</f>
        <v>1382600</v>
      </c>
      <c r="G48" s="21">
        <f t="shared" si="16"/>
        <v>5350662</v>
      </c>
      <c r="I48" s="3" t="s">
        <v>24</v>
      </c>
      <c r="J48" s="3">
        <v>0.55000000000000004</v>
      </c>
      <c r="K48" s="3">
        <f>2*6.8+2*5.15</f>
        <v>23.9</v>
      </c>
      <c r="L48" s="3">
        <v>0.5</v>
      </c>
      <c r="M48" s="3">
        <v>1</v>
      </c>
      <c r="N48" s="3">
        <f t="shared" si="18"/>
        <v>6.5724999999999998</v>
      </c>
      <c r="Q48" s="3" t="s">
        <v>28</v>
      </c>
      <c r="R48" s="3">
        <v>1.8</v>
      </c>
      <c r="S48" s="3">
        <v>1.8</v>
      </c>
      <c r="T48" s="3">
        <v>0.65</v>
      </c>
      <c r="U48" s="3">
        <v>22</v>
      </c>
      <c r="V48" s="3">
        <f t="shared" si="17"/>
        <v>46.332000000000008</v>
      </c>
      <c r="X48" s="3" t="s">
        <v>93</v>
      </c>
      <c r="Y48" s="3">
        <f>2.45/0.125</f>
        <v>19.600000000000001</v>
      </c>
      <c r="Z48" s="3">
        <f>0.85*2/0.2</f>
        <v>8.5</v>
      </c>
      <c r="AA48" s="3">
        <f>0.85*4/0.3+0.85*2/0.2</f>
        <v>19.833333333333336</v>
      </c>
    </row>
    <row r="49" spans="2:27" x14ac:dyDescent="0.3">
      <c r="B49" s="24">
        <v>6</v>
      </c>
      <c r="C49" s="23" t="s">
        <v>60</v>
      </c>
      <c r="D49" s="18">
        <f>V45</f>
        <v>10.816000000000003</v>
      </c>
      <c r="E49" s="19" t="s">
        <v>224</v>
      </c>
      <c r="F49" s="20">
        <f>AHSP!$H$107</f>
        <v>1382600</v>
      </c>
      <c r="G49" s="21">
        <f t="shared" si="16"/>
        <v>14954201.600000003</v>
      </c>
      <c r="J49" s="3">
        <v>0.55000000000000004</v>
      </c>
      <c r="K49" s="3">
        <f>4*9+19.6*2</f>
        <v>75.2</v>
      </c>
      <c r="L49" s="3">
        <v>0.5</v>
      </c>
      <c r="M49" s="3">
        <v>1</v>
      </c>
      <c r="N49" s="3">
        <f t="shared" si="18"/>
        <v>20.680000000000003</v>
      </c>
      <c r="O49" s="3">
        <f>N49+N48</f>
        <v>27.252500000000005</v>
      </c>
      <c r="V49" s="3">
        <f>SUM(V45:V48)</f>
        <v>104.74100000000001</v>
      </c>
      <c r="X49" s="3" t="s">
        <v>94</v>
      </c>
      <c r="Y49" s="3">
        <f>1.75/0.125</f>
        <v>14</v>
      </c>
      <c r="Z49" s="3">
        <f>0.65*2/0.2</f>
        <v>6.5</v>
      </c>
      <c r="AA49" s="3">
        <f>0.65*4/0.3+0.65*2/0.2</f>
        <v>15.166666666666668</v>
      </c>
    </row>
    <row r="50" spans="2:27" x14ac:dyDescent="0.3">
      <c r="B50" s="24">
        <v>7</v>
      </c>
      <c r="C50" s="23" t="s">
        <v>61</v>
      </c>
      <c r="D50" s="18">
        <f t="shared" ref="D50:D52" si="19">V46</f>
        <v>12.870000000000001</v>
      </c>
      <c r="E50" s="19" t="s">
        <v>224</v>
      </c>
      <c r="F50" s="20">
        <f>AHSP!$H$107</f>
        <v>1382600</v>
      </c>
      <c r="G50" s="21">
        <f t="shared" si="16"/>
        <v>17794062</v>
      </c>
      <c r="I50" s="3" t="s">
        <v>23</v>
      </c>
      <c r="J50" s="3">
        <v>0.5</v>
      </c>
      <c r="K50" s="3">
        <f>2*8.6</f>
        <v>17.2</v>
      </c>
      <c r="L50" s="3">
        <v>0.45</v>
      </c>
      <c r="M50" s="3">
        <v>1</v>
      </c>
      <c r="O50" s="3">
        <f>J50*K50*L50*M50</f>
        <v>3.87</v>
      </c>
      <c r="R50" s="3" t="s">
        <v>8</v>
      </c>
      <c r="S50" s="3" t="s">
        <v>7</v>
      </c>
      <c r="T50" s="3" t="s">
        <v>71</v>
      </c>
      <c r="U50" s="3" t="s">
        <v>30</v>
      </c>
      <c r="X50" s="3" t="s">
        <v>95</v>
      </c>
      <c r="Y50" s="3">
        <f>1.75/0.125</f>
        <v>14</v>
      </c>
      <c r="Z50" s="3">
        <f>0.65*2/0.2</f>
        <v>6.5</v>
      </c>
      <c r="AA50" s="3">
        <f>0.75*1/0.3+0.55*2/0.3+0.55*1/0.2</f>
        <v>8.9166666666666679</v>
      </c>
    </row>
    <row r="51" spans="2:27" x14ac:dyDescent="0.3">
      <c r="B51" s="24">
        <v>8</v>
      </c>
      <c r="C51" s="23" t="s">
        <v>62</v>
      </c>
      <c r="D51" s="18">
        <f t="shared" si="19"/>
        <v>34.722999999999999</v>
      </c>
      <c r="E51" s="19" t="s">
        <v>224</v>
      </c>
      <c r="F51" s="20">
        <f>AHSP!$H$107</f>
        <v>1382600</v>
      </c>
      <c r="G51" s="21">
        <f t="shared" si="16"/>
        <v>48008019.799999997</v>
      </c>
      <c r="J51" s="3" t="s">
        <v>7</v>
      </c>
      <c r="K51" s="3" t="s">
        <v>77</v>
      </c>
      <c r="P51" s="3" t="s">
        <v>11</v>
      </c>
      <c r="R51" s="3">
        <v>20.3</v>
      </c>
      <c r="S51" s="3">
        <v>54.45</v>
      </c>
      <c r="T51" s="3">
        <v>0.25</v>
      </c>
      <c r="U51" s="5">
        <f>R51*S51*T51-V49*0.25/0.65</f>
        <v>236.04875000000001</v>
      </c>
      <c r="X51" s="3" t="s">
        <v>96</v>
      </c>
      <c r="Y51" s="3">
        <f>1.55/0.125</f>
        <v>12.4</v>
      </c>
      <c r="Z51" s="3">
        <f>0.55*2/0.2</f>
        <v>5.5</v>
      </c>
      <c r="AA51" s="3">
        <f>0.65*1/0.3+0.55*2/0.3+0.55*1/0.2</f>
        <v>8.5833333333333339</v>
      </c>
    </row>
    <row r="52" spans="2:27" x14ac:dyDescent="0.3">
      <c r="B52" s="24">
        <v>9</v>
      </c>
      <c r="C52" s="23" t="s">
        <v>63</v>
      </c>
      <c r="D52" s="18">
        <f t="shared" si="19"/>
        <v>46.332000000000008</v>
      </c>
      <c r="E52" s="19" t="s">
        <v>224</v>
      </c>
      <c r="F52" s="20">
        <f>AHSP!$H$107</f>
        <v>1382600</v>
      </c>
      <c r="G52" s="21">
        <f t="shared" si="16"/>
        <v>64058623.20000001</v>
      </c>
      <c r="I52" s="3" t="s">
        <v>76</v>
      </c>
      <c r="J52" s="3">
        <f>2*(18+19.6-1.5)</f>
        <v>72.2</v>
      </c>
      <c r="K52" s="3">
        <f>3.3-0.55</f>
        <v>2.75</v>
      </c>
      <c r="L52" s="3">
        <f>K52*J52</f>
        <v>198.55</v>
      </c>
      <c r="N52" s="3" t="s">
        <v>76</v>
      </c>
      <c r="O52" s="3" t="s">
        <v>80</v>
      </c>
      <c r="P52" s="3" t="s">
        <v>7</v>
      </c>
      <c r="Q52" s="3" t="s">
        <v>71</v>
      </c>
      <c r="R52" s="3" t="s">
        <v>86</v>
      </c>
      <c r="S52" s="3" t="s">
        <v>30</v>
      </c>
      <c r="X52" s="3" t="s">
        <v>97</v>
      </c>
      <c r="Y52" s="3">
        <f>1.35/0.125</f>
        <v>10.8</v>
      </c>
      <c r="Z52" s="3">
        <f>0.25*2/0.2</f>
        <v>2.5</v>
      </c>
      <c r="AA52" s="3">
        <f>0.25*2/0.3</f>
        <v>1.6666666666666667</v>
      </c>
    </row>
    <row r="53" spans="2:27" x14ac:dyDescent="0.3">
      <c r="B53" s="24">
        <v>10</v>
      </c>
      <c r="C53" s="23" t="s">
        <v>66</v>
      </c>
      <c r="D53" s="18">
        <f>U51</f>
        <v>236.04875000000001</v>
      </c>
      <c r="E53" s="19" t="s">
        <v>224</v>
      </c>
      <c r="F53" s="20">
        <f>AHSP!$H$107</f>
        <v>1382600</v>
      </c>
      <c r="G53" s="21">
        <f t="shared" si="16"/>
        <v>326361001.75</v>
      </c>
      <c r="J53" s="3">
        <f>2*35.75-6</f>
        <v>65.5</v>
      </c>
      <c r="K53" s="3">
        <v>2.2999999999999998</v>
      </c>
      <c r="L53" s="3">
        <f>K53*J53</f>
        <v>150.64999999999998</v>
      </c>
      <c r="P53" s="3">
        <f>J52-11*0.4-10*0.65-6*0.7</f>
        <v>57.099999999999994</v>
      </c>
      <c r="Q53" s="3">
        <f>K52</f>
        <v>2.75</v>
      </c>
      <c r="R53" s="3">
        <v>0.2</v>
      </c>
      <c r="S53" s="3">
        <f>R53*Q53*P53</f>
        <v>31.405000000000001</v>
      </c>
      <c r="X53" s="3" t="s">
        <v>98</v>
      </c>
      <c r="Y53" s="3">
        <f>1.35/0.125</f>
        <v>10.8</v>
      </c>
      <c r="AA53" s="3">
        <f>0.25/0.125</f>
        <v>2</v>
      </c>
    </row>
    <row r="54" spans="2:27" x14ac:dyDescent="0.3">
      <c r="B54" s="22"/>
      <c r="C54" s="23"/>
      <c r="E54" s="19"/>
      <c r="F54" s="25" t="s">
        <v>229</v>
      </c>
      <c r="G54" s="26">
        <f>SUM(G27:G53)</f>
        <v>1782255610.6879997</v>
      </c>
      <c r="I54" s="3" t="s">
        <v>75</v>
      </c>
      <c r="L54" s="3">
        <f>SUM(L52:L53)</f>
        <v>349.2</v>
      </c>
      <c r="M54" s="5">
        <f>L54*2</f>
        <v>698.4</v>
      </c>
      <c r="P54" s="3">
        <f>J53-10*0.65-1*5-1*0.4</f>
        <v>53.6</v>
      </c>
      <c r="Q54" s="3">
        <f>K53</f>
        <v>2.2999999999999998</v>
      </c>
      <c r="R54" s="3">
        <v>0.2</v>
      </c>
      <c r="S54" s="3">
        <f>R54*Q54*P54</f>
        <v>24.655999999999999</v>
      </c>
    </row>
    <row r="55" spans="2:27" x14ac:dyDescent="0.3">
      <c r="B55" s="22"/>
      <c r="C55" s="23"/>
      <c r="E55" s="19"/>
      <c r="F55" s="28"/>
      <c r="G55" s="29"/>
      <c r="I55" s="3" t="s">
        <v>78</v>
      </c>
      <c r="J55" s="3">
        <f>2*(18+19.6-1.5)</f>
        <v>72.2</v>
      </c>
      <c r="K55" s="3">
        <v>3.45</v>
      </c>
      <c r="L55" s="3">
        <f>K55*J55</f>
        <v>249.09000000000003</v>
      </c>
      <c r="O55" s="3" t="s">
        <v>81</v>
      </c>
      <c r="P55" s="3" t="s">
        <v>82</v>
      </c>
      <c r="S55" s="5">
        <f>SUM(S53:S54)</f>
        <v>56.061</v>
      </c>
    </row>
    <row r="56" spans="2:27" x14ac:dyDescent="0.3">
      <c r="B56" s="16" t="s">
        <v>73</v>
      </c>
      <c r="C56" s="17" t="s">
        <v>74</v>
      </c>
      <c r="E56" s="19"/>
      <c r="G56" s="21"/>
      <c r="J56" s="3">
        <f>2*35.75-6</f>
        <v>65.5</v>
      </c>
      <c r="K56" s="3">
        <v>2.6</v>
      </c>
      <c r="L56" s="3">
        <f>K56*J56</f>
        <v>170.3</v>
      </c>
      <c r="O56" s="3" t="s">
        <v>82</v>
      </c>
      <c r="P56" s="3" t="s">
        <v>84</v>
      </c>
    </row>
    <row r="57" spans="2:27" x14ac:dyDescent="0.3">
      <c r="B57" s="22">
        <v>1</v>
      </c>
      <c r="C57" s="23" t="s">
        <v>75</v>
      </c>
      <c r="D57" s="18">
        <f>M54</f>
        <v>698.4</v>
      </c>
      <c r="E57" s="19" t="s">
        <v>225</v>
      </c>
      <c r="F57" s="20">
        <f>AHSP!H215</f>
        <v>241200</v>
      </c>
      <c r="G57" s="21">
        <f t="shared" ref="G57:G59" si="20">D57*F57</f>
        <v>168454080</v>
      </c>
      <c r="L57" s="3">
        <f>SUM(L55:L56)</f>
        <v>419.39000000000004</v>
      </c>
      <c r="M57" s="5">
        <f>L57*2</f>
        <v>838.78000000000009</v>
      </c>
      <c r="O57" s="3" t="s">
        <v>83</v>
      </c>
      <c r="P57" s="3" t="s">
        <v>85</v>
      </c>
    </row>
    <row r="58" spans="2:27" x14ac:dyDescent="0.3">
      <c r="B58" s="22">
        <v>2</v>
      </c>
      <c r="C58" s="23" t="s">
        <v>79</v>
      </c>
      <c r="D58" s="18">
        <f>M57</f>
        <v>838.78000000000009</v>
      </c>
      <c r="E58" s="19" t="s">
        <v>225</v>
      </c>
      <c r="F58" s="182">
        <f>AHSP!$H$152</f>
        <v>13800</v>
      </c>
      <c r="G58" s="21">
        <f t="shared" si="20"/>
        <v>11575164.000000002</v>
      </c>
      <c r="I58" s="3" t="s">
        <v>91</v>
      </c>
      <c r="K58" s="3" t="s">
        <v>21</v>
      </c>
      <c r="L58" s="3" t="s">
        <v>7</v>
      </c>
      <c r="M58" s="3" t="s">
        <v>8</v>
      </c>
      <c r="N58" s="3" t="s">
        <v>71</v>
      </c>
      <c r="O58" s="3" t="s">
        <v>103</v>
      </c>
      <c r="P58" s="3" t="s">
        <v>30</v>
      </c>
      <c r="Q58" s="3" t="s">
        <v>71</v>
      </c>
      <c r="R58" s="3" t="s">
        <v>49</v>
      </c>
      <c r="S58" s="3" t="s">
        <v>48</v>
      </c>
      <c r="T58" s="3" t="s">
        <v>51</v>
      </c>
      <c r="U58" s="3" t="s">
        <v>50</v>
      </c>
      <c r="V58" s="3" t="s">
        <v>104</v>
      </c>
      <c r="W58" s="3" t="s">
        <v>105</v>
      </c>
      <c r="X58" s="3" t="s">
        <v>106</v>
      </c>
      <c r="Y58" s="3" t="s">
        <v>107</v>
      </c>
      <c r="Z58" s="3" t="s">
        <v>110</v>
      </c>
      <c r="AA58" s="3" t="s">
        <v>30</v>
      </c>
    </row>
    <row r="59" spans="2:27" x14ac:dyDescent="0.3">
      <c r="B59" s="22">
        <v>3</v>
      </c>
      <c r="C59" s="23" t="s">
        <v>70</v>
      </c>
      <c r="D59" s="18">
        <f>S55</f>
        <v>56.061</v>
      </c>
      <c r="E59" s="19" t="s">
        <v>224</v>
      </c>
      <c r="F59" s="20">
        <f>AHSP!$H$107</f>
        <v>1382600</v>
      </c>
      <c r="G59" s="21">
        <f t="shared" si="20"/>
        <v>77509938.599999994</v>
      </c>
      <c r="J59" s="3" t="s">
        <v>92</v>
      </c>
      <c r="K59" s="3">
        <v>24</v>
      </c>
      <c r="L59" s="3">
        <v>0.7</v>
      </c>
      <c r="M59" s="3">
        <v>0.7</v>
      </c>
      <c r="N59" s="3">
        <f>K52</f>
        <v>2.75</v>
      </c>
      <c r="O59" s="3">
        <f>K59*(L59+M59)*2*N59</f>
        <v>184.79999999999995</v>
      </c>
      <c r="P59" s="3">
        <f>K59*L59*M59*N59</f>
        <v>32.339999999999996</v>
      </c>
      <c r="Q59" s="3">
        <v>3.3</v>
      </c>
      <c r="S59" s="3">
        <v>36</v>
      </c>
      <c r="T59" s="3">
        <f t="shared" ref="T59:T65" si="21">Y47+Z47</f>
        <v>39.399999999999991</v>
      </c>
      <c r="U59" s="3">
        <f t="shared" ref="U59:U65" si="22">AA47</f>
        <v>12.666666666666666</v>
      </c>
      <c r="V59" s="3">
        <v>1.58</v>
      </c>
      <c r="W59" s="3">
        <v>2.23</v>
      </c>
      <c r="X59" s="3">
        <v>0.62</v>
      </c>
      <c r="Y59" s="3">
        <v>0.39500000000000002</v>
      </c>
      <c r="Z59" s="3">
        <f>S59*(Q59+0.7)+W59*Q59*(T59*X59+U59*Y59)</f>
        <v>360.58518199999992</v>
      </c>
      <c r="AA59" s="3">
        <f>Z59*K59</f>
        <v>8654.0443679999989</v>
      </c>
    </row>
    <row r="60" spans="2:27" x14ac:dyDescent="0.3">
      <c r="B60" s="22"/>
      <c r="C60" s="23"/>
      <c r="E60" s="19"/>
      <c r="F60" s="25" t="s">
        <v>230</v>
      </c>
      <c r="G60" s="26">
        <f>SUM(G57:G59)</f>
        <v>257539182.59999999</v>
      </c>
      <c r="J60" s="3" t="s">
        <v>93</v>
      </c>
      <c r="K60" s="3">
        <v>20</v>
      </c>
      <c r="L60" s="3">
        <v>0.65</v>
      </c>
      <c r="M60" s="3">
        <v>0.65</v>
      </c>
      <c r="N60" s="3">
        <f>N59</f>
        <v>2.75</v>
      </c>
      <c r="O60" s="3">
        <f t="shared" ref="O60:O65" si="23">K60*(L60+M60)*2*N60</f>
        <v>143</v>
      </c>
      <c r="P60" s="3">
        <f t="shared" ref="P60:P65" si="24">K60*L60*M60*N60</f>
        <v>23.237500000000004</v>
      </c>
      <c r="Q60" s="3">
        <v>3.3</v>
      </c>
      <c r="S60" s="3">
        <v>32</v>
      </c>
      <c r="T60" s="3">
        <f t="shared" si="21"/>
        <v>28.1</v>
      </c>
      <c r="U60" s="3">
        <f t="shared" si="22"/>
        <v>19.833333333333336</v>
      </c>
      <c r="V60" s="3">
        <v>1.58</v>
      </c>
      <c r="W60" s="3">
        <v>2.23</v>
      </c>
      <c r="X60" s="3">
        <v>0.62</v>
      </c>
      <c r="Y60" s="3">
        <v>0.39500000000000002</v>
      </c>
      <c r="Z60" s="3">
        <f t="shared" ref="Z60:Z64" si="25">S60*(Q60+0.7)+W60*Q60*(T60*X60+U60*Y60)</f>
        <v>313.86013050000003</v>
      </c>
      <c r="AA60" s="3">
        <f t="shared" ref="AA60:AA65" si="26">Z60*K60</f>
        <v>6277.2026100000003</v>
      </c>
    </row>
    <row r="61" spans="2:27" x14ac:dyDescent="0.3">
      <c r="B61" s="22"/>
      <c r="C61" s="23"/>
      <c r="E61" s="19"/>
      <c r="G61" s="21"/>
      <c r="J61" s="3" t="s">
        <v>94</v>
      </c>
      <c r="K61" s="3">
        <v>2</v>
      </c>
      <c r="L61" s="3">
        <v>0.5</v>
      </c>
      <c r="M61" s="3">
        <v>0.5</v>
      </c>
      <c r="N61" s="3">
        <f t="shared" ref="N61:N63" si="27">N60</f>
        <v>2.75</v>
      </c>
      <c r="O61" s="3">
        <f t="shared" si="23"/>
        <v>11</v>
      </c>
      <c r="P61" s="3">
        <f t="shared" si="24"/>
        <v>1.375</v>
      </c>
      <c r="Q61" s="3">
        <v>3.3</v>
      </c>
      <c r="S61" s="3">
        <v>20</v>
      </c>
      <c r="T61" s="3">
        <f t="shared" si="21"/>
        <v>20.5</v>
      </c>
      <c r="U61" s="3">
        <f t="shared" si="22"/>
        <v>15.166666666666668</v>
      </c>
      <c r="V61" s="3">
        <v>1.58</v>
      </c>
      <c r="W61" s="3">
        <v>2.23</v>
      </c>
      <c r="X61" s="3">
        <v>0.62</v>
      </c>
      <c r="Y61" s="3">
        <v>0.39500000000000002</v>
      </c>
      <c r="Z61" s="3">
        <f t="shared" si="25"/>
        <v>217.61943249999999</v>
      </c>
      <c r="AA61" s="3">
        <f t="shared" si="26"/>
        <v>435.23886499999998</v>
      </c>
    </row>
    <row r="62" spans="2:27" x14ac:dyDescent="0.3">
      <c r="B62" s="16" t="s">
        <v>10</v>
      </c>
      <c r="C62" s="17" t="s">
        <v>87</v>
      </c>
      <c r="E62" s="19"/>
      <c r="G62" s="21"/>
      <c r="J62" s="3" t="s">
        <v>95</v>
      </c>
      <c r="K62" s="3">
        <v>1</v>
      </c>
      <c r="L62" s="3">
        <v>0.4</v>
      </c>
      <c r="M62" s="3">
        <v>0.6</v>
      </c>
      <c r="N62" s="3">
        <f t="shared" si="27"/>
        <v>2.75</v>
      </c>
      <c r="O62" s="3">
        <f t="shared" si="23"/>
        <v>5.5</v>
      </c>
      <c r="P62" s="3">
        <f t="shared" si="24"/>
        <v>0.65999999999999992</v>
      </c>
      <c r="Q62" s="3">
        <v>3.3</v>
      </c>
      <c r="S62" s="3">
        <v>20</v>
      </c>
      <c r="T62" s="3">
        <f t="shared" si="21"/>
        <v>20.5</v>
      </c>
      <c r="U62" s="3">
        <f t="shared" si="22"/>
        <v>8.9166666666666679</v>
      </c>
      <c r="V62" s="3">
        <v>1.58</v>
      </c>
      <c r="W62" s="3">
        <v>2.23</v>
      </c>
      <c r="X62" s="3">
        <v>0.62</v>
      </c>
      <c r="Y62" s="3">
        <v>0.39500000000000002</v>
      </c>
      <c r="Z62" s="3">
        <f t="shared" si="25"/>
        <v>199.45190124999999</v>
      </c>
      <c r="AA62" s="3">
        <f t="shared" si="26"/>
        <v>199.45190124999999</v>
      </c>
    </row>
    <row r="63" spans="2:27" x14ac:dyDescent="0.3">
      <c r="B63" s="22" t="s">
        <v>16</v>
      </c>
      <c r="C63" s="23" t="s">
        <v>75</v>
      </c>
      <c r="E63" s="19"/>
      <c r="G63" s="21"/>
      <c r="J63" s="3" t="s">
        <v>96</v>
      </c>
      <c r="K63" s="3">
        <v>10</v>
      </c>
      <c r="L63" s="3">
        <v>0.4</v>
      </c>
      <c r="M63" s="3">
        <v>0.5</v>
      </c>
      <c r="N63" s="3">
        <f t="shared" si="27"/>
        <v>2.75</v>
      </c>
      <c r="O63" s="3">
        <f t="shared" si="23"/>
        <v>49.5</v>
      </c>
      <c r="P63" s="3">
        <f t="shared" si="24"/>
        <v>5.5</v>
      </c>
      <c r="Q63" s="3">
        <v>3.3</v>
      </c>
      <c r="S63" s="3">
        <v>18</v>
      </c>
      <c r="T63" s="3">
        <f t="shared" si="21"/>
        <v>17.899999999999999</v>
      </c>
      <c r="U63" s="3">
        <f t="shared" si="22"/>
        <v>8.5833333333333339</v>
      </c>
      <c r="V63" s="3">
        <v>1.58</v>
      </c>
      <c r="W63" s="3">
        <v>2.23</v>
      </c>
      <c r="X63" s="3">
        <v>0.62</v>
      </c>
      <c r="Y63" s="3">
        <v>0.39500000000000002</v>
      </c>
      <c r="Z63" s="3">
        <f t="shared" si="25"/>
        <v>178.62025825000001</v>
      </c>
      <c r="AA63" s="3">
        <f t="shared" si="26"/>
        <v>1786.2025825000001</v>
      </c>
    </row>
    <row r="64" spans="2:27" x14ac:dyDescent="0.3">
      <c r="B64" s="24">
        <v>1</v>
      </c>
      <c r="C64" s="23" t="s">
        <v>88</v>
      </c>
      <c r="D64" s="18">
        <f t="shared" ref="D64:D69" si="28">O59</f>
        <v>184.79999999999995</v>
      </c>
      <c r="E64" s="19" t="s">
        <v>225</v>
      </c>
      <c r="F64" s="20">
        <f>AHSP!$H$171</f>
        <v>226400</v>
      </c>
      <c r="G64" s="21">
        <f t="shared" ref="G64:G70" si="29">D64*F64</f>
        <v>41838719.999999993</v>
      </c>
      <c r="J64" s="3" t="s">
        <v>97</v>
      </c>
      <c r="K64" s="3">
        <v>4</v>
      </c>
      <c r="L64" s="3">
        <v>0.4</v>
      </c>
      <c r="M64" s="3">
        <v>0.4</v>
      </c>
      <c r="N64" s="3">
        <v>3.3</v>
      </c>
      <c r="O64" s="3">
        <f t="shared" si="23"/>
        <v>21.12</v>
      </c>
      <c r="P64" s="3">
        <f t="shared" si="24"/>
        <v>2.1120000000000001</v>
      </c>
      <c r="Q64" s="3">
        <v>3.7</v>
      </c>
      <c r="S64" s="3">
        <v>16</v>
      </c>
      <c r="T64" s="3">
        <f t="shared" si="21"/>
        <v>13.3</v>
      </c>
      <c r="U64" s="3">
        <f t="shared" si="22"/>
        <v>1.6666666666666667</v>
      </c>
      <c r="V64" s="3">
        <v>1.58</v>
      </c>
      <c r="W64" s="3">
        <v>2.23</v>
      </c>
      <c r="X64" s="3">
        <v>0.62</v>
      </c>
      <c r="Y64" s="3">
        <v>0.39500000000000002</v>
      </c>
      <c r="Z64" s="3">
        <f t="shared" si="25"/>
        <v>143.86965433333336</v>
      </c>
      <c r="AA64" s="3">
        <f t="shared" si="26"/>
        <v>575.47861733333343</v>
      </c>
    </row>
    <row r="65" spans="2:30" x14ac:dyDescent="0.3">
      <c r="B65" s="24">
        <v>2</v>
      </c>
      <c r="C65" s="23" t="s">
        <v>89</v>
      </c>
      <c r="D65" s="18">
        <f t="shared" si="28"/>
        <v>143</v>
      </c>
      <c r="E65" s="19" t="s">
        <v>225</v>
      </c>
      <c r="F65" s="20">
        <f>AHSP!$H$171</f>
        <v>226400</v>
      </c>
      <c r="G65" s="21">
        <f t="shared" si="29"/>
        <v>32375200</v>
      </c>
      <c r="J65" s="3" t="s">
        <v>98</v>
      </c>
      <c r="K65" s="3">
        <v>11</v>
      </c>
      <c r="L65" s="3">
        <v>0.4</v>
      </c>
      <c r="M65" s="3">
        <v>0.4</v>
      </c>
      <c r="N65" s="3">
        <f>N59</f>
        <v>2.75</v>
      </c>
      <c r="O65" s="3">
        <f t="shared" si="23"/>
        <v>48.400000000000006</v>
      </c>
      <c r="P65" s="3">
        <f t="shared" si="24"/>
        <v>4.8400000000000007</v>
      </c>
      <c r="Q65" s="3">
        <v>3.3</v>
      </c>
      <c r="R65" s="3">
        <v>10</v>
      </c>
      <c r="T65" s="3">
        <f t="shared" si="21"/>
        <v>10.8</v>
      </c>
      <c r="U65" s="3">
        <f t="shared" si="22"/>
        <v>2</v>
      </c>
      <c r="V65" s="3">
        <v>1.58</v>
      </c>
      <c r="W65" s="3">
        <v>2.23</v>
      </c>
      <c r="X65" s="3">
        <v>0.62</v>
      </c>
      <c r="Y65" s="3">
        <v>0.39500000000000002</v>
      </c>
      <c r="Z65" s="3">
        <f>R65*(Q65+0.7)+W65*Q65*(T65*X65+U65*Y65)</f>
        <v>95.089473999999996</v>
      </c>
      <c r="AA65" s="3">
        <f t="shared" si="26"/>
        <v>1045.9842140000001</v>
      </c>
    </row>
    <row r="66" spans="2:30" x14ac:dyDescent="0.3">
      <c r="B66" s="24">
        <v>3</v>
      </c>
      <c r="C66" s="23" t="s">
        <v>90</v>
      </c>
      <c r="D66" s="18">
        <f t="shared" si="28"/>
        <v>11</v>
      </c>
      <c r="E66" s="19" t="s">
        <v>225</v>
      </c>
      <c r="F66" s="20">
        <f>AHSP!$H$171</f>
        <v>226400</v>
      </c>
      <c r="G66" s="21">
        <f t="shared" si="29"/>
        <v>2490400</v>
      </c>
    </row>
    <row r="67" spans="2:30" x14ac:dyDescent="0.3">
      <c r="B67" s="24">
        <v>4</v>
      </c>
      <c r="C67" s="23" t="s">
        <v>99</v>
      </c>
      <c r="D67" s="18">
        <f t="shared" si="28"/>
        <v>5.5</v>
      </c>
      <c r="E67" s="19" t="s">
        <v>225</v>
      </c>
      <c r="F67" s="20">
        <f>AHSP!$H$171</f>
        <v>226400</v>
      </c>
      <c r="G67" s="21">
        <f t="shared" si="29"/>
        <v>1245200</v>
      </c>
      <c r="L67" s="3" t="s">
        <v>8</v>
      </c>
      <c r="M67" s="3" t="s">
        <v>71</v>
      </c>
      <c r="N67" s="3" t="s">
        <v>7</v>
      </c>
      <c r="O67" s="3" t="s">
        <v>21</v>
      </c>
      <c r="P67" s="3" t="s">
        <v>128</v>
      </c>
      <c r="Q67" s="3" t="s">
        <v>80</v>
      </c>
      <c r="R67" s="3" t="s">
        <v>52</v>
      </c>
      <c r="S67" s="3" t="s">
        <v>49</v>
      </c>
      <c r="T67" s="3" t="s">
        <v>48</v>
      </c>
      <c r="U67" s="3" t="s">
        <v>51</v>
      </c>
      <c r="V67" s="3" t="s">
        <v>50</v>
      </c>
      <c r="W67" s="3" t="s">
        <v>131</v>
      </c>
      <c r="X67" s="3" t="s">
        <v>104</v>
      </c>
      <c r="Y67" s="3" t="s">
        <v>105</v>
      </c>
      <c r="Z67" s="3" t="s">
        <v>106</v>
      </c>
      <c r="AA67" s="3" t="s">
        <v>107</v>
      </c>
      <c r="AB67" s="3" t="s">
        <v>132</v>
      </c>
      <c r="AC67" s="3" t="s">
        <v>129</v>
      </c>
      <c r="AD67" s="3" t="s">
        <v>130</v>
      </c>
    </row>
    <row r="68" spans="2:30" x14ac:dyDescent="0.3">
      <c r="B68" s="24">
        <v>5</v>
      </c>
      <c r="C68" s="23" t="s">
        <v>100</v>
      </c>
      <c r="D68" s="18">
        <f t="shared" si="28"/>
        <v>49.5</v>
      </c>
      <c r="E68" s="19" t="s">
        <v>225</v>
      </c>
      <c r="F68" s="20">
        <f>AHSP!$H$171</f>
        <v>226400</v>
      </c>
      <c r="G68" s="21">
        <f t="shared" si="29"/>
        <v>11206800</v>
      </c>
      <c r="J68" s="4" t="s">
        <v>122</v>
      </c>
      <c r="L68" s="3">
        <v>0.45</v>
      </c>
      <c r="M68" s="3">
        <v>0.65</v>
      </c>
      <c r="N68" s="3">
        <v>53.75</v>
      </c>
      <c r="O68" s="3">
        <v>2</v>
      </c>
      <c r="P68" s="3">
        <f>(L68+2*(M68-0.13))*N68*O68</f>
        <v>160.17500000000001</v>
      </c>
      <c r="Q68" s="3">
        <f>L68*(M68-0.13)*N68*O68</f>
        <v>25.155000000000001</v>
      </c>
      <c r="S68" s="3">
        <f>(16+3/2)*N68</f>
        <v>940.625</v>
      </c>
      <c r="U68" s="3">
        <f>2.15/0.15</f>
        <v>14.333333333333334</v>
      </c>
      <c r="W68" s="3">
        <v>1.04</v>
      </c>
      <c r="X68" s="3">
        <v>1.58</v>
      </c>
      <c r="Y68" s="3">
        <v>2.23</v>
      </c>
      <c r="Z68" s="3">
        <v>0.62</v>
      </c>
      <c r="AA68" s="3">
        <v>0.39500000000000002</v>
      </c>
      <c r="AB68" s="3">
        <f>S68*O68*X68</f>
        <v>2972.375</v>
      </c>
      <c r="AC68" s="3">
        <f>Z68*U68*O68*N68</f>
        <v>955.31666666666672</v>
      </c>
      <c r="AD68" s="3">
        <f>AB68+AC68</f>
        <v>3927.6916666666666</v>
      </c>
    </row>
    <row r="69" spans="2:30" x14ac:dyDescent="0.3">
      <c r="B69" s="24">
        <v>6</v>
      </c>
      <c r="C69" s="23" t="s">
        <v>101</v>
      </c>
      <c r="D69" s="18">
        <f t="shared" si="28"/>
        <v>21.12</v>
      </c>
      <c r="E69" s="19" t="s">
        <v>225</v>
      </c>
      <c r="F69" s="20">
        <f>AHSP!$H$171</f>
        <v>226400</v>
      </c>
      <c r="G69" s="21">
        <f t="shared" si="29"/>
        <v>4781568</v>
      </c>
      <c r="J69" s="4" t="s">
        <v>122</v>
      </c>
      <c r="L69" s="3">
        <v>0.45</v>
      </c>
      <c r="M69" s="3">
        <v>0.65</v>
      </c>
      <c r="N69" s="3">
        <v>7.8</v>
      </c>
      <c r="O69" s="3">
        <v>11</v>
      </c>
      <c r="P69" s="3">
        <f t="shared" ref="P69" si="30">(L69+2*(M69-0.13))*N69*O69</f>
        <v>127.842</v>
      </c>
      <c r="Q69" s="3">
        <f t="shared" ref="Q69" si="31">L69*(M69-0.13)*N69*O69</f>
        <v>20.077200000000001</v>
      </c>
      <c r="S69" s="3">
        <f>(14+3/2)*N69</f>
        <v>120.89999999999999</v>
      </c>
      <c r="U69" s="3">
        <f>2.15/0.15</f>
        <v>14.333333333333334</v>
      </c>
      <c r="X69" s="3">
        <v>1.58</v>
      </c>
      <c r="Y69" s="3">
        <v>2.23</v>
      </c>
      <c r="Z69" s="3">
        <v>0.62</v>
      </c>
      <c r="AA69" s="3">
        <v>0.39500000000000002</v>
      </c>
      <c r="AB69" s="3">
        <f>S69*O69*X69</f>
        <v>2101.2419999999997</v>
      </c>
      <c r="AC69" s="3">
        <f>Z69*U69*O69*N69</f>
        <v>762.476</v>
      </c>
      <c r="AD69" s="3">
        <f>AB69+AC69</f>
        <v>2863.7179999999998</v>
      </c>
    </row>
    <row r="70" spans="2:30" x14ac:dyDescent="0.3">
      <c r="B70" s="24">
        <v>7</v>
      </c>
      <c r="C70" s="23" t="s">
        <v>102</v>
      </c>
      <c r="D70" s="18">
        <f>O65</f>
        <v>48.400000000000006</v>
      </c>
      <c r="E70" s="19" t="s">
        <v>225</v>
      </c>
      <c r="F70" s="20">
        <f>AHSP!$H$171</f>
        <v>226400</v>
      </c>
      <c r="G70" s="21">
        <f t="shared" si="29"/>
        <v>10957760.000000002</v>
      </c>
      <c r="P70" s="5">
        <f>SUM(P68:P69)</f>
        <v>288.017</v>
      </c>
      <c r="Q70" s="5">
        <f>SUM(Q68:Q69)</f>
        <v>45.232200000000006</v>
      </c>
      <c r="AD70" s="5">
        <f>SUM(AD68:AD69)</f>
        <v>6791.4096666666665</v>
      </c>
    </row>
    <row r="71" spans="2:30" x14ac:dyDescent="0.3">
      <c r="B71" s="22" t="s">
        <v>31</v>
      </c>
      <c r="C71" s="23" t="s">
        <v>111</v>
      </c>
      <c r="E71" s="19"/>
      <c r="G71" s="21"/>
      <c r="J71" s="4" t="s">
        <v>123</v>
      </c>
      <c r="L71" s="3">
        <v>0.35</v>
      </c>
      <c r="M71" s="3">
        <v>0.55000000000000004</v>
      </c>
      <c r="N71" s="3">
        <v>18</v>
      </c>
      <c r="O71" s="3">
        <v>2</v>
      </c>
      <c r="P71" s="3">
        <f>(L71+2*(M71-0.13))*N71*O71</f>
        <v>42.839999999999996</v>
      </c>
      <c r="Q71" s="3">
        <f>L71*(M71-0.13)*N71*O71</f>
        <v>5.2919999999999998</v>
      </c>
      <c r="S71" s="3">
        <f>(14+3/2)*N71</f>
        <v>279</v>
      </c>
      <c r="U71" s="3">
        <f>1.75/0.15</f>
        <v>11.666666666666668</v>
      </c>
      <c r="X71" s="3">
        <v>1.58</v>
      </c>
      <c r="Y71" s="3">
        <v>2.23</v>
      </c>
      <c r="Z71" s="3">
        <v>0.62</v>
      </c>
      <c r="AA71" s="3">
        <v>0.39500000000000002</v>
      </c>
      <c r="AB71" s="3">
        <f>S71*O71*X71</f>
        <v>881.64</v>
      </c>
      <c r="AC71" s="3">
        <f>Z71*U71*O71*N71</f>
        <v>260.40000000000003</v>
      </c>
      <c r="AD71" s="3">
        <f t="shared" ref="AD71:AD72" si="32">AB71+AC71</f>
        <v>1142.04</v>
      </c>
    </row>
    <row r="72" spans="2:30" x14ac:dyDescent="0.3">
      <c r="B72" s="24">
        <v>1</v>
      </c>
      <c r="C72" s="23" t="s">
        <v>88</v>
      </c>
      <c r="D72" s="18">
        <f t="shared" ref="D72:D78" si="33">AA59</f>
        <v>8654.0443679999989</v>
      </c>
      <c r="E72" s="19" t="s">
        <v>65</v>
      </c>
      <c r="F72" s="20">
        <f>F32</f>
        <v>19300</v>
      </c>
      <c r="G72" s="21">
        <f t="shared" ref="G72:G78" si="34">D72*F72</f>
        <v>167023056.30239999</v>
      </c>
      <c r="J72" s="4" t="s">
        <v>123</v>
      </c>
      <c r="L72" s="3">
        <v>0.35</v>
      </c>
      <c r="M72" s="3">
        <v>0.55000000000000004</v>
      </c>
      <c r="N72" s="3">
        <v>5.9</v>
      </c>
      <c r="O72" s="3">
        <v>20</v>
      </c>
      <c r="P72" s="3">
        <f>(L72+2*(M72-0.13))*N72*O72</f>
        <v>140.41999999999999</v>
      </c>
      <c r="Q72" s="3">
        <f>L72*(M72-0.13)*N72*O72</f>
        <v>17.346</v>
      </c>
      <c r="S72" s="3">
        <f>(14+3/2)*N72</f>
        <v>91.45</v>
      </c>
      <c r="U72" s="3">
        <f>1.75/0.15</f>
        <v>11.666666666666668</v>
      </c>
      <c r="X72" s="3">
        <v>1.58</v>
      </c>
      <c r="Y72" s="3">
        <v>2.23</v>
      </c>
      <c r="Z72" s="3">
        <v>0.62</v>
      </c>
      <c r="AA72" s="3">
        <v>0.39500000000000002</v>
      </c>
      <c r="AB72" s="3">
        <f>S72*O72*X72</f>
        <v>2889.82</v>
      </c>
      <c r="AC72" s="3">
        <f>Z72*U72*O72*N72</f>
        <v>853.53333333333353</v>
      </c>
      <c r="AD72" s="3">
        <f t="shared" si="32"/>
        <v>3743.3533333333335</v>
      </c>
    </row>
    <row r="73" spans="2:30" x14ac:dyDescent="0.3">
      <c r="B73" s="24">
        <v>2</v>
      </c>
      <c r="C73" s="23" t="s">
        <v>89</v>
      </c>
      <c r="D73" s="18">
        <f t="shared" si="33"/>
        <v>6277.2026100000003</v>
      </c>
      <c r="E73" s="19" t="s">
        <v>65</v>
      </c>
      <c r="F73" s="20">
        <f t="shared" ref="F73:F78" si="35">F33</f>
        <v>19300</v>
      </c>
      <c r="G73" s="21">
        <f t="shared" si="34"/>
        <v>121150010.37300001</v>
      </c>
      <c r="P73" s="5">
        <f>SUM(P71:P72)</f>
        <v>183.26</v>
      </c>
      <c r="Q73" s="5">
        <f>SUM(Q71:Q72)</f>
        <v>22.637999999999998</v>
      </c>
      <c r="AD73" s="5">
        <f>SUM(AD71:AD72)</f>
        <v>4885.3933333333334</v>
      </c>
    </row>
    <row r="74" spans="2:30" x14ac:dyDescent="0.3">
      <c r="B74" s="24">
        <v>3</v>
      </c>
      <c r="C74" s="23" t="s">
        <v>90</v>
      </c>
      <c r="D74" s="18">
        <f t="shared" si="33"/>
        <v>435.23886499999998</v>
      </c>
      <c r="E74" s="19" t="s">
        <v>65</v>
      </c>
      <c r="F74" s="20">
        <f t="shared" si="35"/>
        <v>19300</v>
      </c>
      <c r="G74" s="21">
        <f t="shared" si="34"/>
        <v>8400110.0944999997</v>
      </c>
      <c r="J74" s="4" t="s">
        <v>124</v>
      </c>
      <c r="L74" s="3">
        <v>0.35</v>
      </c>
      <c r="M74" s="3">
        <v>0.6</v>
      </c>
      <c r="N74" s="3">
        <v>7.8</v>
      </c>
      <c r="O74" s="3">
        <v>10</v>
      </c>
      <c r="P74" s="5">
        <f>(L74+2*(M74-0.13))*N74*O74</f>
        <v>100.61999999999999</v>
      </c>
      <c r="Q74" s="5">
        <f>L74*(M74-0.13)*N74*O74</f>
        <v>12.831</v>
      </c>
      <c r="R74" s="3">
        <f>4*N74</f>
        <v>31.2</v>
      </c>
      <c r="S74" s="3">
        <f>8*N74+2/2*N74</f>
        <v>70.2</v>
      </c>
      <c r="U74" s="3">
        <f>1.85/0.15</f>
        <v>12.333333333333334</v>
      </c>
      <c r="W74" s="3">
        <v>1.04</v>
      </c>
      <c r="X74" s="3">
        <v>1.58</v>
      </c>
      <c r="Y74" s="3">
        <v>2.23</v>
      </c>
      <c r="Z74" s="3">
        <v>0.62</v>
      </c>
      <c r="AA74" s="3">
        <v>0.39500000000000002</v>
      </c>
      <c r="AB74" s="3">
        <f>S74*O74*X74+R74*O74*W74</f>
        <v>1433.64</v>
      </c>
      <c r="AC74" s="3">
        <f>Z74*U74*O74*N74</f>
        <v>596.44000000000005</v>
      </c>
      <c r="AD74" s="5">
        <f>AB74+AC74</f>
        <v>2030.0800000000002</v>
      </c>
    </row>
    <row r="75" spans="2:30" x14ac:dyDescent="0.3">
      <c r="B75" s="24">
        <v>4</v>
      </c>
      <c r="C75" s="23" t="s">
        <v>99</v>
      </c>
      <c r="D75" s="18">
        <f t="shared" si="33"/>
        <v>199.45190124999999</v>
      </c>
      <c r="E75" s="19" t="s">
        <v>65</v>
      </c>
      <c r="F75" s="20">
        <f t="shared" si="35"/>
        <v>19300</v>
      </c>
      <c r="G75" s="21">
        <f t="shared" si="34"/>
        <v>3849421.6941249999</v>
      </c>
      <c r="J75" s="4" t="s">
        <v>125</v>
      </c>
      <c r="L75" s="3">
        <v>0.3</v>
      </c>
      <c r="M75" s="3">
        <v>0.5</v>
      </c>
      <c r="N75" s="3">
        <f>17.75+5.9+2.8*2+3.15</f>
        <v>32.4</v>
      </c>
      <c r="O75" s="3">
        <v>1</v>
      </c>
      <c r="P75" s="5">
        <f>(L75+2*(M75-0.13))*N75*O75</f>
        <v>33.695999999999998</v>
      </c>
      <c r="Q75" s="5">
        <f>L75*(M75-0.13)*N75*O75</f>
        <v>3.5964</v>
      </c>
      <c r="R75" s="3">
        <v>2</v>
      </c>
      <c r="S75" s="7">
        <v>8</v>
      </c>
      <c r="U75" s="3">
        <f>1.55/0.15</f>
        <v>10.333333333333334</v>
      </c>
      <c r="W75" s="3">
        <v>1.04</v>
      </c>
      <c r="X75" s="3">
        <v>1.58</v>
      </c>
      <c r="Y75" s="3">
        <v>2.23</v>
      </c>
      <c r="Z75" s="3">
        <v>0.62</v>
      </c>
      <c r="AA75" s="3">
        <v>0.39500000000000002</v>
      </c>
      <c r="AB75" s="3">
        <f>(S75*X75+R75*W75)*N75*O75</f>
        <v>476.928</v>
      </c>
      <c r="AC75" s="3">
        <f t="shared" ref="AC75:AC76" si="36">Z75*U75*O75*N75</f>
        <v>207.57599999999999</v>
      </c>
      <c r="AD75" s="5">
        <f t="shared" ref="AD75:AD80" si="37">AB75+AC75</f>
        <v>684.50400000000002</v>
      </c>
    </row>
    <row r="76" spans="2:30" x14ac:dyDescent="0.3">
      <c r="B76" s="24">
        <v>5</v>
      </c>
      <c r="C76" s="23" t="s">
        <v>100</v>
      </c>
      <c r="D76" s="18">
        <f t="shared" si="33"/>
        <v>1786.2025825000001</v>
      </c>
      <c r="E76" s="19" t="s">
        <v>65</v>
      </c>
      <c r="F76" s="20">
        <f t="shared" si="35"/>
        <v>19300</v>
      </c>
      <c r="G76" s="21">
        <f t="shared" si="34"/>
        <v>34473709.842250004</v>
      </c>
      <c r="J76" s="8" t="s">
        <v>166</v>
      </c>
      <c r="L76" s="3">
        <v>0.3</v>
      </c>
      <c r="M76" s="3">
        <v>0.5</v>
      </c>
      <c r="N76" s="3">
        <v>5.9</v>
      </c>
      <c r="O76" s="3">
        <v>16</v>
      </c>
      <c r="P76" s="3">
        <f>(L76+2*(M76-0.13))*N76*O76</f>
        <v>98.176000000000016</v>
      </c>
      <c r="Q76" s="3">
        <f>L76*(M76-0.13)*N76*O76</f>
        <v>10.478400000000001</v>
      </c>
      <c r="R76" s="3">
        <v>2</v>
      </c>
      <c r="S76" s="3">
        <v>8</v>
      </c>
      <c r="U76" s="3">
        <f>1.45/0.15</f>
        <v>9.6666666666666661</v>
      </c>
      <c r="W76" s="3">
        <v>1.04</v>
      </c>
      <c r="X76" s="3">
        <v>1.58</v>
      </c>
      <c r="Y76" s="3">
        <v>2.23</v>
      </c>
      <c r="Z76" s="3">
        <v>0.62</v>
      </c>
      <c r="AA76" s="3">
        <v>0.39500000000000002</v>
      </c>
      <c r="AB76" s="3">
        <f t="shared" ref="AB76" si="38">(S76*X76+R76*W76)*N76*O76</f>
        <v>1389.5680000000002</v>
      </c>
      <c r="AC76" s="3">
        <f t="shared" si="36"/>
        <v>565.77066666666667</v>
      </c>
      <c r="AD76" s="3">
        <f t="shared" si="37"/>
        <v>1955.338666666667</v>
      </c>
    </row>
    <row r="77" spans="2:30" x14ac:dyDescent="0.3">
      <c r="B77" s="24">
        <v>6</v>
      </c>
      <c r="C77" s="23" t="s">
        <v>101</v>
      </c>
      <c r="D77" s="18">
        <f t="shared" si="33"/>
        <v>575.47861733333343</v>
      </c>
      <c r="E77" s="19" t="s">
        <v>65</v>
      </c>
      <c r="F77" s="20">
        <f t="shared" si="35"/>
        <v>19300</v>
      </c>
      <c r="G77" s="21">
        <f t="shared" si="34"/>
        <v>11106737.314533336</v>
      </c>
      <c r="J77" s="8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2:30" x14ac:dyDescent="0.3">
      <c r="B78" s="24">
        <v>7</v>
      </c>
      <c r="C78" s="23" t="s">
        <v>102</v>
      </c>
      <c r="D78" s="18">
        <f t="shared" si="33"/>
        <v>1045.9842140000001</v>
      </c>
      <c r="E78" s="19" t="s">
        <v>65</v>
      </c>
      <c r="F78" s="20">
        <f t="shared" si="35"/>
        <v>19300</v>
      </c>
      <c r="G78" s="21">
        <f t="shared" si="34"/>
        <v>20187495.330200002</v>
      </c>
      <c r="P78" s="5"/>
      <c r="Q78" s="5"/>
      <c r="AD78" s="5"/>
    </row>
    <row r="79" spans="2:30" x14ac:dyDescent="0.3">
      <c r="B79" s="22" t="s">
        <v>34</v>
      </c>
      <c r="C79" s="23" t="s">
        <v>70</v>
      </c>
      <c r="E79" s="19"/>
      <c r="G79" s="21"/>
      <c r="J79" s="4" t="s">
        <v>126</v>
      </c>
      <c r="L79" s="3">
        <v>0.25</v>
      </c>
      <c r="M79" s="3">
        <v>0.4</v>
      </c>
      <c r="N79" s="3">
        <f>8.8+3.8+2.2+5.85</f>
        <v>20.65</v>
      </c>
      <c r="O79" s="3">
        <v>1</v>
      </c>
      <c r="P79" s="5">
        <f>(L79+2*(M79-0.13))*N79*O79</f>
        <v>16.313500000000001</v>
      </c>
      <c r="Q79" s="5">
        <f>L79*(M79-0.13)*N79*O79</f>
        <v>1.393875</v>
      </c>
      <c r="S79" s="3">
        <f>5+1/2</f>
        <v>5.5</v>
      </c>
      <c r="V79" s="3">
        <f>1.25/0.15</f>
        <v>8.3333333333333339</v>
      </c>
      <c r="W79" s="3">
        <v>1.04</v>
      </c>
      <c r="X79" s="3">
        <v>1.58</v>
      </c>
      <c r="Y79" s="3">
        <v>2.23</v>
      </c>
      <c r="Z79" s="3">
        <v>0.62</v>
      </c>
      <c r="AA79" s="3">
        <v>0.39500000000000002</v>
      </c>
      <c r="AB79" s="3">
        <f t="shared" ref="AB79:AB80" si="39">(S79*X79+R79*W79)*N79*O79</f>
        <v>179.44850000000002</v>
      </c>
      <c r="AC79" s="3">
        <f>Z79*V79*O79*N79</f>
        <v>106.69166666666666</v>
      </c>
      <c r="AD79" s="5">
        <f t="shared" si="37"/>
        <v>286.14016666666669</v>
      </c>
    </row>
    <row r="80" spans="2:30" x14ac:dyDescent="0.3">
      <c r="B80" s="24">
        <v>1</v>
      </c>
      <c r="C80" s="23" t="s">
        <v>88</v>
      </c>
      <c r="D80" s="18">
        <f t="shared" ref="D80:D86" si="40">P59</f>
        <v>32.339999999999996</v>
      </c>
      <c r="E80" s="19" t="s">
        <v>224</v>
      </c>
      <c r="F80" s="20">
        <f>F44</f>
        <v>1382600</v>
      </c>
      <c r="G80" s="21">
        <f t="shared" ref="G80:G86" si="41">D80*F80</f>
        <v>44713283.999999993</v>
      </c>
      <c r="J80" s="4" t="s">
        <v>127</v>
      </c>
      <c r="L80" s="3">
        <v>0.2</v>
      </c>
      <c r="M80" s="3">
        <v>0.4</v>
      </c>
      <c r="N80" s="3">
        <v>2.9</v>
      </c>
      <c r="O80" s="3">
        <v>1</v>
      </c>
      <c r="P80" s="5">
        <f>(L80+2*(M80-0.13))*N80*O80</f>
        <v>2.1459999999999999</v>
      </c>
      <c r="Q80" s="5">
        <f>L80*(M80-0.13)*N80*O80</f>
        <v>0.15660000000000002</v>
      </c>
      <c r="S80" s="3">
        <v>5</v>
      </c>
      <c r="V80" s="3">
        <f>1.15/0.15</f>
        <v>7.6666666666666661</v>
      </c>
      <c r="W80" s="3">
        <v>1.04</v>
      </c>
      <c r="X80" s="3">
        <v>1.58</v>
      </c>
      <c r="Y80" s="3">
        <v>2.23</v>
      </c>
      <c r="Z80" s="3">
        <v>0.62</v>
      </c>
      <c r="AA80" s="3">
        <v>0.39500000000000002</v>
      </c>
      <c r="AB80" s="3">
        <f t="shared" si="39"/>
        <v>22.91</v>
      </c>
      <c r="AC80" s="3">
        <f>Z80*V80*O80*N80</f>
        <v>13.784666666666665</v>
      </c>
      <c r="AD80" s="5">
        <f t="shared" si="37"/>
        <v>36.694666666666663</v>
      </c>
    </row>
    <row r="81" spans="2:30" x14ac:dyDescent="0.3">
      <c r="B81" s="24">
        <v>2</v>
      </c>
      <c r="C81" s="23" t="s">
        <v>89</v>
      </c>
      <c r="D81" s="18">
        <f t="shared" si="40"/>
        <v>23.237500000000004</v>
      </c>
      <c r="E81" s="19" t="s">
        <v>224</v>
      </c>
      <c r="F81" s="20">
        <f t="shared" ref="F81:F86" si="42">F45</f>
        <v>1382600</v>
      </c>
      <c r="G81" s="21">
        <f t="shared" si="41"/>
        <v>32128167.500000007</v>
      </c>
      <c r="J81" s="4" t="s">
        <v>169</v>
      </c>
      <c r="L81" s="3">
        <v>0.4</v>
      </c>
      <c r="M81" s="3">
        <v>0.6</v>
      </c>
      <c r="N81" s="3">
        <v>35.75</v>
      </c>
      <c r="O81" s="3">
        <v>2</v>
      </c>
      <c r="P81" s="5">
        <f>(L81+2*(M81-0.13))*N81*O81</f>
        <v>95.809999999999988</v>
      </c>
      <c r="Q81" s="5">
        <f>L81*(M81-0.13)*N81*O81</f>
        <v>13.442</v>
      </c>
      <c r="S81" s="3">
        <v>14</v>
      </c>
      <c r="U81" s="3">
        <f>1.95/0.15</f>
        <v>13</v>
      </c>
      <c r="W81" s="3">
        <v>1.04</v>
      </c>
      <c r="X81" s="3">
        <v>1.58</v>
      </c>
      <c r="Y81" s="3">
        <v>2.23</v>
      </c>
      <c r="Z81" s="3">
        <v>0.62</v>
      </c>
      <c r="AA81" s="3">
        <v>0.39500000000000002</v>
      </c>
      <c r="AB81" s="3">
        <f>S81*O81*X81*N81</f>
        <v>1581.5800000000002</v>
      </c>
      <c r="AC81" s="3">
        <f>Z81*U81*O81*N81</f>
        <v>576.29000000000008</v>
      </c>
      <c r="AD81" s="5">
        <f>AB81+AC81</f>
        <v>2157.8700000000003</v>
      </c>
    </row>
    <row r="82" spans="2:30" x14ac:dyDescent="0.3">
      <c r="B82" s="24">
        <v>3</v>
      </c>
      <c r="C82" s="23" t="s">
        <v>90</v>
      </c>
      <c r="D82" s="18">
        <f t="shared" si="40"/>
        <v>1.375</v>
      </c>
      <c r="E82" s="19" t="s">
        <v>224</v>
      </c>
      <c r="F82" s="20">
        <f t="shared" si="42"/>
        <v>1382600</v>
      </c>
      <c r="G82" s="21">
        <f t="shared" si="41"/>
        <v>1901075</v>
      </c>
      <c r="J82" s="3" t="s">
        <v>171</v>
      </c>
      <c r="L82" s="3">
        <v>0.3</v>
      </c>
      <c r="M82" s="3">
        <v>0.2</v>
      </c>
      <c r="N82" s="3">
        <v>2</v>
      </c>
      <c r="O82" s="3">
        <v>1</v>
      </c>
      <c r="P82" s="5">
        <f>(L82+2*(M82-0.13))*N82*O82</f>
        <v>0.88</v>
      </c>
      <c r="Q82" s="5">
        <f>L82*(M82-0.13)*N82*O82</f>
        <v>4.2000000000000003E-2</v>
      </c>
      <c r="R82" s="3">
        <v>2</v>
      </c>
      <c r="S82" s="3">
        <v>8</v>
      </c>
      <c r="U82" s="3">
        <f>1.45/0.15</f>
        <v>9.6666666666666661</v>
      </c>
      <c r="W82" s="3">
        <v>1.04</v>
      </c>
      <c r="X82" s="3">
        <v>1.58</v>
      </c>
      <c r="Y82" s="3">
        <v>2.23</v>
      </c>
      <c r="Z82" s="3">
        <v>0.62</v>
      </c>
      <c r="AA82" s="3">
        <v>0.39500000000000002</v>
      </c>
      <c r="AB82" s="3">
        <f t="shared" ref="AB82" si="43">(S82*X82+R82*W82)*N82*O82</f>
        <v>29.44</v>
      </c>
      <c r="AC82" s="3">
        <f t="shared" ref="AC82" si="44">Z82*U82*O82*N82</f>
        <v>11.986666666666666</v>
      </c>
      <c r="AD82" s="5">
        <f t="shared" ref="AD82" si="45">AB82+AC82</f>
        <v>41.426666666666669</v>
      </c>
    </row>
    <row r="83" spans="2:30" x14ac:dyDescent="0.3">
      <c r="B83" s="24">
        <v>4</v>
      </c>
      <c r="C83" s="23" t="s">
        <v>99</v>
      </c>
      <c r="D83" s="18">
        <f t="shared" si="40"/>
        <v>0.65999999999999992</v>
      </c>
      <c r="E83" s="19" t="s">
        <v>224</v>
      </c>
      <c r="F83" s="20">
        <f t="shared" si="42"/>
        <v>1382600</v>
      </c>
      <c r="G83" s="21">
        <f t="shared" si="41"/>
        <v>912515.99999999988</v>
      </c>
    </row>
    <row r="84" spans="2:30" x14ac:dyDescent="0.3">
      <c r="B84" s="24">
        <v>5</v>
      </c>
      <c r="C84" s="23" t="s">
        <v>100</v>
      </c>
      <c r="D84" s="18">
        <f t="shared" si="40"/>
        <v>5.5</v>
      </c>
      <c r="E84" s="19" t="s">
        <v>224</v>
      </c>
      <c r="F84" s="20">
        <f t="shared" si="42"/>
        <v>1382600</v>
      </c>
      <c r="G84" s="21">
        <f t="shared" si="41"/>
        <v>7604300</v>
      </c>
    </row>
    <row r="85" spans="2:30" x14ac:dyDescent="0.3">
      <c r="B85" s="24">
        <v>6</v>
      </c>
      <c r="C85" s="23" t="s">
        <v>101</v>
      </c>
      <c r="D85" s="18">
        <f t="shared" si="40"/>
        <v>2.1120000000000001</v>
      </c>
      <c r="E85" s="19" t="s">
        <v>224</v>
      </c>
      <c r="F85" s="20">
        <f t="shared" si="42"/>
        <v>1382600</v>
      </c>
      <c r="G85" s="21">
        <f t="shared" si="41"/>
        <v>2920051.2</v>
      </c>
      <c r="N85" s="3">
        <f>143/3</f>
        <v>47.666666666666664</v>
      </c>
      <c r="P85" s="3">
        <f>300/24</f>
        <v>12.5</v>
      </c>
      <c r="R85" s="3">
        <f>780/60</f>
        <v>13</v>
      </c>
      <c r="T85" s="3">
        <f>300/5</f>
        <v>60</v>
      </c>
      <c r="V85" s="3">
        <f>0.28/280</f>
        <v>1E-3</v>
      </c>
    </row>
    <row r="86" spans="2:30" x14ac:dyDescent="0.3">
      <c r="B86" s="24">
        <v>7</v>
      </c>
      <c r="C86" s="23" t="s">
        <v>102</v>
      </c>
      <c r="D86" s="18">
        <f t="shared" si="40"/>
        <v>4.8400000000000007</v>
      </c>
      <c r="E86" s="19" t="s">
        <v>224</v>
      </c>
      <c r="F86" s="20">
        <f t="shared" si="42"/>
        <v>1382600</v>
      </c>
      <c r="G86" s="21">
        <f t="shared" si="41"/>
        <v>6691784.0000000009</v>
      </c>
      <c r="L86" s="3">
        <f>35*55</f>
        <v>1925</v>
      </c>
      <c r="N86" s="3">
        <f>284/6</f>
        <v>47.333333333333336</v>
      </c>
      <c r="P86" s="3">
        <f>300/28</f>
        <v>10.714285714285714</v>
      </c>
      <c r="R86" s="3">
        <f>590/50</f>
        <v>11.8</v>
      </c>
    </row>
    <row r="87" spans="2:30" x14ac:dyDescent="0.3">
      <c r="B87" s="22"/>
      <c r="C87" s="23"/>
      <c r="E87" s="19"/>
      <c r="F87" s="25" t="s">
        <v>231</v>
      </c>
      <c r="G87" s="26">
        <f>SUM(G63:G86)</f>
        <v>567957366.65100849</v>
      </c>
      <c r="L87" s="3">
        <f>1500/L86</f>
        <v>0.77922077922077926</v>
      </c>
      <c r="T87" s="3">
        <f>281/6</f>
        <v>46.833333333333336</v>
      </c>
    </row>
    <row r="88" spans="2:30" x14ac:dyDescent="0.3">
      <c r="B88" s="22"/>
      <c r="C88" s="23"/>
      <c r="E88" s="19"/>
      <c r="F88" s="28"/>
      <c r="G88" s="29"/>
      <c r="L88" s="3">
        <f>210/12.5</f>
        <v>16.8</v>
      </c>
      <c r="M88" s="3">
        <f>34*0.6*3600*1.04</f>
        <v>76377.600000000006</v>
      </c>
      <c r="N88" s="3">
        <f>M88/0.6/3600</f>
        <v>35.360000000000007</v>
      </c>
      <c r="P88" s="3">
        <f>259/3</f>
        <v>86.333333333333329</v>
      </c>
      <c r="T88" s="3">
        <f>281/5</f>
        <v>56.2</v>
      </c>
    </row>
    <row r="89" spans="2:30" x14ac:dyDescent="0.3">
      <c r="B89" s="16" t="s">
        <v>112</v>
      </c>
      <c r="C89" s="17" t="s">
        <v>115</v>
      </c>
      <c r="E89" s="19"/>
      <c r="G89" s="21"/>
    </row>
    <row r="90" spans="2:30" x14ac:dyDescent="0.3">
      <c r="B90" s="22" t="s">
        <v>16</v>
      </c>
      <c r="C90" s="23" t="s">
        <v>75</v>
      </c>
      <c r="E90" s="19"/>
      <c r="G90" s="21"/>
    </row>
    <row r="91" spans="2:30" x14ac:dyDescent="0.3">
      <c r="B91" s="24">
        <v>1</v>
      </c>
      <c r="C91" s="23" t="s">
        <v>116</v>
      </c>
      <c r="D91" s="18">
        <f>P70</f>
        <v>288.017</v>
      </c>
      <c r="E91" s="19" t="s">
        <v>225</v>
      </c>
      <c r="F91" s="20">
        <f>AHSP!$H$193</f>
        <v>238600</v>
      </c>
      <c r="G91" s="21">
        <f t="shared" ref="G91:G99" si="46">D91*F91</f>
        <v>68720856.200000003</v>
      </c>
    </row>
    <row r="92" spans="2:30" x14ac:dyDescent="0.3">
      <c r="B92" s="24">
        <v>2</v>
      </c>
      <c r="C92" s="23" t="s">
        <v>168</v>
      </c>
      <c r="D92" s="18">
        <f>P81</f>
        <v>95.809999999999988</v>
      </c>
      <c r="E92" s="19" t="s">
        <v>225</v>
      </c>
      <c r="F92" s="20">
        <f>AHSP!$H$193</f>
        <v>238600</v>
      </c>
      <c r="G92" s="21">
        <f t="shared" si="46"/>
        <v>22860265.999999996</v>
      </c>
    </row>
    <row r="93" spans="2:30" x14ac:dyDescent="0.3">
      <c r="B93" s="24">
        <v>3</v>
      </c>
      <c r="C93" s="23" t="s">
        <v>117</v>
      </c>
      <c r="D93" s="18">
        <f>P73</f>
        <v>183.26</v>
      </c>
      <c r="E93" s="19" t="s">
        <v>225</v>
      </c>
      <c r="F93" s="20">
        <f>AHSP!$H$193</f>
        <v>238600</v>
      </c>
      <c r="G93" s="21">
        <f t="shared" si="46"/>
        <v>43725836</v>
      </c>
    </row>
    <row r="94" spans="2:30" x14ac:dyDescent="0.3">
      <c r="B94" s="24">
        <v>4</v>
      </c>
      <c r="C94" s="23" t="s">
        <v>118</v>
      </c>
      <c r="D94" s="18">
        <f>P74</f>
        <v>100.61999999999999</v>
      </c>
      <c r="E94" s="19" t="s">
        <v>225</v>
      </c>
      <c r="F94" s="20">
        <f>AHSP!$H$193</f>
        <v>238600</v>
      </c>
      <c r="G94" s="21">
        <f t="shared" si="46"/>
        <v>24007931.999999996</v>
      </c>
    </row>
    <row r="95" spans="2:30" x14ac:dyDescent="0.3">
      <c r="B95" s="24">
        <v>5</v>
      </c>
      <c r="C95" s="23" t="s">
        <v>119</v>
      </c>
      <c r="D95" s="18">
        <f>P75</f>
        <v>33.695999999999998</v>
      </c>
      <c r="E95" s="19" t="s">
        <v>225</v>
      </c>
      <c r="F95" s="20">
        <f>AHSP!$H$193</f>
        <v>238600</v>
      </c>
      <c r="G95" s="21">
        <f t="shared" si="46"/>
        <v>8039865.5999999996</v>
      </c>
    </row>
    <row r="96" spans="2:30" x14ac:dyDescent="0.3">
      <c r="B96" s="24">
        <v>6</v>
      </c>
      <c r="C96" s="23" t="s">
        <v>167</v>
      </c>
      <c r="D96" s="18">
        <f>P76</f>
        <v>98.176000000000016</v>
      </c>
      <c r="E96" s="19" t="s">
        <v>225</v>
      </c>
      <c r="F96" s="20">
        <f>AHSP!$H$193</f>
        <v>238600</v>
      </c>
      <c r="G96" s="21">
        <f t="shared" si="46"/>
        <v>23424793.600000005</v>
      </c>
    </row>
    <row r="97" spans="2:26" x14ac:dyDescent="0.3">
      <c r="B97" s="24">
        <v>7</v>
      </c>
      <c r="C97" s="23" t="s">
        <v>120</v>
      </c>
      <c r="D97" s="18">
        <f>P79</f>
        <v>16.313500000000001</v>
      </c>
      <c r="E97" s="19" t="s">
        <v>225</v>
      </c>
      <c r="F97" s="20">
        <f>AHSP!$H$193</f>
        <v>238600</v>
      </c>
      <c r="G97" s="21">
        <f t="shared" si="46"/>
        <v>3892401.1</v>
      </c>
    </row>
    <row r="98" spans="2:26" x14ac:dyDescent="0.3">
      <c r="B98" s="30">
        <v>8</v>
      </c>
      <c r="C98" s="23" t="s">
        <v>121</v>
      </c>
      <c r="D98" s="18">
        <f>P80</f>
        <v>2.1459999999999999</v>
      </c>
      <c r="E98" s="19" t="s">
        <v>225</v>
      </c>
      <c r="F98" s="20">
        <f>AHSP!$H$193</f>
        <v>238600</v>
      </c>
      <c r="G98" s="21">
        <f t="shared" si="46"/>
        <v>512035.6</v>
      </c>
      <c r="N98" s="3" t="s">
        <v>7</v>
      </c>
      <c r="O98" s="3" t="s">
        <v>8</v>
      </c>
      <c r="P98" s="3" t="s">
        <v>134</v>
      </c>
      <c r="R98" s="3" t="s">
        <v>7</v>
      </c>
      <c r="S98" s="3" t="s">
        <v>8</v>
      </c>
      <c r="U98" s="3" t="s">
        <v>103</v>
      </c>
    </row>
    <row r="99" spans="2:26" x14ac:dyDescent="0.3">
      <c r="B99" s="30">
        <v>9</v>
      </c>
      <c r="C99" s="23" t="s">
        <v>170</v>
      </c>
      <c r="D99" s="18">
        <f>P82</f>
        <v>0.88</v>
      </c>
      <c r="E99" s="19" t="s">
        <v>225</v>
      </c>
      <c r="F99" s="20">
        <f>AHSP!$H$193</f>
        <v>238600</v>
      </c>
      <c r="G99" s="21">
        <f t="shared" si="46"/>
        <v>209968</v>
      </c>
      <c r="M99" s="3" t="s">
        <v>133</v>
      </c>
      <c r="N99" s="3">
        <v>20.3</v>
      </c>
      <c r="O99" s="3">
        <v>54.45</v>
      </c>
      <c r="P99" s="3">
        <v>0.13500000000000001</v>
      </c>
      <c r="Q99" s="3" t="s">
        <v>135</v>
      </c>
      <c r="R99" s="3">
        <v>2.625</v>
      </c>
      <c r="S99" s="3">
        <v>3.55</v>
      </c>
      <c r="T99" s="3">
        <f>S99*R99</f>
        <v>9.3187499999999996</v>
      </c>
    </row>
    <row r="100" spans="2:26" x14ac:dyDescent="0.3">
      <c r="B100" s="22" t="s">
        <v>31</v>
      </c>
      <c r="C100" s="23" t="s">
        <v>111</v>
      </c>
      <c r="E100" s="19"/>
      <c r="G100" s="21"/>
      <c r="R100" s="3">
        <v>3.5249999999999999</v>
      </c>
      <c r="S100" s="3">
        <v>1.9</v>
      </c>
      <c r="T100" s="3">
        <f t="shared" ref="T100:T106" si="47">S100*R100</f>
        <v>6.6974999999999998</v>
      </c>
    </row>
    <row r="101" spans="2:26" x14ac:dyDescent="0.3">
      <c r="B101" s="24">
        <v>1</v>
      </c>
      <c r="C101" s="23" t="s">
        <v>116</v>
      </c>
      <c r="D101" s="18">
        <f>AD70</f>
        <v>6791.4096666666665</v>
      </c>
      <c r="E101" s="19" t="s">
        <v>65</v>
      </c>
      <c r="F101" s="20">
        <f>AHSP!$H$67</f>
        <v>19300</v>
      </c>
      <c r="G101" s="21">
        <f t="shared" ref="G101:G109" si="48">D101*F101</f>
        <v>131074206.56666666</v>
      </c>
    </row>
    <row r="102" spans="2:26" x14ac:dyDescent="0.3">
      <c r="B102" s="24">
        <v>2</v>
      </c>
      <c r="C102" s="23" t="s">
        <v>168</v>
      </c>
      <c r="D102" s="18">
        <f>AD81</f>
        <v>2157.8700000000003</v>
      </c>
      <c r="E102" s="19" t="s">
        <v>65</v>
      </c>
      <c r="F102" s="20">
        <f>AHSP!$H$67</f>
        <v>19300</v>
      </c>
      <c r="G102" s="21">
        <f t="shared" si="48"/>
        <v>41646891.000000007</v>
      </c>
      <c r="R102" s="3">
        <v>11.5</v>
      </c>
      <c r="S102" s="3">
        <v>3.2250000000000001</v>
      </c>
      <c r="T102" s="3">
        <f t="shared" si="47"/>
        <v>37.087499999999999</v>
      </c>
    </row>
    <row r="103" spans="2:26" x14ac:dyDescent="0.3">
      <c r="B103" s="24">
        <v>3</v>
      </c>
      <c r="C103" s="23" t="s">
        <v>117</v>
      </c>
      <c r="D103" s="18">
        <f>AD73</f>
        <v>4885.3933333333334</v>
      </c>
      <c r="E103" s="19" t="s">
        <v>65</v>
      </c>
      <c r="F103" s="20">
        <f>AHSP!$H$67</f>
        <v>19300</v>
      </c>
      <c r="G103" s="21">
        <f t="shared" si="48"/>
        <v>94288091.333333328</v>
      </c>
      <c r="R103" s="3">
        <v>3.125</v>
      </c>
      <c r="S103" s="3">
        <v>1.4750000000000001</v>
      </c>
      <c r="T103" s="3">
        <f t="shared" si="47"/>
        <v>4.609375</v>
      </c>
    </row>
    <row r="104" spans="2:26" x14ac:dyDescent="0.3">
      <c r="B104" s="24">
        <v>4</v>
      </c>
      <c r="C104" s="23" t="s">
        <v>118</v>
      </c>
      <c r="D104" s="18">
        <f>AD74</f>
        <v>2030.0800000000002</v>
      </c>
      <c r="E104" s="19" t="s">
        <v>65</v>
      </c>
      <c r="F104" s="20">
        <f>AHSP!$H$67</f>
        <v>19300</v>
      </c>
      <c r="G104" s="21">
        <f t="shared" si="48"/>
        <v>39180544</v>
      </c>
    </row>
    <row r="105" spans="2:26" x14ac:dyDescent="0.3">
      <c r="B105" s="24">
        <v>5</v>
      </c>
      <c r="C105" s="23" t="s">
        <v>119</v>
      </c>
      <c r="D105" s="18">
        <f>AD75</f>
        <v>684.50400000000002</v>
      </c>
      <c r="E105" s="19" t="s">
        <v>65</v>
      </c>
      <c r="F105" s="20">
        <f>AHSP!$H$67</f>
        <v>19300</v>
      </c>
      <c r="G105" s="21">
        <f t="shared" si="48"/>
        <v>13210927.200000001</v>
      </c>
      <c r="R105" s="3">
        <v>1.05</v>
      </c>
      <c r="S105" s="3">
        <v>1.575</v>
      </c>
      <c r="T105" s="3">
        <f t="shared" si="47"/>
        <v>1.6537500000000001</v>
      </c>
      <c r="X105" s="3" t="s">
        <v>108</v>
      </c>
      <c r="Y105" s="3" t="s">
        <v>109</v>
      </c>
      <c r="Z105" s="3" t="s">
        <v>109</v>
      </c>
    </row>
    <row r="106" spans="2:26" x14ac:dyDescent="0.3">
      <c r="B106" s="24">
        <v>6</v>
      </c>
      <c r="C106" s="23" t="s">
        <v>167</v>
      </c>
      <c r="D106" s="18">
        <f>AD76</f>
        <v>1955.338666666667</v>
      </c>
      <c r="E106" s="19" t="s">
        <v>65</v>
      </c>
      <c r="F106" s="20">
        <f>AHSP!$H$67</f>
        <v>19300</v>
      </c>
      <c r="G106" s="21">
        <f t="shared" si="48"/>
        <v>37738036.266666673</v>
      </c>
      <c r="R106" s="3">
        <v>3.65</v>
      </c>
      <c r="S106" s="3">
        <v>3.9249999999999998</v>
      </c>
      <c r="T106" s="3">
        <f t="shared" si="47"/>
        <v>14.326249999999998</v>
      </c>
      <c r="X106" s="3" t="s">
        <v>51</v>
      </c>
      <c r="Y106" s="3" t="s">
        <v>51</v>
      </c>
      <c r="Z106" s="3" t="s">
        <v>50</v>
      </c>
    </row>
    <row r="107" spans="2:26" x14ac:dyDescent="0.3">
      <c r="B107" s="24">
        <v>7</v>
      </c>
      <c r="C107" s="23" t="s">
        <v>120</v>
      </c>
      <c r="D107" s="18">
        <f>AD79</f>
        <v>286.14016666666669</v>
      </c>
      <c r="E107" s="19" t="s">
        <v>65</v>
      </c>
      <c r="F107" s="20">
        <f>AHSP!$H$67</f>
        <v>19300</v>
      </c>
      <c r="G107" s="21">
        <f t="shared" si="48"/>
        <v>5522505.2166666668</v>
      </c>
      <c r="P107" s="3">
        <f>O99*N99</f>
        <v>1105.335</v>
      </c>
      <c r="T107" s="3">
        <f>SUM(T99:T106)</f>
        <v>73.693124999999995</v>
      </c>
      <c r="U107" s="5">
        <f>(P107-T107)</f>
        <v>1031.641875</v>
      </c>
      <c r="W107" s="3" t="s">
        <v>92</v>
      </c>
      <c r="X107" s="3">
        <f>2.55/0.125</f>
        <v>20.399999999999999</v>
      </c>
      <c r="Y107" s="3">
        <f>0.95*4/0.2</f>
        <v>18.999999999999996</v>
      </c>
      <c r="Z107" s="3">
        <f>0.95*4/0.3</f>
        <v>12.666666666666666</v>
      </c>
    </row>
    <row r="108" spans="2:26" x14ac:dyDescent="0.3">
      <c r="B108" s="30">
        <v>8</v>
      </c>
      <c r="C108" s="23" t="s">
        <v>121</v>
      </c>
      <c r="D108" s="18">
        <f>AD80</f>
        <v>36.694666666666663</v>
      </c>
      <c r="E108" s="19" t="s">
        <v>65</v>
      </c>
      <c r="F108" s="20">
        <f>AHSP!$H$67</f>
        <v>19300</v>
      </c>
      <c r="G108" s="21">
        <f t="shared" si="48"/>
        <v>708207.06666666665</v>
      </c>
      <c r="O108" s="3" t="s">
        <v>106</v>
      </c>
      <c r="W108" s="3" t="s">
        <v>93</v>
      </c>
      <c r="X108" s="3">
        <f>2.45/0.125</f>
        <v>19.600000000000001</v>
      </c>
      <c r="Y108" s="3">
        <f>0.85*2/0.2</f>
        <v>8.5</v>
      </c>
      <c r="Z108" s="3">
        <f>0.85*4/0.3+0.85*2/0.2</f>
        <v>19.833333333333336</v>
      </c>
    </row>
    <row r="109" spans="2:26" x14ac:dyDescent="0.3">
      <c r="B109" s="30">
        <v>9</v>
      </c>
      <c r="C109" s="23" t="s">
        <v>170</v>
      </c>
      <c r="D109" s="18">
        <f>AD82</f>
        <v>41.426666666666669</v>
      </c>
      <c r="E109" s="19" t="s">
        <v>65</v>
      </c>
      <c r="F109" s="20">
        <f>AHSP!$H$67</f>
        <v>19300</v>
      </c>
      <c r="G109" s="21">
        <f t="shared" si="48"/>
        <v>799534.66666666674</v>
      </c>
      <c r="M109" s="3" t="s">
        <v>137</v>
      </c>
      <c r="N109" s="3">
        <f>U107/0.25*3*1.1</f>
        <v>13617.67275</v>
      </c>
      <c r="O109" s="3">
        <v>0.62</v>
      </c>
      <c r="P109" s="5">
        <f>O109*N109*2</f>
        <v>16885.914209999999</v>
      </c>
      <c r="W109" s="3" t="s">
        <v>94</v>
      </c>
      <c r="X109" s="3">
        <f>1.75/0.125</f>
        <v>14</v>
      </c>
      <c r="Y109" s="3">
        <f>0.65*2/0.2</f>
        <v>6.5</v>
      </c>
      <c r="Z109" s="3">
        <f>0.65*4/0.3+0.65*2/0.2</f>
        <v>15.166666666666668</v>
      </c>
    </row>
    <row r="110" spans="2:26" x14ac:dyDescent="0.3">
      <c r="B110" s="22" t="s">
        <v>34</v>
      </c>
      <c r="C110" s="23" t="s">
        <v>70</v>
      </c>
      <c r="E110" s="19"/>
      <c r="G110" s="21"/>
      <c r="M110" s="3" t="s">
        <v>80</v>
      </c>
      <c r="N110" s="5">
        <f>U107*P99</f>
        <v>139.271653125</v>
      </c>
      <c r="W110" s="3" t="s">
        <v>95</v>
      </c>
      <c r="X110" s="3">
        <f>1.75/0.125</f>
        <v>14</v>
      </c>
      <c r="Y110" s="3">
        <f>0.65*2/0.2</f>
        <v>6.5</v>
      </c>
      <c r="Z110" s="3">
        <f>0.75*1/0.3+0.55*2/0.3+0.55*1/0.2</f>
        <v>8.9166666666666679</v>
      </c>
    </row>
    <row r="111" spans="2:26" x14ac:dyDescent="0.3">
      <c r="B111" s="24">
        <v>1</v>
      </c>
      <c r="C111" s="23" t="s">
        <v>116</v>
      </c>
      <c r="D111" s="18">
        <f>Q70</f>
        <v>45.232200000000006</v>
      </c>
      <c r="E111" s="19" t="s">
        <v>224</v>
      </c>
      <c r="F111" s="20">
        <f>AHSP!$H$107</f>
        <v>1382600</v>
      </c>
      <c r="G111" s="21">
        <f t="shared" ref="G111:G119" si="49">D111*F111</f>
        <v>62538039.720000006</v>
      </c>
      <c r="N111" s="5"/>
    </row>
    <row r="112" spans="2:26" x14ac:dyDescent="0.3">
      <c r="B112" s="24">
        <v>2</v>
      </c>
      <c r="C112" s="23" t="s">
        <v>168</v>
      </c>
      <c r="D112" s="18">
        <f>Q81</f>
        <v>13.442</v>
      </c>
      <c r="E112" s="19" t="s">
        <v>224</v>
      </c>
      <c r="F112" s="20">
        <f>AHSP!$H$107</f>
        <v>1382600</v>
      </c>
      <c r="G112" s="21">
        <f t="shared" si="49"/>
        <v>18584909.199999999</v>
      </c>
      <c r="W112" s="3" t="s">
        <v>96</v>
      </c>
      <c r="X112" s="3">
        <f>1.55/0.125</f>
        <v>12.4</v>
      </c>
      <c r="Y112" s="3">
        <f>0.55*2/0.2</f>
        <v>5.5</v>
      </c>
      <c r="Z112" s="3">
        <f>0.65*1/0.3+0.55*2/0.3+0.55*1/0.2</f>
        <v>8.5833333333333339</v>
      </c>
    </row>
    <row r="113" spans="2:28" x14ac:dyDescent="0.3">
      <c r="B113" s="24">
        <v>3</v>
      </c>
      <c r="C113" s="23" t="s">
        <v>117</v>
      </c>
      <c r="D113" s="18">
        <f>Q73</f>
        <v>22.637999999999998</v>
      </c>
      <c r="E113" s="19" t="s">
        <v>224</v>
      </c>
      <c r="F113" s="20">
        <f>AHSP!$H$107</f>
        <v>1382600</v>
      </c>
      <c r="G113" s="21">
        <f t="shared" si="49"/>
        <v>31299298.799999997</v>
      </c>
      <c r="W113" s="3" t="s">
        <v>97</v>
      </c>
      <c r="X113" s="3">
        <f>1.35/0.125</f>
        <v>10.8</v>
      </c>
      <c r="Y113" s="3">
        <f>0.25*2/0.2</f>
        <v>2.5</v>
      </c>
      <c r="Z113" s="3">
        <f>0.25*2/0.3</f>
        <v>1.6666666666666667</v>
      </c>
    </row>
    <row r="114" spans="2:28" x14ac:dyDescent="0.3">
      <c r="B114" s="24">
        <v>4</v>
      </c>
      <c r="C114" s="23" t="s">
        <v>118</v>
      </c>
      <c r="D114" s="18">
        <f>Q74</f>
        <v>12.831</v>
      </c>
      <c r="E114" s="19" t="s">
        <v>224</v>
      </c>
      <c r="F114" s="20">
        <f>AHSP!$H$107</f>
        <v>1382600</v>
      </c>
      <c r="G114" s="21">
        <f t="shared" si="49"/>
        <v>17740140.599999998</v>
      </c>
      <c r="W114" s="3" t="s">
        <v>98</v>
      </c>
      <c r="X114" s="3">
        <f>1.35/0.125</f>
        <v>10.8</v>
      </c>
      <c r="Z114" s="3">
        <f>0.25/0.125</f>
        <v>2</v>
      </c>
    </row>
    <row r="115" spans="2:28" x14ac:dyDescent="0.3">
      <c r="B115" s="24">
        <v>5</v>
      </c>
      <c r="C115" s="23" t="s">
        <v>119</v>
      </c>
      <c r="D115" s="18">
        <f>Q75</f>
        <v>3.5964</v>
      </c>
      <c r="E115" s="19" t="s">
        <v>224</v>
      </c>
      <c r="F115" s="20">
        <f>AHSP!$H$107</f>
        <v>1382600</v>
      </c>
      <c r="G115" s="21">
        <f t="shared" si="49"/>
        <v>4972382.6399999997</v>
      </c>
    </row>
    <row r="116" spans="2:28" x14ac:dyDescent="0.3">
      <c r="B116" s="24">
        <v>6</v>
      </c>
      <c r="C116" s="23" t="s">
        <v>167</v>
      </c>
      <c r="D116" s="18">
        <f>Q78</f>
        <v>0</v>
      </c>
      <c r="E116" s="19" t="s">
        <v>224</v>
      </c>
      <c r="F116" s="20">
        <f>AHSP!$H$107</f>
        <v>1382600</v>
      </c>
      <c r="G116" s="21">
        <f t="shared" si="49"/>
        <v>0</v>
      </c>
    </row>
    <row r="117" spans="2:28" x14ac:dyDescent="0.3">
      <c r="B117" s="24">
        <v>7</v>
      </c>
      <c r="C117" s="23" t="s">
        <v>120</v>
      </c>
      <c r="D117" s="18">
        <f>Q79</f>
        <v>1.393875</v>
      </c>
      <c r="E117" s="19" t="s">
        <v>224</v>
      </c>
      <c r="F117" s="20">
        <f>AHSP!$H$107</f>
        <v>1382600</v>
      </c>
      <c r="G117" s="21">
        <f t="shared" si="49"/>
        <v>1927171.575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2:28" x14ac:dyDescent="0.3">
      <c r="B118" s="30">
        <v>8</v>
      </c>
      <c r="C118" s="23" t="s">
        <v>121</v>
      </c>
      <c r="D118" s="18">
        <f>Q80</f>
        <v>0.15660000000000002</v>
      </c>
      <c r="E118" s="19" t="s">
        <v>224</v>
      </c>
      <c r="F118" s="20">
        <f>AHSP!$H$107</f>
        <v>1382600</v>
      </c>
      <c r="G118" s="21">
        <f t="shared" si="49"/>
        <v>216515.16000000003</v>
      </c>
      <c r="I118" s="3" t="s">
        <v>91</v>
      </c>
      <c r="K118" s="3" t="s">
        <v>21</v>
      </c>
      <c r="L118" s="3" t="s">
        <v>7</v>
      </c>
      <c r="M118" s="3" t="s">
        <v>8</v>
      </c>
      <c r="N118" s="3" t="s">
        <v>71</v>
      </c>
      <c r="O118" s="3" t="s">
        <v>103</v>
      </c>
      <c r="P118" s="3" t="s">
        <v>30</v>
      </c>
      <c r="Q118" s="3" t="s">
        <v>71</v>
      </c>
      <c r="R118" s="3" t="s">
        <v>49</v>
      </c>
      <c r="S118" s="3" t="s">
        <v>48</v>
      </c>
      <c r="T118" s="3" t="s">
        <v>51</v>
      </c>
      <c r="U118" s="3" t="s">
        <v>50</v>
      </c>
      <c r="V118" s="3" t="s">
        <v>104</v>
      </c>
      <c r="W118" s="3" t="s">
        <v>105</v>
      </c>
      <c r="X118" s="3" t="s">
        <v>106</v>
      </c>
      <c r="Y118" s="3" t="s">
        <v>107</v>
      </c>
      <c r="Z118" s="3" t="s">
        <v>110</v>
      </c>
      <c r="AA118" s="3" t="s">
        <v>30</v>
      </c>
    </row>
    <row r="119" spans="2:28" x14ac:dyDescent="0.3">
      <c r="B119" s="30">
        <v>9</v>
      </c>
      <c r="C119" s="23" t="s">
        <v>170</v>
      </c>
      <c r="D119" s="18">
        <f>Q82</f>
        <v>4.2000000000000003E-2</v>
      </c>
      <c r="E119" s="19" t="s">
        <v>224</v>
      </c>
      <c r="F119" s="20">
        <f>AHSP!$H$107</f>
        <v>1382600</v>
      </c>
      <c r="G119" s="21">
        <f t="shared" si="49"/>
        <v>58069.200000000004</v>
      </c>
      <c r="J119" s="3" t="s">
        <v>92</v>
      </c>
      <c r="K119" s="3">
        <v>24</v>
      </c>
      <c r="L119" s="3">
        <v>0.7</v>
      </c>
      <c r="M119" s="3">
        <v>0.7</v>
      </c>
      <c r="N119" s="3">
        <v>3.7</v>
      </c>
      <c r="O119" s="3">
        <f>K119*(L119+M119)*2*(N119-0.6)</f>
        <v>208.31999999999996</v>
      </c>
      <c r="P119" s="3">
        <f>K119*L119*M119*(N119-0.6)</f>
        <v>36.455999999999996</v>
      </c>
      <c r="Q119" s="3">
        <v>3.7</v>
      </c>
      <c r="S119" s="3">
        <v>36</v>
      </c>
      <c r="T119" s="3">
        <f>X107+Y107</f>
        <v>39.399999999999991</v>
      </c>
      <c r="U119" s="3">
        <f>Z107</f>
        <v>12.666666666666666</v>
      </c>
      <c r="V119" s="3">
        <v>1.58</v>
      </c>
      <c r="W119" s="3">
        <v>2.23</v>
      </c>
      <c r="X119" s="3">
        <v>0.62</v>
      </c>
      <c r="Y119" s="3">
        <v>0.39500000000000002</v>
      </c>
      <c r="Z119" s="3">
        <f>S119*(Q119+0.7)+W119*Q119*(T119*X119+U119*Y119)</f>
        <v>401.23793133333328</v>
      </c>
      <c r="AA119" s="3">
        <f>Z119*K119</f>
        <v>9629.7103519999982</v>
      </c>
    </row>
    <row r="120" spans="2:28" x14ac:dyDescent="0.3">
      <c r="B120" s="22"/>
      <c r="C120" s="23"/>
      <c r="E120" s="19"/>
      <c r="F120" s="25" t="s">
        <v>232</v>
      </c>
      <c r="G120" s="26">
        <f>SUM(G91:G119)</f>
        <v>696899424.31166673</v>
      </c>
      <c r="J120" s="3" t="s">
        <v>93</v>
      </c>
      <c r="K120" s="3">
        <v>20</v>
      </c>
      <c r="L120" s="3">
        <v>0.65</v>
      </c>
      <c r="M120" s="3">
        <v>0.65</v>
      </c>
      <c r="N120" s="3">
        <f>N119</f>
        <v>3.7</v>
      </c>
      <c r="O120" s="3">
        <f t="shared" ref="O120:O123" si="50">K120*(L120+M120)*2*(N120-0.6)</f>
        <v>161.20000000000002</v>
      </c>
      <c r="P120" s="3">
        <f t="shared" ref="P120:P123" si="51">K120*L120*M120*(N120-0.6)</f>
        <v>26.195000000000004</v>
      </c>
      <c r="Q120" s="3">
        <f>Q119</f>
        <v>3.7</v>
      </c>
      <c r="S120" s="3">
        <v>32</v>
      </c>
      <c r="T120" s="3">
        <f>X108+Y108</f>
        <v>28.1</v>
      </c>
      <c r="U120" s="3">
        <f>Z108</f>
        <v>19.833333333333336</v>
      </c>
      <c r="V120" s="3">
        <v>1.58</v>
      </c>
      <c r="W120" s="3">
        <v>2.23</v>
      </c>
      <c r="X120" s="3">
        <v>0.62</v>
      </c>
      <c r="Y120" s="3">
        <v>0.39500000000000002</v>
      </c>
      <c r="Z120" s="3">
        <f t="shared" ref="Z120:Z123" si="52">S120*(Q120+0.7)+W120*Q120*(T120*X120+U120*Y120)</f>
        <v>349.18863116666671</v>
      </c>
      <c r="AA120" s="3">
        <f t="shared" ref="AA120:AA123" si="53">Z120*K120</f>
        <v>6983.7726233333342</v>
      </c>
    </row>
    <row r="121" spans="2:28" x14ac:dyDescent="0.3">
      <c r="B121" s="30"/>
      <c r="C121" s="23"/>
      <c r="E121" s="19"/>
      <c r="G121" s="21"/>
      <c r="J121" s="3" t="s">
        <v>94</v>
      </c>
      <c r="K121" s="3">
        <v>1</v>
      </c>
      <c r="L121" s="3">
        <v>0.5</v>
      </c>
      <c r="M121" s="3">
        <v>0.5</v>
      </c>
      <c r="N121" s="3">
        <f t="shared" ref="N121:N123" si="54">N120</f>
        <v>3.7</v>
      </c>
      <c r="O121" s="3">
        <f t="shared" si="50"/>
        <v>6.2</v>
      </c>
      <c r="P121" s="3">
        <f t="shared" si="51"/>
        <v>0.77500000000000002</v>
      </c>
      <c r="Q121" s="3">
        <f t="shared" ref="Q121:Q123" si="55">Q120</f>
        <v>3.7</v>
      </c>
      <c r="S121" s="3">
        <v>20</v>
      </c>
      <c r="T121" s="3">
        <f>X109+Y109</f>
        <v>20.5</v>
      </c>
      <c r="U121" s="3">
        <f>Z109</f>
        <v>15.166666666666668</v>
      </c>
      <c r="V121" s="3">
        <v>1.58</v>
      </c>
      <c r="W121" s="3">
        <v>2.23</v>
      </c>
      <c r="X121" s="3">
        <v>0.62</v>
      </c>
      <c r="Y121" s="3">
        <v>0.39500000000000002</v>
      </c>
      <c r="Z121" s="3">
        <f t="shared" si="52"/>
        <v>242.30057583333331</v>
      </c>
      <c r="AA121" s="3">
        <f t="shared" si="53"/>
        <v>242.30057583333331</v>
      </c>
    </row>
    <row r="122" spans="2:28" x14ac:dyDescent="0.3">
      <c r="B122" s="16" t="s">
        <v>114</v>
      </c>
      <c r="C122" s="17" t="s">
        <v>113</v>
      </c>
      <c r="E122" s="19"/>
      <c r="G122" s="21"/>
      <c r="J122" s="3" t="s">
        <v>95</v>
      </c>
      <c r="K122" s="3">
        <v>1</v>
      </c>
      <c r="L122" s="3">
        <v>0.4</v>
      </c>
      <c r="M122" s="3">
        <v>0.6</v>
      </c>
      <c r="N122" s="3">
        <f t="shared" si="54"/>
        <v>3.7</v>
      </c>
      <c r="O122" s="3">
        <f t="shared" si="50"/>
        <v>6.2</v>
      </c>
      <c r="P122" s="3">
        <f t="shared" si="51"/>
        <v>0.74399999999999999</v>
      </c>
      <c r="Q122" s="3">
        <f t="shared" si="55"/>
        <v>3.7</v>
      </c>
      <c r="S122" s="3">
        <v>20</v>
      </c>
      <c r="T122" s="3">
        <f>X110+Y110</f>
        <v>20.5</v>
      </c>
      <c r="U122" s="3">
        <f>Z110</f>
        <v>8.9166666666666679</v>
      </c>
      <c r="V122" s="3">
        <v>1.58</v>
      </c>
      <c r="W122" s="3">
        <v>2.23</v>
      </c>
      <c r="X122" s="3">
        <v>0.62</v>
      </c>
      <c r="Y122" s="3">
        <v>0.39500000000000002</v>
      </c>
      <c r="Z122" s="3">
        <f t="shared" si="52"/>
        <v>221.93091958333332</v>
      </c>
      <c r="AA122" s="3">
        <f t="shared" si="53"/>
        <v>221.93091958333332</v>
      </c>
    </row>
    <row r="123" spans="2:28" x14ac:dyDescent="0.3">
      <c r="B123" s="22">
        <v>1</v>
      </c>
      <c r="C123" s="23" t="s">
        <v>75</v>
      </c>
      <c r="D123" s="18">
        <f>U107</f>
        <v>1031.641875</v>
      </c>
      <c r="E123" s="19" t="s">
        <v>225</v>
      </c>
      <c r="F123" s="20">
        <f>AHSP!$H$215</f>
        <v>241200</v>
      </c>
      <c r="G123" s="21">
        <f t="shared" ref="G123:G126" si="56">D123*F123</f>
        <v>248832020.25</v>
      </c>
      <c r="J123" s="3" t="s">
        <v>96</v>
      </c>
      <c r="K123" s="3">
        <v>10</v>
      </c>
      <c r="L123" s="3">
        <v>0.4</v>
      </c>
      <c r="M123" s="3">
        <v>0.5</v>
      </c>
      <c r="N123" s="3">
        <f t="shared" si="54"/>
        <v>3.7</v>
      </c>
      <c r="O123" s="3">
        <f t="shared" si="50"/>
        <v>55.800000000000004</v>
      </c>
      <c r="P123" s="3">
        <f t="shared" si="51"/>
        <v>6.2</v>
      </c>
      <c r="Q123" s="3">
        <f t="shared" si="55"/>
        <v>3.7</v>
      </c>
      <c r="S123" s="3">
        <v>18</v>
      </c>
      <c r="T123" s="3">
        <f t="shared" ref="T123" si="57">X112+Y112</f>
        <v>17.899999999999999</v>
      </c>
      <c r="U123" s="3">
        <f t="shared" ref="U123" si="58">Z112</f>
        <v>8.5833333333333339</v>
      </c>
      <c r="V123" s="3">
        <v>1.58</v>
      </c>
      <c r="W123" s="3">
        <v>2.23</v>
      </c>
      <c r="X123" s="3">
        <v>0.62</v>
      </c>
      <c r="Y123" s="3">
        <v>0.39500000000000002</v>
      </c>
      <c r="Z123" s="3">
        <f t="shared" si="52"/>
        <v>198.74392591666665</v>
      </c>
      <c r="AA123" s="3">
        <f t="shared" si="53"/>
        <v>1987.4392591666665</v>
      </c>
    </row>
    <row r="124" spans="2:28" x14ac:dyDescent="0.3">
      <c r="B124" s="22">
        <v>2</v>
      </c>
      <c r="C124" s="23" t="s">
        <v>138</v>
      </c>
      <c r="D124" s="18">
        <f>D123</f>
        <v>1031.641875</v>
      </c>
      <c r="E124" s="19" t="s">
        <v>225</v>
      </c>
      <c r="G124" s="21">
        <f t="shared" si="56"/>
        <v>0</v>
      </c>
    </row>
    <row r="125" spans="2:28" x14ac:dyDescent="0.3">
      <c r="B125" s="22">
        <v>3</v>
      </c>
      <c r="C125" s="23" t="s">
        <v>136</v>
      </c>
      <c r="D125" s="18">
        <f>P109</f>
        <v>16885.914209999999</v>
      </c>
      <c r="E125" s="19" t="s">
        <v>65</v>
      </c>
      <c r="F125" s="20">
        <f>AHSP!$H$88</f>
        <v>18700</v>
      </c>
      <c r="G125" s="21">
        <f t="shared" si="56"/>
        <v>315766595.727</v>
      </c>
    </row>
    <row r="126" spans="2:28" x14ac:dyDescent="0.3">
      <c r="B126" s="22">
        <v>4</v>
      </c>
      <c r="C126" s="23" t="s">
        <v>70</v>
      </c>
      <c r="D126" s="18">
        <f>N110</f>
        <v>139.271653125</v>
      </c>
      <c r="E126" s="19" t="s">
        <v>224</v>
      </c>
      <c r="F126" s="20">
        <f>AHSP!$H$107</f>
        <v>1382600</v>
      </c>
      <c r="G126" s="21">
        <f t="shared" si="56"/>
        <v>192556987.610625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2:28" x14ac:dyDescent="0.3">
      <c r="B127" s="22"/>
      <c r="C127" s="23"/>
      <c r="E127" s="19"/>
      <c r="F127" s="25" t="s">
        <v>233</v>
      </c>
      <c r="G127" s="26">
        <f>SUM(G123:G126)</f>
        <v>757155603.58762503</v>
      </c>
    </row>
    <row r="128" spans="2:28" x14ac:dyDescent="0.3">
      <c r="B128" s="22"/>
      <c r="C128" s="23"/>
      <c r="E128" s="19"/>
      <c r="G128" s="21"/>
    </row>
    <row r="129" spans="2:28" x14ac:dyDescent="0.3">
      <c r="B129" s="16" t="s">
        <v>139</v>
      </c>
      <c r="C129" s="17" t="s">
        <v>140</v>
      </c>
      <c r="E129" s="19"/>
      <c r="G129" s="21"/>
    </row>
    <row r="130" spans="2:28" x14ac:dyDescent="0.3">
      <c r="B130" s="22" t="s">
        <v>16</v>
      </c>
      <c r="C130" s="23" t="s">
        <v>75</v>
      </c>
      <c r="E130" s="19"/>
      <c r="G130" s="21"/>
    </row>
    <row r="131" spans="2:28" x14ac:dyDescent="0.3">
      <c r="B131" s="24">
        <v>1</v>
      </c>
      <c r="C131" s="23" t="s">
        <v>88</v>
      </c>
      <c r="D131" s="18">
        <f>O119</f>
        <v>208.31999999999996</v>
      </c>
      <c r="E131" s="19" t="s">
        <v>225</v>
      </c>
      <c r="F131" s="20">
        <f>F64</f>
        <v>226400</v>
      </c>
      <c r="G131" s="21">
        <f t="shared" ref="G131:G135" si="59">D131*F131</f>
        <v>47163647.999999993</v>
      </c>
    </row>
    <row r="132" spans="2:28" x14ac:dyDescent="0.3">
      <c r="B132" s="24">
        <v>2</v>
      </c>
      <c r="C132" s="23" t="s">
        <v>89</v>
      </c>
      <c r="D132" s="18">
        <f t="shared" ref="D132:D135" si="60">O120</f>
        <v>161.20000000000002</v>
      </c>
      <c r="E132" s="19" t="s">
        <v>225</v>
      </c>
      <c r="F132" s="20">
        <f t="shared" ref="F132:F135" si="61">F65</f>
        <v>226400</v>
      </c>
      <c r="G132" s="21">
        <f t="shared" si="59"/>
        <v>36495680.000000007</v>
      </c>
    </row>
    <row r="133" spans="2:28" x14ac:dyDescent="0.3">
      <c r="B133" s="24">
        <v>3</v>
      </c>
      <c r="C133" s="23" t="s">
        <v>90</v>
      </c>
      <c r="D133" s="18">
        <f t="shared" si="60"/>
        <v>6.2</v>
      </c>
      <c r="E133" s="19" t="s">
        <v>225</v>
      </c>
      <c r="F133" s="20">
        <f t="shared" si="61"/>
        <v>226400</v>
      </c>
      <c r="G133" s="21">
        <f t="shared" si="59"/>
        <v>1403680</v>
      </c>
    </row>
    <row r="134" spans="2:28" x14ac:dyDescent="0.3">
      <c r="B134" s="24">
        <v>4</v>
      </c>
      <c r="C134" s="23" t="s">
        <v>99</v>
      </c>
      <c r="D134" s="18">
        <f t="shared" si="60"/>
        <v>6.2</v>
      </c>
      <c r="E134" s="19" t="s">
        <v>225</v>
      </c>
      <c r="F134" s="20">
        <f t="shared" si="61"/>
        <v>226400</v>
      </c>
      <c r="G134" s="21">
        <f t="shared" si="59"/>
        <v>1403680</v>
      </c>
    </row>
    <row r="135" spans="2:28" x14ac:dyDescent="0.3">
      <c r="B135" s="24">
        <v>5</v>
      </c>
      <c r="C135" s="23" t="s">
        <v>100</v>
      </c>
      <c r="D135" s="18">
        <f t="shared" si="60"/>
        <v>55.800000000000004</v>
      </c>
      <c r="E135" s="19" t="s">
        <v>225</v>
      </c>
      <c r="F135" s="20">
        <f t="shared" si="61"/>
        <v>226400</v>
      </c>
      <c r="G135" s="21">
        <f t="shared" si="59"/>
        <v>12633120.000000002</v>
      </c>
    </row>
    <row r="136" spans="2:28" x14ac:dyDescent="0.3">
      <c r="B136" s="22" t="s">
        <v>31</v>
      </c>
      <c r="C136" s="23" t="s">
        <v>111</v>
      </c>
      <c r="E136" s="19"/>
      <c r="G136" s="21"/>
      <c r="J136" s="3" t="s">
        <v>8</v>
      </c>
      <c r="K136" s="3" t="s">
        <v>71</v>
      </c>
      <c r="L136" s="3" t="s">
        <v>7</v>
      </c>
      <c r="M136" s="3" t="s">
        <v>21</v>
      </c>
      <c r="N136" s="3" t="s">
        <v>128</v>
      </c>
      <c r="O136" s="3" t="s">
        <v>80</v>
      </c>
      <c r="P136" s="3" t="s">
        <v>52</v>
      </c>
      <c r="Q136" s="3" t="s">
        <v>49</v>
      </c>
      <c r="R136" s="3" t="s">
        <v>48</v>
      </c>
      <c r="S136" s="3" t="s">
        <v>51</v>
      </c>
      <c r="T136" s="3" t="s">
        <v>50</v>
      </c>
      <c r="U136" s="3" t="s">
        <v>131</v>
      </c>
      <c r="V136" s="3" t="s">
        <v>104</v>
      </c>
      <c r="W136" s="3" t="s">
        <v>105</v>
      </c>
      <c r="X136" s="3" t="s">
        <v>106</v>
      </c>
      <c r="Y136" s="3" t="s">
        <v>107</v>
      </c>
      <c r="Z136" s="3" t="s">
        <v>132</v>
      </c>
      <c r="AA136" s="3" t="s">
        <v>129</v>
      </c>
      <c r="AB136" s="3" t="s">
        <v>130</v>
      </c>
    </row>
    <row r="137" spans="2:28" x14ac:dyDescent="0.3">
      <c r="B137" s="24">
        <v>1</v>
      </c>
      <c r="C137" s="23" t="s">
        <v>88</v>
      </c>
      <c r="D137" s="18">
        <f>AA119</f>
        <v>9629.7103519999982</v>
      </c>
      <c r="E137" s="19" t="s">
        <v>65</v>
      </c>
      <c r="F137" s="20">
        <f>F72</f>
        <v>19300</v>
      </c>
      <c r="G137" s="21">
        <f t="shared" ref="G137:G141" si="62">D137*F137</f>
        <v>185853409.79359996</v>
      </c>
      <c r="I137" s="4" t="s">
        <v>122</v>
      </c>
      <c r="J137" s="3">
        <v>0.45</v>
      </c>
      <c r="K137" s="3">
        <v>0.65</v>
      </c>
      <c r="L137" s="3">
        <v>57</v>
      </c>
      <c r="M137" s="3">
        <v>2</v>
      </c>
      <c r="N137" s="3">
        <f>(J137+2*(K137-0.13))*L137*M137</f>
        <v>169.85999999999999</v>
      </c>
      <c r="O137" s="3">
        <f>J137*(K137-0.13)*L137*M137</f>
        <v>26.676000000000002</v>
      </c>
      <c r="Q137" s="3">
        <f>6+2/2</f>
        <v>7</v>
      </c>
      <c r="R137" s="3">
        <f>8+3/2</f>
        <v>9.5</v>
      </c>
      <c r="S137" s="3">
        <f>2.15/0.15</f>
        <v>14.333333333333334</v>
      </c>
      <c r="U137" s="3">
        <v>1.04</v>
      </c>
      <c r="V137" s="3">
        <v>1.58</v>
      </c>
      <c r="W137" s="3">
        <v>2.23</v>
      </c>
      <c r="X137" s="3">
        <v>0.62</v>
      </c>
      <c r="Y137" s="3">
        <v>0.39500000000000002</v>
      </c>
      <c r="Z137" s="3">
        <f>(Q137*V137+R137*W137)*(L137+0.7)*M137</f>
        <v>3721.0729999999999</v>
      </c>
      <c r="AA137" s="3">
        <f>X137*S137*M137*L137</f>
        <v>1013.08</v>
      </c>
      <c r="AB137" s="3">
        <f>Z137+AA137</f>
        <v>4734.1530000000002</v>
      </c>
    </row>
    <row r="138" spans="2:28" x14ac:dyDescent="0.3">
      <c r="B138" s="24">
        <v>2</v>
      </c>
      <c r="C138" s="23" t="s">
        <v>89</v>
      </c>
      <c r="D138" s="18">
        <f t="shared" ref="D138:D141" si="63">AA120</f>
        <v>6983.7726233333342</v>
      </c>
      <c r="E138" s="19" t="s">
        <v>65</v>
      </c>
      <c r="F138" s="20">
        <f t="shared" ref="F138:F141" si="64">F73</f>
        <v>19300</v>
      </c>
      <c r="G138" s="21">
        <f t="shared" si="62"/>
        <v>134786811.63033336</v>
      </c>
      <c r="I138" s="4" t="s">
        <v>122</v>
      </c>
      <c r="J138" s="3">
        <v>0.45</v>
      </c>
      <c r="K138" s="3">
        <v>0.65</v>
      </c>
      <c r="L138" s="3">
        <v>7.8</v>
      </c>
      <c r="M138" s="3">
        <v>8</v>
      </c>
      <c r="N138" s="3">
        <f t="shared" ref="N138" si="65">(J138+2*(K138-0.13))*L138*M138</f>
        <v>92.975999999999999</v>
      </c>
      <c r="O138" s="3">
        <f t="shared" ref="O138" si="66">J138*(K138-0.13)*L138*M138</f>
        <v>14.601600000000001</v>
      </c>
      <c r="Q138" s="3">
        <v>7</v>
      </c>
      <c r="R138" s="3">
        <v>12</v>
      </c>
      <c r="S138" s="3">
        <f>2.15/0.15</f>
        <v>14.333333333333334</v>
      </c>
      <c r="V138" s="3">
        <v>1.58</v>
      </c>
      <c r="W138" s="3">
        <v>2.23</v>
      </c>
      <c r="X138" s="3">
        <v>0.62</v>
      </c>
      <c r="Y138" s="3">
        <v>0.39500000000000002</v>
      </c>
      <c r="Z138" s="3">
        <f>(Q138*V138+R138*W138)*(L138+0.7)*M138</f>
        <v>2571.7600000000002</v>
      </c>
      <c r="AA138" s="3">
        <f>X138*S138*M138*L138</f>
        <v>554.52800000000002</v>
      </c>
      <c r="AB138" s="3">
        <f>Z138+AA138</f>
        <v>3126.2880000000005</v>
      </c>
    </row>
    <row r="139" spans="2:28" x14ac:dyDescent="0.3">
      <c r="B139" s="24">
        <v>3</v>
      </c>
      <c r="C139" s="23" t="s">
        <v>90</v>
      </c>
      <c r="D139" s="18">
        <f t="shared" si="63"/>
        <v>242.30057583333331</v>
      </c>
      <c r="E139" s="19" t="s">
        <v>65</v>
      </c>
      <c r="F139" s="20">
        <f t="shared" si="64"/>
        <v>19300</v>
      </c>
      <c r="G139" s="21">
        <f t="shared" si="62"/>
        <v>4676401.1135833329</v>
      </c>
      <c r="N139" s="5">
        <f>SUM(N137:N138)</f>
        <v>262.83600000000001</v>
      </c>
      <c r="O139" s="5">
        <f>SUM(O137:O138)</f>
        <v>41.277600000000007</v>
      </c>
      <c r="AB139" s="5">
        <f>SUM(AB137:AB138)</f>
        <v>7860.4410000000007</v>
      </c>
    </row>
    <row r="140" spans="2:28" x14ac:dyDescent="0.3">
      <c r="B140" s="24">
        <v>4</v>
      </c>
      <c r="C140" s="23" t="s">
        <v>99</v>
      </c>
      <c r="D140" s="18">
        <f t="shared" si="63"/>
        <v>221.93091958333332</v>
      </c>
      <c r="E140" s="19" t="s">
        <v>65</v>
      </c>
      <c r="F140" s="20">
        <f t="shared" si="64"/>
        <v>19300</v>
      </c>
      <c r="G140" s="21">
        <f t="shared" si="62"/>
        <v>4283266.7479583332</v>
      </c>
      <c r="I140" s="4" t="s">
        <v>143</v>
      </c>
      <c r="J140" s="3">
        <v>0.45</v>
      </c>
      <c r="K140" s="3">
        <v>0.6</v>
      </c>
      <c r="L140" s="3">
        <f>L137</f>
        <v>57</v>
      </c>
      <c r="M140" s="3">
        <v>2</v>
      </c>
      <c r="N140" s="3">
        <f>(J140+2*(K140-0.13))*L140*M140</f>
        <v>158.45999999999998</v>
      </c>
      <c r="O140" s="3">
        <f>J140*(K140-0.13)*L140*M140</f>
        <v>24.111000000000001</v>
      </c>
      <c r="Q140" s="3">
        <v>7</v>
      </c>
      <c r="R140" s="3">
        <v>9</v>
      </c>
      <c r="S140" s="3">
        <f>2/0.15</f>
        <v>13.333333333333334</v>
      </c>
      <c r="V140" s="3">
        <v>1.58</v>
      </c>
      <c r="W140" s="3">
        <v>2.23</v>
      </c>
      <c r="X140" s="3">
        <v>0.62</v>
      </c>
      <c r="Y140" s="3">
        <v>0.39500000000000002</v>
      </c>
      <c r="Z140" s="3">
        <f t="shared" ref="Z140:Z143" si="67">(Q140*V140+R140*W140)*(L140+0.7)*M140</f>
        <v>3592.4020000000005</v>
      </c>
      <c r="AA140" s="3">
        <f>X140*S140*M140*L140</f>
        <v>942.40000000000009</v>
      </c>
      <c r="AB140" s="3">
        <f t="shared" ref="AB140" si="68">Z140+AA140</f>
        <v>4534.8020000000006</v>
      </c>
    </row>
    <row r="141" spans="2:28" x14ac:dyDescent="0.3">
      <c r="B141" s="24">
        <v>5</v>
      </c>
      <c r="C141" s="23" t="s">
        <v>100</v>
      </c>
      <c r="D141" s="18">
        <f t="shared" si="63"/>
        <v>1987.4392591666665</v>
      </c>
      <c r="E141" s="19" t="s">
        <v>65</v>
      </c>
      <c r="F141" s="20">
        <f t="shared" si="64"/>
        <v>19300</v>
      </c>
      <c r="G141" s="21">
        <f t="shared" si="62"/>
        <v>38357577.701916665</v>
      </c>
      <c r="I141" s="4" t="s">
        <v>143</v>
      </c>
      <c r="J141" s="3">
        <v>0.45</v>
      </c>
      <c r="K141" s="3">
        <v>0.6</v>
      </c>
      <c r="L141" s="3">
        <v>8.5</v>
      </c>
      <c r="M141" s="3">
        <v>5</v>
      </c>
      <c r="N141" s="3">
        <f t="shared" ref="N141:N143" si="69">(J141+2*(K141-0.13))*L141*M141</f>
        <v>59.074999999999996</v>
      </c>
      <c r="O141" s="3">
        <f t="shared" ref="O141:O143" si="70">J141*(K141-0.13)*L141*M141</f>
        <v>8.9887499999999996</v>
      </c>
      <c r="Q141" s="3">
        <v>7</v>
      </c>
      <c r="R141" s="3">
        <v>9</v>
      </c>
      <c r="S141" s="3">
        <f t="shared" ref="S141:S143" si="71">2/0.15</f>
        <v>13.333333333333334</v>
      </c>
      <c r="V141" s="3">
        <v>1.58</v>
      </c>
      <c r="W141" s="3">
        <v>2.23</v>
      </c>
      <c r="X141" s="3">
        <v>0.62</v>
      </c>
      <c r="Y141" s="3">
        <v>0.39500000000000002</v>
      </c>
      <c r="Z141" s="3">
        <f t="shared" ref="Z141" si="72">(Q141*V141+R141*W141)*(L141+0.7)*M141</f>
        <v>1431.98</v>
      </c>
      <c r="AA141" s="3">
        <f>X141*S141*M141*L141</f>
        <v>351.33333333333337</v>
      </c>
      <c r="AB141" s="3">
        <f t="shared" ref="AB141" si="73">Z141+AA141</f>
        <v>1783.3133333333335</v>
      </c>
    </row>
    <row r="142" spans="2:28" x14ac:dyDescent="0.3">
      <c r="B142" s="22" t="s">
        <v>34</v>
      </c>
      <c r="C142" s="23" t="s">
        <v>70</v>
      </c>
      <c r="E142" s="19"/>
      <c r="G142" s="21"/>
      <c r="I142" s="4" t="s">
        <v>143</v>
      </c>
      <c r="J142" s="3">
        <v>0.45</v>
      </c>
      <c r="K142" s="3">
        <v>0.6</v>
      </c>
      <c r="L142" s="3">
        <v>5.9</v>
      </c>
      <c r="M142" s="3">
        <v>14</v>
      </c>
      <c r="N142" s="3">
        <f t="shared" si="69"/>
        <v>114.81400000000001</v>
      </c>
      <c r="O142" s="3">
        <f t="shared" si="70"/>
        <v>17.469900000000003</v>
      </c>
      <c r="Q142" s="3">
        <v>7</v>
      </c>
      <c r="R142" s="3">
        <v>9</v>
      </c>
      <c r="S142" s="3">
        <f t="shared" si="71"/>
        <v>13.333333333333334</v>
      </c>
      <c r="V142" s="3">
        <v>1.58</v>
      </c>
      <c r="W142" s="3">
        <v>2.23</v>
      </c>
      <c r="X142" s="3">
        <v>0.62</v>
      </c>
      <c r="Y142" s="3">
        <v>0.39500000000000002</v>
      </c>
      <c r="Z142" s="3">
        <f t="shared" si="67"/>
        <v>2876.4120000000003</v>
      </c>
      <c r="AA142" s="3">
        <f>X142*S142*M142*L142</f>
        <v>682.82666666666682</v>
      </c>
      <c r="AB142" s="3">
        <f>Z142+AA142</f>
        <v>3559.2386666666671</v>
      </c>
    </row>
    <row r="143" spans="2:28" x14ac:dyDescent="0.3">
      <c r="B143" s="24">
        <v>1</v>
      </c>
      <c r="C143" s="23" t="s">
        <v>88</v>
      </c>
      <c r="D143" s="18">
        <f>P119</f>
        <v>36.455999999999996</v>
      </c>
      <c r="E143" s="19" t="s">
        <v>224</v>
      </c>
      <c r="F143" s="20">
        <f>F80</f>
        <v>1382600</v>
      </c>
      <c r="G143" s="21">
        <f t="shared" ref="G143:G147" si="74">D143*F143</f>
        <v>50404065.599999994</v>
      </c>
      <c r="I143" s="4" t="s">
        <v>143</v>
      </c>
      <c r="J143" s="3">
        <v>0.45</v>
      </c>
      <c r="K143" s="3">
        <v>0.6</v>
      </c>
      <c r="L143" s="3">
        <v>3</v>
      </c>
      <c r="M143" s="3">
        <v>1</v>
      </c>
      <c r="N143" s="3">
        <f t="shared" si="69"/>
        <v>4.17</v>
      </c>
      <c r="O143" s="3">
        <f t="shared" si="70"/>
        <v>0.63449999999999995</v>
      </c>
      <c r="Q143" s="3">
        <v>7</v>
      </c>
      <c r="R143" s="3">
        <v>9</v>
      </c>
      <c r="S143" s="3">
        <f t="shared" si="71"/>
        <v>13.333333333333334</v>
      </c>
      <c r="V143" s="3">
        <v>1.58</v>
      </c>
      <c r="W143" s="3">
        <v>2.23</v>
      </c>
      <c r="X143" s="3">
        <v>0.62</v>
      </c>
      <c r="Y143" s="3">
        <v>0.39500000000000002</v>
      </c>
      <c r="Z143" s="3">
        <f t="shared" si="67"/>
        <v>115.18100000000001</v>
      </c>
      <c r="AA143" s="3">
        <f>X143*S143*M143*L143</f>
        <v>24.800000000000004</v>
      </c>
      <c r="AB143" s="3">
        <f>Z143+AA143</f>
        <v>139.98100000000002</v>
      </c>
    </row>
    <row r="144" spans="2:28" x14ac:dyDescent="0.3">
      <c r="B144" s="24">
        <v>2</v>
      </c>
      <c r="C144" s="23" t="s">
        <v>89</v>
      </c>
      <c r="D144" s="18">
        <f t="shared" ref="D144:D147" si="75">P120</f>
        <v>26.195000000000004</v>
      </c>
      <c r="E144" s="19" t="s">
        <v>224</v>
      </c>
      <c r="F144" s="20">
        <f t="shared" ref="F144:F147" si="76">F81</f>
        <v>1382600</v>
      </c>
      <c r="G144" s="21">
        <f t="shared" si="74"/>
        <v>36217207.000000007</v>
      </c>
      <c r="N144" s="5">
        <f>SUM(N140:N143)</f>
        <v>336.51900000000001</v>
      </c>
      <c r="O144" s="5">
        <f>SUM(O140:O143)</f>
        <v>51.204150000000006</v>
      </c>
      <c r="AB144" s="5">
        <f>SUM(AB140:AB143)</f>
        <v>10017.335000000001</v>
      </c>
    </row>
    <row r="145" spans="2:28" x14ac:dyDescent="0.3">
      <c r="B145" s="24">
        <v>3</v>
      </c>
      <c r="C145" s="23" t="s">
        <v>90</v>
      </c>
      <c r="D145" s="18">
        <f t="shared" si="75"/>
        <v>0.77500000000000002</v>
      </c>
      <c r="E145" s="19" t="s">
        <v>224</v>
      </c>
      <c r="F145" s="20">
        <f t="shared" si="76"/>
        <v>1382600</v>
      </c>
      <c r="G145" s="21">
        <f t="shared" si="74"/>
        <v>1071515</v>
      </c>
      <c r="I145" s="4" t="s">
        <v>124</v>
      </c>
      <c r="J145" s="3">
        <v>0.35</v>
      </c>
      <c r="K145" s="3">
        <v>0.6</v>
      </c>
      <c r="L145" s="3">
        <v>7.8</v>
      </c>
      <c r="M145" s="3">
        <v>6</v>
      </c>
      <c r="N145" s="5">
        <f>(J145+2*(K145-0.13))*L145*M145</f>
        <v>60.372</v>
      </c>
      <c r="O145" s="5">
        <f>J145*(K145-0.13)*L145*M145</f>
        <v>7.698599999999999</v>
      </c>
      <c r="P145" s="3">
        <v>4</v>
      </c>
      <c r="Q145" s="3">
        <f>(8+2/2)</f>
        <v>9</v>
      </c>
      <c r="S145" s="3">
        <f>1.85/0.15</f>
        <v>12.333333333333334</v>
      </c>
      <c r="U145" s="3">
        <v>1.04</v>
      </c>
      <c r="V145" s="3">
        <v>1.58</v>
      </c>
      <c r="W145" s="3">
        <v>2.23</v>
      </c>
      <c r="X145" s="3">
        <v>0.62</v>
      </c>
      <c r="Y145" s="3">
        <v>0.39500000000000002</v>
      </c>
      <c r="Z145" s="3">
        <f>(Q145*M145*V145+P145*M145*U145)*(L145+0.4)</f>
        <v>904.29599999999994</v>
      </c>
      <c r="AA145" s="3">
        <f>X145*S145*M145*L145</f>
        <v>357.86400000000003</v>
      </c>
      <c r="AB145" s="5">
        <f>Z145+AA145</f>
        <v>1262.1599999999999</v>
      </c>
    </row>
    <row r="146" spans="2:28" x14ac:dyDescent="0.3">
      <c r="B146" s="24">
        <v>4</v>
      </c>
      <c r="C146" s="23" t="s">
        <v>99</v>
      </c>
      <c r="D146" s="18">
        <f t="shared" si="75"/>
        <v>0.74399999999999999</v>
      </c>
      <c r="E146" s="19" t="s">
        <v>224</v>
      </c>
      <c r="F146" s="20">
        <f t="shared" si="76"/>
        <v>1382600</v>
      </c>
      <c r="G146" s="21">
        <f t="shared" si="74"/>
        <v>1028654.4</v>
      </c>
      <c r="I146" s="4" t="s">
        <v>125</v>
      </c>
      <c r="J146" s="3">
        <v>0.3</v>
      </c>
      <c r="K146" s="3">
        <v>0.5</v>
      </c>
      <c r="L146" s="3">
        <v>2.35</v>
      </c>
      <c r="M146" s="3">
        <v>6</v>
      </c>
      <c r="N146" s="3">
        <f>(J146+2*(K146-0.13))*L146*M146</f>
        <v>14.664000000000001</v>
      </c>
      <c r="O146" s="3">
        <f>J146*(K146-0.13)*L146*M146</f>
        <v>1.5651000000000002</v>
      </c>
      <c r="P146" s="3">
        <v>2</v>
      </c>
      <c r="Q146" s="7">
        <v>8</v>
      </c>
      <c r="S146" s="3">
        <f>1.55/0.15</f>
        <v>10.333333333333334</v>
      </c>
      <c r="U146" s="3">
        <v>1.04</v>
      </c>
      <c r="V146" s="3">
        <v>1.58</v>
      </c>
      <c r="W146" s="3">
        <v>2.23</v>
      </c>
      <c r="X146" s="3">
        <v>0.62</v>
      </c>
      <c r="Y146" s="3">
        <v>0.39500000000000002</v>
      </c>
      <c r="Z146" s="3">
        <f t="shared" ref="Z146:Z148" si="77">(Q146*M146*V146+P146*M146*U146)*(L146+0.4)</f>
        <v>242.88000000000002</v>
      </c>
      <c r="AA146" s="3">
        <f t="shared" ref="AA146" si="78">X146*S146*M146*L146</f>
        <v>90.334000000000017</v>
      </c>
      <c r="AB146" s="3">
        <f t="shared" ref="AB146" si="79">Z146+AA146</f>
        <v>333.21400000000006</v>
      </c>
    </row>
    <row r="147" spans="2:28" x14ac:dyDescent="0.3">
      <c r="B147" s="24">
        <v>5</v>
      </c>
      <c r="C147" s="23" t="s">
        <v>100</v>
      </c>
      <c r="D147" s="18">
        <f t="shared" si="75"/>
        <v>6.2</v>
      </c>
      <c r="E147" s="19" t="s">
        <v>224</v>
      </c>
      <c r="F147" s="20">
        <f t="shared" si="76"/>
        <v>1382600</v>
      </c>
      <c r="G147" s="21">
        <f t="shared" si="74"/>
        <v>8572120</v>
      </c>
      <c r="J147" s="3">
        <v>0.3</v>
      </c>
      <c r="K147" s="3">
        <v>0.5</v>
      </c>
      <c r="L147" s="3">
        <v>5</v>
      </c>
      <c r="M147" s="3">
        <v>1</v>
      </c>
      <c r="N147" s="3">
        <f t="shared" ref="N147:N148" si="80">(J147+2*(K147-0.13))*L147*M147</f>
        <v>5.2</v>
      </c>
      <c r="O147" s="3">
        <f t="shared" ref="O147:O148" si="81">J147*(K147-0.13)*L147*M147</f>
        <v>0.55500000000000005</v>
      </c>
      <c r="P147" s="3">
        <v>2</v>
      </c>
      <c r="Q147" s="7">
        <v>8</v>
      </c>
      <c r="S147" s="3">
        <f t="shared" ref="S147:S148" si="82">1.55/0.15</f>
        <v>10.333333333333334</v>
      </c>
      <c r="U147" s="3">
        <v>1.04</v>
      </c>
      <c r="V147" s="3">
        <v>1.58</v>
      </c>
      <c r="W147" s="3">
        <v>2.23</v>
      </c>
      <c r="X147" s="3">
        <v>0.62</v>
      </c>
      <c r="Y147" s="3">
        <v>0.39500000000000002</v>
      </c>
      <c r="Z147" s="3">
        <f t="shared" si="77"/>
        <v>79.488000000000014</v>
      </c>
      <c r="AA147" s="3">
        <f t="shared" ref="AA147:AA148" si="83">X147*S147*M147*L147</f>
        <v>32.033333333333339</v>
      </c>
      <c r="AB147" s="3">
        <f t="shared" ref="AB147:AB148" si="84">Z147+AA147</f>
        <v>111.52133333333336</v>
      </c>
    </row>
    <row r="148" spans="2:28" x14ac:dyDescent="0.3">
      <c r="B148" s="22"/>
      <c r="C148" s="23"/>
      <c r="E148" s="19"/>
      <c r="F148" s="25" t="s">
        <v>234</v>
      </c>
      <c r="G148" s="26">
        <f>SUM(G130:G147)</f>
        <v>564350836.98739171</v>
      </c>
      <c r="J148" s="3">
        <v>0.3</v>
      </c>
      <c r="K148" s="3">
        <v>0.5</v>
      </c>
      <c r="L148" s="3">
        <v>14.7</v>
      </c>
      <c r="M148" s="3">
        <v>1</v>
      </c>
      <c r="N148" s="3">
        <f t="shared" si="80"/>
        <v>15.288</v>
      </c>
      <c r="O148" s="3">
        <f t="shared" si="81"/>
        <v>1.6316999999999999</v>
      </c>
      <c r="P148" s="3">
        <v>2</v>
      </c>
      <c r="Q148" s="7">
        <v>8</v>
      </c>
      <c r="S148" s="3">
        <f t="shared" si="82"/>
        <v>10.333333333333334</v>
      </c>
      <c r="U148" s="3">
        <v>1.04</v>
      </c>
      <c r="V148" s="3">
        <v>1.58</v>
      </c>
      <c r="W148" s="3">
        <v>2.23</v>
      </c>
      <c r="X148" s="3">
        <v>0.62</v>
      </c>
      <c r="Y148" s="3">
        <v>0.39500000000000002</v>
      </c>
      <c r="Z148" s="3">
        <f t="shared" si="77"/>
        <v>222.27199999999999</v>
      </c>
      <c r="AA148" s="3">
        <f t="shared" si="83"/>
        <v>94.177999999999997</v>
      </c>
      <c r="AB148" s="3">
        <f t="shared" si="84"/>
        <v>316.45</v>
      </c>
    </row>
    <row r="149" spans="2:28" x14ac:dyDescent="0.3">
      <c r="B149" s="24"/>
      <c r="C149" s="23"/>
      <c r="E149" s="19"/>
      <c r="G149" s="21"/>
      <c r="I149" s="4"/>
      <c r="J149" s="3">
        <v>0.3</v>
      </c>
      <c r="K149" s="3">
        <v>0.5</v>
      </c>
      <c r="L149" s="3">
        <v>5.9</v>
      </c>
      <c r="M149" s="3">
        <v>2</v>
      </c>
      <c r="N149" s="3">
        <f>(J149+2*(K149-0.13))*L149*M149</f>
        <v>12.272000000000002</v>
      </c>
      <c r="O149" s="3">
        <f>J149*(K149-0.13)*L149*M149</f>
        <v>1.3098000000000001</v>
      </c>
      <c r="Q149" s="3">
        <v>8</v>
      </c>
      <c r="S149" s="3">
        <f>1.65/0.15</f>
        <v>11</v>
      </c>
      <c r="U149" s="3">
        <v>1.04</v>
      </c>
      <c r="V149" s="3">
        <v>1.58</v>
      </c>
      <c r="W149" s="3">
        <v>2.23</v>
      </c>
      <c r="X149" s="3">
        <v>0.62</v>
      </c>
      <c r="Y149" s="3">
        <v>0.39500000000000002</v>
      </c>
      <c r="Z149" s="3">
        <f t="shared" ref="Z149" si="85">(Q149*V149+P149*U149)*L149*M149</f>
        <v>149.15200000000002</v>
      </c>
      <c r="AA149" s="3">
        <f t="shared" ref="AA149" si="86">X149*S149*M149*L149</f>
        <v>80.476000000000013</v>
      </c>
      <c r="AB149" s="3">
        <f>Z149+AA149</f>
        <v>229.62800000000004</v>
      </c>
    </row>
    <row r="150" spans="2:28" x14ac:dyDescent="0.3">
      <c r="B150" s="16" t="s">
        <v>141</v>
      </c>
      <c r="C150" s="17" t="s">
        <v>142</v>
      </c>
      <c r="E150" s="19"/>
      <c r="G150" s="21"/>
      <c r="N150" s="5">
        <f t="shared" ref="N150:O150" si="87">SUM(N146:N149)</f>
        <v>47.424000000000007</v>
      </c>
      <c r="O150" s="5">
        <f t="shared" si="87"/>
        <v>5.0616000000000003</v>
      </c>
      <c r="AB150" s="5">
        <f>SUM(AB146:AB149)</f>
        <v>990.81333333333339</v>
      </c>
    </row>
    <row r="151" spans="2:28" x14ac:dyDescent="0.3">
      <c r="B151" s="22" t="s">
        <v>16</v>
      </c>
      <c r="C151" s="23" t="s">
        <v>75</v>
      </c>
      <c r="E151" s="19"/>
      <c r="G151" s="21"/>
      <c r="I151" s="8" t="s">
        <v>166</v>
      </c>
      <c r="J151" s="3">
        <v>0.3</v>
      </c>
      <c r="K151" s="3">
        <v>0.5</v>
      </c>
      <c r="L151" s="3">
        <v>5.9</v>
      </c>
      <c r="M151" s="3">
        <v>17</v>
      </c>
      <c r="N151" s="3">
        <f>(J151+2*(K151-0.13))*L151*M151</f>
        <v>104.31200000000001</v>
      </c>
      <c r="O151" s="3">
        <f>J151*(K151-0.13)*L151*M151</f>
        <v>11.1333</v>
      </c>
      <c r="P151" s="3">
        <v>2</v>
      </c>
      <c r="Q151" s="3">
        <v>8</v>
      </c>
      <c r="S151" s="3">
        <f>1.45/0.15</f>
        <v>9.6666666666666661</v>
      </c>
      <c r="U151" s="3">
        <v>1.04</v>
      </c>
      <c r="V151" s="3">
        <v>1.58</v>
      </c>
      <c r="W151" s="3">
        <v>2.23</v>
      </c>
      <c r="X151" s="3">
        <v>0.62</v>
      </c>
      <c r="Y151" s="3">
        <v>0.39500000000000002</v>
      </c>
      <c r="Z151" s="3">
        <f>(Q151*M151*V151+P151*M151*U151)*(L151+0.4)</f>
        <v>1576.5120000000002</v>
      </c>
      <c r="AA151" s="3">
        <f>X151*S151*M151*L151</f>
        <v>601.13133333333337</v>
      </c>
      <c r="AB151" s="3">
        <f>Z151+AA151</f>
        <v>2177.6433333333334</v>
      </c>
    </row>
    <row r="152" spans="2:28" x14ac:dyDescent="0.3">
      <c r="B152" s="24">
        <v>1</v>
      </c>
      <c r="C152" s="23" t="s">
        <v>116</v>
      </c>
      <c r="D152" s="18">
        <f>N139</f>
        <v>262.83600000000001</v>
      </c>
      <c r="E152" s="19" t="s">
        <v>225</v>
      </c>
      <c r="F152" s="20">
        <f>F91</f>
        <v>238600</v>
      </c>
      <c r="G152" s="21">
        <f t="shared" ref="G152:G160" si="88">D152*F152</f>
        <v>62712669.600000001</v>
      </c>
      <c r="I152" s="8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spans="2:28" x14ac:dyDescent="0.3">
      <c r="B153" s="24">
        <v>2</v>
      </c>
      <c r="C153" s="23" t="s">
        <v>146</v>
      </c>
      <c r="D153" s="18">
        <f>N144</f>
        <v>336.51900000000001</v>
      </c>
      <c r="E153" s="19" t="s">
        <v>225</v>
      </c>
      <c r="F153" s="20">
        <f t="shared" ref="F153:F160" si="89">F92</f>
        <v>238600</v>
      </c>
      <c r="G153" s="21">
        <f t="shared" si="88"/>
        <v>80293433.400000006</v>
      </c>
      <c r="N153" s="5"/>
      <c r="O153" s="5"/>
      <c r="AB153" s="5"/>
    </row>
    <row r="154" spans="2:28" x14ac:dyDescent="0.3">
      <c r="B154" s="24">
        <v>3</v>
      </c>
      <c r="C154" s="23" t="s">
        <v>118</v>
      </c>
      <c r="D154" s="18">
        <f>N145</f>
        <v>60.372</v>
      </c>
      <c r="E154" s="19" t="s">
        <v>225</v>
      </c>
      <c r="F154" s="20">
        <f t="shared" si="89"/>
        <v>238600</v>
      </c>
      <c r="G154" s="21">
        <f t="shared" si="88"/>
        <v>14404759.199999999</v>
      </c>
      <c r="I154" s="4" t="s">
        <v>145</v>
      </c>
      <c r="J154" s="3">
        <v>0.3</v>
      </c>
      <c r="K154" s="3">
        <v>0.4</v>
      </c>
      <c r="L154" s="3">
        <f>8.65+6.35+6.2</f>
        <v>21.2</v>
      </c>
      <c r="M154" s="3">
        <v>1</v>
      </c>
      <c r="N154" s="5">
        <f>(J154+2*(K154-0.13))*L154*M154</f>
        <v>17.808</v>
      </c>
      <c r="O154" s="5">
        <f>J154*(K154-0.13)*L154*M154</f>
        <v>1.7172000000000001</v>
      </c>
      <c r="Q154" s="3">
        <v>7</v>
      </c>
      <c r="S154" s="3">
        <f>1.35/0.15</f>
        <v>9.0000000000000018</v>
      </c>
      <c r="U154" s="3">
        <v>1.04</v>
      </c>
      <c r="V154" s="3">
        <v>1.58</v>
      </c>
      <c r="W154" s="3">
        <v>2.23</v>
      </c>
      <c r="X154" s="3">
        <v>0.62</v>
      </c>
      <c r="Y154" s="3">
        <v>0.39500000000000002</v>
      </c>
      <c r="Z154" s="3">
        <f t="shared" ref="Z154" si="90">(Q154*M154*V154+P154*M154*U154)*(L154+0.4)</f>
        <v>238.89599999999999</v>
      </c>
      <c r="AA154" s="3">
        <f>X154*S154*M154*L154</f>
        <v>118.29600000000002</v>
      </c>
      <c r="AB154" s="3">
        <f>Z154+AA154</f>
        <v>357.19200000000001</v>
      </c>
    </row>
    <row r="155" spans="2:28" x14ac:dyDescent="0.3">
      <c r="B155" s="24">
        <v>4</v>
      </c>
      <c r="C155" s="23" t="s">
        <v>119</v>
      </c>
      <c r="D155" s="18">
        <f>N150</f>
        <v>47.424000000000007</v>
      </c>
      <c r="E155" s="19" t="s">
        <v>225</v>
      </c>
      <c r="F155" s="20">
        <f t="shared" si="89"/>
        <v>238600</v>
      </c>
      <c r="G155" s="21">
        <f t="shared" si="88"/>
        <v>11315366.400000002</v>
      </c>
      <c r="I155" s="4" t="s">
        <v>172</v>
      </c>
      <c r="J155" s="3">
        <v>0.3</v>
      </c>
      <c r="K155" s="3">
        <v>0.6</v>
      </c>
      <c r="L155" s="3">
        <v>7.8</v>
      </c>
      <c r="M155" s="3">
        <v>1</v>
      </c>
      <c r="N155" s="5">
        <f>(J155+2*(K155-0.13))*L155*M155</f>
        <v>9.6720000000000006</v>
      </c>
      <c r="O155" s="5">
        <f>J155*(K155-0.13)*L155*M155</f>
        <v>1.0997999999999999</v>
      </c>
      <c r="Q155" s="3">
        <v>10</v>
      </c>
      <c r="S155" s="3">
        <f>1.65/0.15</f>
        <v>11</v>
      </c>
      <c r="U155" s="3">
        <v>1.04</v>
      </c>
      <c r="V155" s="3">
        <v>1.58</v>
      </c>
      <c r="W155" s="3">
        <v>2.23</v>
      </c>
      <c r="X155" s="3">
        <v>0.62</v>
      </c>
      <c r="Y155" s="3">
        <v>0.39500000000000002</v>
      </c>
      <c r="Z155" s="3">
        <f>(Q155*V155+P155*U155)*L155*M155</f>
        <v>123.24000000000001</v>
      </c>
      <c r="AA155" s="3">
        <f>X155*S155*M155*L155</f>
        <v>53.195999999999998</v>
      </c>
      <c r="AB155" s="5">
        <f t="shared" ref="AB155" si="91">Z155+AA155</f>
        <v>176.43600000000001</v>
      </c>
    </row>
    <row r="156" spans="2:28" x14ac:dyDescent="0.3">
      <c r="B156" s="24">
        <v>5</v>
      </c>
      <c r="C156" s="23" t="s">
        <v>167</v>
      </c>
      <c r="D156" s="18">
        <f>N151</f>
        <v>104.31200000000001</v>
      </c>
      <c r="E156" s="19" t="s">
        <v>225</v>
      </c>
      <c r="F156" s="20">
        <f t="shared" si="89"/>
        <v>238600</v>
      </c>
      <c r="G156" s="21">
        <f t="shared" si="88"/>
        <v>24888843.200000003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2:28" x14ac:dyDescent="0.3">
      <c r="B157" s="24">
        <v>6</v>
      </c>
      <c r="C157" s="23" t="s">
        <v>147</v>
      </c>
      <c r="D157" s="18">
        <f>N154</f>
        <v>17.808</v>
      </c>
      <c r="E157" s="19" t="s">
        <v>225</v>
      </c>
      <c r="F157" s="20">
        <f t="shared" si="89"/>
        <v>238600</v>
      </c>
      <c r="G157" s="21">
        <f t="shared" si="88"/>
        <v>4248988.8</v>
      </c>
      <c r="I157" s="4" t="s">
        <v>126</v>
      </c>
      <c r="J157" s="3">
        <v>0.25</v>
      </c>
      <c r="K157" s="3">
        <v>0.4</v>
      </c>
      <c r="L157" s="3">
        <v>23.55</v>
      </c>
      <c r="M157" s="3">
        <v>2</v>
      </c>
      <c r="N157" s="3">
        <f>(J157+2*(K157-0.13))*L157*M157</f>
        <v>37.209000000000003</v>
      </c>
      <c r="O157" s="3">
        <f>J157*(K157-0.13)*L157*M157</f>
        <v>3.1792500000000001</v>
      </c>
      <c r="Q157" s="3">
        <f>5+1/2</f>
        <v>5.5</v>
      </c>
      <c r="T157" s="3">
        <f>1.25/0.15</f>
        <v>8.3333333333333339</v>
      </c>
      <c r="U157" s="3">
        <v>1.04</v>
      </c>
      <c r="V157" s="3">
        <v>1.58</v>
      </c>
      <c r="W157" s="3">
        <v>2.23</v>
      </c>
      <c r="X157" s="3">
        <v>0.62</v>
      </c>
      <c r="Y157" s="3">
        <v>0.39500000000000002</v>
      </c>
      <c r="Z157" s="3">
        <f>(Q157*V157+P157*U157)*L157*M157</f>
        <v>409.29900000000009</v>
      </c>
      <c r="AA157" s="3">
        <f>X157*T157*M157*L157</f>
        <v>243.35000000000002</v>
      </c>
      <c r="AB157" s="3">
        <f>Z157+AA157</f>
        <v>652.64900000000011</v>
      </c>
    </row>
    <row r="158" spans="2:28" x14ac:dyDescent="0.3">
      <c r="B158" s="24">
        <v>7</v>
      </c>
      <c r="C158" s="23" t="s">
        <v>173</v>
      </c>
      <c r="D158" s="18">
        <f>N155</f>
        <v>9.6720000000000006</v>
      </c>
      <c r="E158" s="19" t="s">
        <v>225</v>
      </c>
      <c r="F158" s="20">
        <f t="shared" si="89"/>
        <v>238600</v>
      </c>
      <c r="G158" s="21">
        <f t="shared" si="88"/>
        <v>2307739.2000000002</v>
      </c>
      <c r="I158" s="4" t="s">
        <v>126</v>
      </c>
      <c r="J158" s="3">
        <v>0.25</v>
      </c>
      <c r="K158" s="3">
        <v>0.4</v>
      </c>
      <c r="L158" s="3">
        <v>3.1</v>
      </c>
      <c r="M158" s="3">
        <v>2</v>
      </c>
      <c r="N158" s="3">
        <f>(J158+2*(K158-0.13))*L158*M158</f>
        <v>4.8980000000000006</v>
      </c>
      <c r="O158" s="3">
        <f>J158*(K158-0.13)*L158*M158</f>
        <v>0.41850000000000004</v>
      </c>
      <c r="Q158" s="3">
        <v>5.5</v>
      </c>
      <c r="T158" s="3">
        <f>1.25/0.15</f>
        <v>8.3333333333333339</v>
      </c>
      <c r="U158" s="3">
        <v>1.04</v>
      </c>
      <c r="V158" s="3">
        <v>1.58</v>
      </c>
      <c r="W158" s="3">
        <v>2.23</v>
      </c>
      <c r="X158" s="3">
        <v>0.62</v>
      </c>
      <c r="Y158" s="3">
        <v>0.39500000000000002</v>
      </c>
      <c r="Z158" s="3">
        <f>(Q158*V158+P158*U158)*L158*M158</f>
        <v>53.878000000000007</v>
      </c>
      <c r="AA158" s="3">
        <f>X158*T158*M158*L158</f>
        <v>32.033333333333339</v>
      </c>
      <c r="AB158" s="3">
        <f>Z158+AA158</f>
        <v>85.911333333333346</v>
      </c>
    </row>
    <row r="159" spans="2:28" x14ac:dyDescent="0.3">
      <c r="B159" s="24">
        <v>8</v>
      </c>
      <c r="C159" s="23" t="s">
        <v>170</v>
      </c>
      <c r="D159" s="18">
        <f>N161</f>
        <v>9.0239999999999991</v>
      </c>
      <c r="E159" s="19" t="s">
        <v>225</v>
      </c>
      <c r="F159" s="20">
        <f t="shared" si="89"/>
        <v>238600</v>
      </c>
      <c r="G159" s="21">
        <f t="shared" si="88"/>
        <v>2153126.4</v>
      </c>
      <c r="I159" s="4" t="s">
        <v>126</v>
      </c>
      <c r="J159" s="3">
        <v>0.25</v>
      </c>
      <c r="K159" s="3">
        <v>0.4</v>
      </c>
      <c r="L159" s="3">
        <v>4.4000000000000004</v>
      </c>
      <c r="M159" s="3">
        <v>1</v>
      </c>
      <c r="N159" s="3">
        <f>(J159+2*(K159-0.13))*L159*M159</f>
        <v>3.4760000000000004</v>
      </c>
      <c r="O159" s="3">
        <f>J159*(K159-0.13)*L159*M159</f>
        <v>0.29700000000000004</v>
      </c>
      <c r="Q159" s="3">
        <v>5.5</v>
      </c>
      <c r="T159" s="3">
        <f>1.25/0.15</f>
        <v>8.3333333333333339</v>
      </c>
      <c r="U159" s="3">
        <v>1.04</v>
      </c>
      <c r="V159" s="3">
        <v>1.58</v>
      </c>
      <c r="W159" s="3">
        <v>2.23</v>
      </c>
      <c r="X159" s="3">
        <v>0.62</v>
      </c>
      <c r="Y159" s="3">
        <v>0.39500000000000002</v>
      </c>
      <c r="Z159" s="3">
        <f>(Q159*V159+P159*U159)*L159*M159</f>
        <v>38.236000000000011</v>
      </c>
      <c r="AA159" s="3">
        <f>X159*T159*M159*L159</f>
        <v>22.733333333333338</v>
      </c>
      <c r="AB159" s="3">
        <f>Z159+AA159</f>
        <v>60.969333333333353</v>
      </c>
    </row>
    <row r="160" spans="2:28" x14ac:dyDescent="0.3">
      <c r="B160" s="24">
        <v>9</v>
      </c>
      <c r="C160" s="23" t="s">
        <v>120</v>
      </c>
      <c r="D160" s="18">
        <f>N160</f>
        <v>45.583000000000006</v>
      </c>
      <c r="E160" s="19" t="s">
        <v>225</v>
      </c>
      <c r="F160" s="20">
        <f t="shared" si="89"/>
        <v>238600</v>
      </c>
      <c r="G160" s="21">
        <f t="shared" si="88"/>
        <v>10876103.800000001</v>
      </c>
      <c r="N160" s="5">
        <f>SUM(N157:N159)</f>
        <v>45.583000000000006</v>
      </c>
      <c r="O160" s="5">
        <f>SUM(O157:O159)</f>
        <v>3.8947500000000002</v>
      </c>
      <c r="AB160" s="5">
        <f>SUM(AB157:AB159)</f>
        <v>799.5296666666668</v>
      </c>
    </row>
    <row r="161" spans="2:28" x14ac:dyDescent="0.3">
      <c r="B161" s="22" t="s">
        <v>31</v>
      </c>
      <c r="C161" s="23" t="s">
        <v>111</v>
      </c>
      <c r="E161" s="19"/>
      <c r="G161" s="21"/>
      <c r="I161" s="4" t="s">
        <v>171</v>
      </c>
      <c r="J161" s="3">
        <v>0.3</v>
      </c>
      <c r="K161" s="3">
        <v>0.45</v>
      </c>
      <c r="L161" s="3">
        <f>3.4+6.2</f>
        <v>9.6</v>
      </c>
      <c r="M161" s="3">
        <v>1</v>
      </c>
      <c r="N161" s="5">
        <f>(J161+2*(K161-0.13))*L161*M161</f>
        <v>9.0239999999999991</v>
      </c>
      <c r="O161" s="5">
        <f>J161*(K161-0.13)*L161*M161</f>
        <v>0.92159999999999997</v>
      </c>
      <c r="P161" s="3">
        <v>2</v>
      </c>
      <c r="Q161" s="3">
        <v>7</v>
      </c>
      <c r="S161" s="3">
        <f>1.35/0.15</f>
        <v>9.0000000000000018</v>
      </c>
      <c r="U161" s="3">
        <v>1.04</v>
      </c>
      <c r="V161" s="3">
        <v>1.58</v>
      </c>
      <c r="W161" s="3">
        <v>2.23</v>
      </c>
      <c r="X161" s="3">
        <v>0.62</v>
      </c>
      <c r="Y161" s="3">
        <v>0.39500000000000002</v>
      </c>
      <c r="Z161" s="3">
        <f t="shared" ref="Z161" si="92">(Q161*M161*V161+P161*M161*U161)*(L161+0.4)</f>
        <v>131.4</v>
      </c>
      <c r="AA161" s="3">
        <f>X161*S161*M161*L161</f>
        <v>53.568000000000005</v>
      </c>
      <c r="AB161" s="5">
        <f>Z161+AA161</f>
        <v>184.96800000000002</v>
      </c>
    </row>
    <row r="162" spans="2:28" x14ac:dyDescent="0.3">
      <c r="B162" s="24">
        <v>1</v>
      </c>
      <c r="C162" s="23" t="s">
        <v>116</v>
      </c>
      <c r="D162" s="18">
        <f>AB139</f>
        <v>7860.4410000000007</v>
      </c>
      <c r="E162" s="19" t="s">
        <v>65</v>
      </c>
      <c r="F162" s="20">
        <f>F101</f>
        <v>19300</v>
      </c>
      <c r="G162" s="21">
        <f t="shared" ref="G162:G170" si="93">D162*F162</f>
        <v>151706511.30000001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2:28" x14ac:dyDescent="0.3">
      <c r="B163" s="24">
        <v>2</v>
      </c>
      <c r="C163" s="23" t="s">
        <v>146</v>
      </c>
      <c r="D163" s="18">
        <f>AB144</f>
        <v>10017.335000000001</v>
      </c>
      <c r="E163" s="19" t="s">
        <v>65</v>
      </c>
      <c r="F163" s="20">
        <f t="shared" ref="F163:F170" si="94">F102</f>
        <v>19300</v>
      </c>
      <c r="G163" s="21">
        <f t="shared" si="93"/>
        <v>193334565.50000003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2:28" x14ac:dyDescent="0.3">
      <c r="B164" s="24">
        <v>3</v>
      </c>
      <c r="C164" s="23" t="s">
        <v>118</v>
      </c>
      <c r="D164" s="18">
        <f>AB145</f>
        <v>1262.1599999999999</v>
      </c>
      <c r="E164" s="19" t="s">
        <v>65</v>
      </c>
      <c r="F164" s="20">
        <f t="shared" si="94"/>
        <v>19300</v>
      </c>
      <c r="G164" s="21">
        <f t="shared" si="93"/>
        <v>24359687.999999996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2:28" x14ac:dyDescent="0.3">
      <c r="B165" s="24">
        <v>4</v>
      </c>
      <c r="C165" s="23" t="s">
        <v>119</v>
      </c>
      <c r="D165" s="18">
        <f>AB150</f>
        <v>990.81333333333339</v>
      </c>
      <c r="E165" s="19" t="s">
        <v>65</v>
      </c>
      <c r="F165" s="20">
        <f t="shared" si="94"/>
        <v>19300</v>
      </c>
      <c r="G165" s="21">
        <f t="shared" si="93"/>
        <v>19122697.333333336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2:28" x14ac:dyDescent="0.3">
      <c r="B166" s="24">
        <v>5</v>
      </c>
      <c r="C166" s="23" t="s">
        <v>167</v>
      </c>
      <c r="D166" s="18">
        <f>AB151</f>
        <v>2177.6433333333334</v>
      </c>
      <c r="E166" s="19" t="s">
        <v>65</v>
      </c>
      <c r="F166" s="20">
        <f t="shared" si="94"/>
        <v>19300</v>
      </c>
      <c r="G166" s="21">
        <f t="shared" si="93"/>
        <v>42028516.333333336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2:28" x14ac:dyDescent="0.3">
      <c r="B167" s="24">
        <v>6</v>
      </c>
      <c r="C167" s="23" t="s">
        <v>147</v>
      </c>
      <c r="D167" s="18">
        <f>AB154</f>
        <v>357.19200000000001</v>
      </c>
      <c r="E167" s="19" t="s">
        <v>65</v>
      </c>
      <c r="F167" s="20">
        <f t="shared" si="94"/>
        <v>19300</v>
      </c>
      <c r="G167" s="21">
        <f t="shared" si="93"/>
        <v>6893805.6000000006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2:28" x14ac:dyDescent="0.3">
      <c r="B168" s="24">
        <v>7</v>
      </c>
      <c r="C168" s="23" t="s">
        <v>173</v>
      </c>
      <c r="D168" s="18">
        <f>AB155</f>
        <v>176.43600000000001</v>
      </c>
      <c r="E168" s="19" t="s">
        <v>65</v>
      </c>
      <c r="F168" s="20">
        <f t="shared" si="94"/>
        <v>19300</v>
      </c>
      <c r="G168" s="21">
        <f t="shared" si="93"/>
        <v>3405214.8000000003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2:28" x14ac:dyDescent="0.3">
      <c r="B169" s="24">
        <v>8</v>
      </c>
      <c r="C169" s="23" t="s">
        <v>170</v>
      </c>
      <c r="D169" s="18">
        <f>AB161</f>
        <v>184.96800000000002</v>
      </c>
      <c r="E169" s="19" t="s">
        <v>65</v>
      </c>
      <c r="F169" s="20">
        <f t="shared" si="94"/>
        <v>19300</v>
      </c>
      <c r="G169" s="21">
        <f t="shared" si="93"/>
        <v>3569882.4000000004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2:28" x14ac:dyDescent="0.3">
      <c r="B170" s="24">
        <v>9</v>
      </c>
      <c r="C170" s="23" t="s">
        <v>120</v>
      </c>
      <c r="D170" s="18">
        <f>AB160</f>
        <v>799.5296666666668</v>
      </c>
      <c r="E170" s="19" t="s">
        <v>65</v>
      </c>
      <c r="F170" s="20">
        <f t="shared" si="94"/>
        <v>19300</v>
      </c>
      <c r="G170" s="21">
        <f t="shared" si="93"/>
        <v>15430922.56666667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2:28" x14ac:dyDescent="0.3">
      <c r="B171" s="22" t="s">
        <v>34</v>
      </c>
      <c r="C171" s="23" t="s">
        <v>70</v>
      </c>
      <c r="E171" s="19"/>
      <c r="G171" s="21"/>
    </row>
    <row r="172" spans="2:28" x14ac:dyDescent="0.3">
      <c r="B172" s="24">
        <v>1</v>
      </c>
      <c r="C172" s="23" t="s">
        <v>116</v>
      </c>
      <c r="D172" s="18">
        <f>O139</f>
        <v>41.277600000000007</v>
      </c>
      <c r="E172" s="19" t="s">
        <v>224</v>
      </c>
      <c r="F172" s="20">
        <f>F111</f>
        <v>1382600</v>
      </c>
      <c r="G172" s="21">
        <f t="shared" ref="G172:G180" si="95">D172*F172</f>
        <v>57070409.760000013</v>
      </c>
      <c r="L172" s="3" t="s">
        <v>7</v>
      </c>
      <c r="M172" s="3" t="s">
        <v>8</v>
      </c>
      <c r="N172" s="3" t="s">
        <v>134</v>
      </c>
      <c r="P172" s="3" t="s">
        <v>7</v>
      </c>
      <c r="Q172" s="3" t="s">
        <v>8</v>
      </c>
      <c r="S172" s="3" t="s">
        <v>103</v>
      </c>
    </row>
    <row r="173" spans="2:28" x14ac:dyDescent="0.3">
      <c r="B173" s="24">
        <v>2</v>
      </c>
      <c r="C173" s="23" t="s">
        <v>146</v>
      </c>
      <c r="D173" s="18">
        <f>O144</f>
        <v>51.204150000000006</v>
      </c>
      <c r="E173" s="19" t="s">
        <v>224</v>
      </c>
      <c r="F173" s="20">
        <f t="shared" ref="F173:F180" si="96">F112</f>
        <v>1382600</v>
      </c>
      <c r="G173" s="21">
        <f t="shared" si="95"/>
        <v>70794857.790000007</v>
      </c>
      <c r="K173" s="3" t="s">
        <v>133</v>
      </c>
      <c r="L173" s="3">
        <v>20.3</v>
      </c>
      <c r="M173" s="3">
        <v>56.95</v>
      </c>
      <c r="N173" s="3">
        <v>0.13500000000000001</v>
      </c>
      <c r="O173" s="3" t="s">
        <v>135</v>
      </c>
      <c r="P173" s="3">
        <v>2.625</v>
      </c>
      <c r="Q173" s="3">
        <v>3.55</v>
      </c>
      <c r="R173" s="3">
        <f>Q173*P173</f>
        <v>9.3187499999999996</v>
      </c>
    </row>
    <row r="174" spans="2:28" x14ac:dyDescent="0.3">
      <c r="B174" s="24">
        <v>3</v>
      </c>
      <c r="C174" s="23" t="s">
        <v>118</v>
      </c>
      <c r="D174" s="18">
        <f>O145</f>
        <v>7.698599999999999</v>
      </c>
      <c r="E174" s="19" t="s">
        <v>224</v>
      </c>
      <c r="F174" s="20">
        <f t="shared" si="96"/>
        <v>1382600</v>
      </c>
      <c r="G174" s="21">
        <f t="shared" si="95"/>
        <v>10644084.359999999</v>
      </c>
      <c r="P174" s="3">
        <v>4.125</v>
      </c>
      <c r="Q174" s="3">
        <v>1.925</v>
      </c>
      <c r="R174" s="3">
        <f t="shared" ref="R174:R178" si="97">Q174*P174</f>
        <v>7.9406249999999998</v>
      </c>
    </row>
    <row r="175" spans="2:28" x14ac:dyDescent="0.3">
      <c r="B175" s="24">
        <v>4</v>
      </c>
      <c r="C175" s="23" t="s">
        <v>119</v>
      </c>
      <c r="D175" s="18">
        <f>O150</f>
        <v>5.0616000000000003</v>
      </c>
      <c r="E175" s="19" t="s">
        <v>224</v>
      </c>
      <c r="F175" s="20">
        <f t="shared" si="96"/>
        <v>1382600</v>
      </c>
      <c r="G175" s="21">
        <f t="shared" si="95"/>
        <v>6998168.1600000001</v>
      </c>
      <c r="P175" s="3">
        <v>11.5</v>
      </c>
      <c r="Q175" s="3">
        <v>3.2250000000000001</v>
      </c>
      <c r="R175" s="3">
        <f t="shared" si="97"/>
        <v>37.087499999999999</v>
      </c>
    </row>
    <row r="176" spans="2:28" x14ac:dyDescent="0.3">
      <c r="B176" s="24">
        <v>5</v>
      </c>
      <c r="C176" s="23" t="s">
        <v>167</v>
      </c>
      <c r="D176" s="18">
        <f>O151</f>
        <v>11.1333</v>
      </c>
      <c r="E176" s="19" t="s">
        <v>224</v>
      </c>
      <c r="F176" s="20">
        <f t="shared" si="96"/>
        <v>1382600</v>
      </c>
      <c r="G176" s="21">
        <f t="shared" si="95"/>
        <v>15392900.58</v>
      </c>
      <c r="P176" s="3">
        <v>3.125</v>
      </c>
      <c r="Q176" s="3">
        <v>1.4750000000000001</v>
      </c>
      <c r="R176" s="3">
        <f t="shared" si="97"/>
        <v>4.609375</v>
      </c>
    </row>
    <row r="177" spans="2:27" x14ac:dyDescent="0.3">
      <c r="B177" s="24">
        <v>6</v>
      </c>
      <c r="C177" s="23" t="s">
        <v>147</v>
      </c>
      <c r="D177" s="18">
        <f>O154</f>
        <v>1.7172000000000001</v>
      </c>
      <c r="E177" s="19" t="s">
        <v>224</v>
      </c>
      <c r="F177" s="20">
        <f t="shared" si="96"/>
        <v>1382600</v>
      </c>
      <c r="G177" s="21">
        <f t="shared" si="95"/>
        <v>2374200.7200000002</v>
      </c>
      <c r="P177" s="3">
        <v>2.9750000000000001</v>
      </c>
      <c r="Q177" s="3">
        <v>1.425</v>
      </c>
      <c r="R177" s="3">
        <f t="shared" si="97"/>
        <v>4.2393749999999999</v>
      </c>
      <c r="V177" s="3" t="s">
        <v>108</v>
      </c>
      <c r="W177" s="3" t="s">
        <v>109</v>
      </c>
      <c r="X177" s="3" t="s">
        <v>109</v>
      </c>
    </row>
    <row r="178" spans="2:27" x14ac:dyDescent="0.3">
      <c r="B178" s="24">
        <v>7</v>
      </c>
      <c r="C178" s="23" t="s">
        <v>173</v>
      </c>
      <c r="D178" s="18">
        <f>O155</f>
        <v>1.0997999999999999</v>
      </c>
      <c r="E178" s="19" t="s">
        <v>224</v>
      </c>
      <c r="F178" s="20">
        <f t="shared" si="96"/>
        <v>1382600</v>
      </c>
      <c r="G178" s="21">
        <f t="shared" si="95"/>
        <v>1520583.4799999997</v>
      </c>
      <c r="N178" s="3">
        <f>M173*L173</f>
        <v>1156.085</v>
      </c>
      <c r="P178" s="3">
        <v>3.6749999999999998</v>
      </c>
      <c r="Q178" s="3">
        <v>2.1</v>
      </c>
      <c r="R178" s="3">
        <f t="shared" si="97"/>
        <v>7.7175000000000002</v>
      </c>
      <c r="V178" s="3" t="s">
        <v>51</v>
      </c>
      <c r="W178" s="3" t="s">
        <v>51</v>
      </c>
      <c r="X178" s="3" t="s">
        <v>50</v>
      </c>
    </row>
    <row r="179" spans="2:27" x14ac:dyDescent="0.3">
      <c r="B179" s="24">
        <v>8</v>
      </c>
      <c r="C179" s="23" t="s">
        <v>170</v>
      </c>
      <c r="D179" s="18">
        <f>O161</f>
        <v>0.92159999999999997</v>
      </c>
      <c r="E179" s="19" t="s">
        <v>224</v>
      </c>
      <c r="F179" s="20">
        <f t="shared" si="96"/>
        <v>1382600</v>
      </c>
      <c r="G179" s="21">
        <f t="shared" si="95"/>
        <v>1274204.1599999999</v>
      </c>
      <c r="M179" s="3" t="s">
        <v>181</v>
      </c>
      <c r="R179" s="3">
        <f>SUM(R173:R178)</f>
        <v>70.913124999999994</v>
      </c>
      <c r="S179" s="5">
        <f>(N178-R179)</f>
        <v>1085.171875</v>
      </c>
      <c r="U179" s="3" t="s">
        <v>92</v>
      </c>
      <c r="V179" s="3">
        <f>2.55/0.125</f>
        <v>20.399999999999999</v>
      </c>
      <c r="W179" s="3">
        <f>0.95*4/0.2</f>
        <v>18.999999999999996</v>
      </c>
      <c r="X179" s="3">
        <f>0.95*4/0.3</f>
        <v>12.666666666666666</v>
      </c>
    </row>
    <row r="180" spans="2:27" x14ac:dyDescent="0.3">
      <c r="B180" s="24">
        <v>9</v>
      </c>
      <c r="C180" s="23" t="s">
        <v>120</v>
      </c>
      <c r="D180" s="18">
        <f>O160</f>
        <v>3.8947500000000002</v>
      </c>
      <c r="E180" s="19" t="s">
        <v>224</v>
      </c>
      <c r="F180" s="20">
        <f t="shared" si="96"/>
        <v>1382600</v>
      </c>
      <c r="G180" s="21">
        <f t="shared" si="95"/>
        <v>5384881.3500000006</v>
      </c>
      <c r="K180" s="3" t="s">
        <v>179</v>
      </c>
      <c r="L180" s="3">
        <f>S179/0.25*3*1.1</f>
        <v>14324.268750000001</v>
      </c>
      <c r="M180" s="3">
        <v>0.62</v>
      </c>
      <c r="O180" s="3">
        <f>M180*L180*2</f>
        <v>17762.093250000002</v>
      </c>
      <c r="U180" s="3" t="s">
        <v>93</v>
      </c>
      <c r="V180" s="3">
        <f>2.45/0.125</f>
        <v>19.600000000000001</v>
      </c>
      <c r="W180" s="3">
        <f>0.85*2/0.2</f>
        <v>8.5</v>
      </c>
      <c r="X180" s="3">
        <f>0.85*4/0.3+0.85*2/0.2</f>
        <v>19.833333333333336</v>
      </c>
    </row>
    <row r="181" spans="2:27" x14ac:dyDescent="0.3">
      <c r="B181" s="22"/>
      <c r="C181" s="23"/>
      <c r="E181" s="19"/>
      <c r="F181" s="25" t="s">
        <v>235</v>
      </c>
      <c r="G181" s="26">
        <f>SUM(G151:G180)</f>
        <v>844507124.19333351</v>
      </c>
      <c r="K181" s="3" t="s">
        <v>80</v>
      </c>
      <c r="L181" s="5">
        <f>S179*N173</f>
        <v>146.498203125</v>
      </c>
      <c r="U181" s="3" t="s">
        <v>94</v>
      </c>
      <c r="V181" s="3">
        <f>1.75/0.125</f>
        <v>14</v>
      </c>
      <c r="W181" s="3">
        <f>0.65*2/0.2</f>
        <v>6.5</v>
      </c>
      <c r="X181" s="3">
        <f>0.65*4/0.3+0.65*2/0.2</f>
        <v>15.166666666666668</v>
      </c>
    </row>
    <row r="182" spans="2:27" x14ac:dyDescent="0.3">
      <c r="B182" s="24"/>
      <c r="C182" s="23"/>
      <c r="E182" s="19"/>
      <c r="G182" s="21"/>
      <c r="K182" s="3" t="s">
        <v>180</v>
      </c>
      <c r="L182" s="3">
        <v>60</v>
      </c>
      <c r="M182" s="3">
        <v>7.4</v>
      </c>
      <c r="N182" s="3">
        <f>U194</f>
        <v>1.04</v>
      </c>
      <c r="O182" s="3">
        <f>N182*M182*L182</f>
        <v>461.76000000000005</v>
      </c>
      <c r="U182" s="3" t="s">
        <v>95</v>
      </c>
      <c r="V182" s="3">
        <f>1.75/0.125</f>
        <v>14</v>
      </c>
      <c r="W182" s="3">
        <f>0.65*2/0.2</f>
        <v>6.5</v>
      </c>
      <c r="X182" s="3">
        <f>0.75*1/0.3+0.55*2/0.3+0.55*1/0.2</f>
        <v>8.9166666666666679</v>
      </c>
    </row>
    <row r="183" spans="2:27" x14ac:dyDescent="0.3">
      <c r="B183" s="16" t="s">
        <v>149</v>
      </c>
      <c r="C183" s="17" t="s">
        <v>148</v>
      </c>
      <c r="E183" s="19"/>
      <c r="G183" s="21"/>
      <c r="K183" s="3" t="s">
        <v>182</v>
      </c>
      <c r="L183" s="3">
        <v>32</v>
      </c>
      <c r="M183" s="3">
        <v>4.2</v>
      </c>
      <c r="N183" s="3">
        <f>V187</f>
        <v>1.58</v>
      </c>
      <c r="O183" s="3">
        <f>N183*M183*L183</f>
        <v>212.35200000000003</v>
      </c>
      <c r="U183" s="3" t="s">
        <v>96</v>
      </c>
      <c r="V183" s="3">
        <f>1.55/0.125</f>
        <v>12.4</v>
      </c>
      <c r="W183" s="3">
        <f>0.55*2/0.2</f>
        <v>5.5</v>
      </c>
      <c r="X183" s="3">
        <f>0.65*1/0.3+0.55*2/0.3+0.55*1/0.2</f>
        <v>8.5833333333333339</v>
      </c>
    </row>
    <row r="184" spans="2:27" x14ac:dyDescent="0.3">
      <c r="B184" s="22">
        <v>1</v>
      </c>
      <c r="C184" s="23" t="s">
        <v>75</v>
      </c>
      <c r="D184" s="18">
        <f>S179</f>
        <v>1085.171875</v>
      </c>
      <c r="E184" s="19" t="s">
        <v>225</v>
      </c>
      <c r="F184" s="20">
        <f>AHSP!$H$215</f>
        <v>241200</v>
      </c>
      <c r="G184" s="21">
        <f t="shared" ref="G184:G187" si="98">D184*F184</f>
        <v>261743456.25</v>
      </c>
      <c r="O184" s="5">
        <f>SUM(O180:O183)</f>
        <v>18436.205249999999</v>
      </c>
    </row>
    <row r="185" spans="2:27" x14ac:dyDescent="0.3">
      <c r="B185" s="22">
        <v>2</v>
      </c>
      <c r="C185" s="23" t="s">
        <v>138</v>
      </c>
      <c r="D185" s="18">
        <f>D184</f>
        <v>1085.171875</v>
      </c>
      <c r="E185" s="19" t="s">
        <v>225</v>
      </c>
      <c r="G185" s="21">
        <f t="shared" si="98"/>
        <v>0</v>
      </c>
    </row>
    <row r="186" spans="2:27" x14ac:dyDescent="0.3">
      <c r="B186" s="22">
        <v>3</v>
      </c>
      <c r="C186" s="23" t="s">
        <v>183</v>
      </c>
      <c r="D186" s="18">
        <f>O184</f>
        <v>18436.205249999999</v>
      </c>
      <c r="E186" s="19" t="s">
        <v>65</v>
      </c>
      <c r="F186" s="20">
        <f>AHSP!H67</f>
        <v>19300</v>
      </c>
      <c r="G186" s="21">
        <f t="shared" si="98"/>
        <v>355818761.32499999</v>
      </c>
      <c r="I186" s="3" t="s">
        <v>91</v>
      </c>
      <c r="K186" s="3" t="s">
        <v>21</v>
      </c>
      <c r="L186" s="3" t="s">
        <v>7</v>
      </c>
      <c r="M186" s="3" t="s">
        <v>8</v>
      </c>
      <c r="N186" s="3" t="s">
        <v>71</v>
      </c>
      <c r="O186" s="3" t="s">
        <v>103</v>
      </c>
      <c r="P186" s="3" t="s">
        <v>30</v>
      </c>
      <c r="Q186" s="3" t="s">
        <v>71</v>
      </c>
      <c r="R186" s="3" t="s">
        <v>49</v>
      </c>
      <c r="S186" s="3" t="s">
        <v>48</v>
      </c>
      <c r="T186" s="3" t="s">
        <v>51</v>
      </c>
      <c r="U186" s="3" t="s">
        <v>50</v>
      </c>
      <c r="V186" s="3" t="s">
        <v>104</v>
      </c>
      <c r="W186" s="3" t="s">
        <v>105</v>
      </c>
      <c r="X186" s="3" t="s">
        <v>106</v>
      </c>
      <c r="Y186" s="3" t="s">
        <v>107</v>
      </c>
      <c r="Z186" s="3" t="s">
        <v>110</v>
      </c>
      <c r="AA186" s="3" t="s">
        <v>30</v>
      </c>
    </row>
    <row r="187" spans="2:27" x14ac:dyDescent="0.3">
      <c r="B187" s="22">
        <v>4</v>
      </c>
      <c r="C187" s="23" t="s">
        <v>70</v>
      </c>
      <c r="D187" s="18">
        <f>L181</f>
        <v>146.498203125</v>
      </c>
      <c r="E187" s="19" t="s">
        <v>224</v>
      </c>
      <c r="F187" s="20">
        <f>AHSP!$H$107</f>
        <v>1382600</v>
      </c>
      <c r="G187" s="21">
        <f t="shared" si="98"/>
        <v>202548415.640625</v>
      </c>
      <c r="J187" s="3" t="s">
        <v>92</v>
      </c>
      <c r="K187" s="3">
        <v>24</v>
      </c>
      <c r="L187" s="3">
        <v>0.7</v>
      </c>
      <c r="M187" s="3">
        <v>0.7</v>
      </c>
      <c r="N187" s="3">
        <v>4.7</v>
      </c>
      <c r="O187" s="3">
        <f>K187*(L187+M187)*2*(N187-0.6)</f>
        <v>275.52</v>
      </c>
      <c r="P187" s="3">
        <f>K187*L187*M187*(N187-0.6)</f>
        <v>48.216000000000001</v>
      </c>
      <c r="Q187" s="3">
        <v>3.7</v>
      </c>
      <c r="S187" s="3">
        <v>36</v>
      </c>
      <c r="T187" s="3">
        <f>V179+W179</f>
        <v>39.399999999999991</v>
      </c>
      <c r="U187" s="3">
        <f>X179</f>
        <v>12.666666666666666</v>
      </c>
      <c r="V187" s="3">
        <v>1.58</v>
      </c>
      <c r="W187" s="3">
        <v>2.23</v>
      </c>
      <c r="X187" s="3">
        <v>0.62</v>
      </c>
      <c r="Y187" s="3">
        <v>0.39500000000000002</v>
      </c>
      <c r="Z187" s="3">
        <f>S187*(Q187)+W187*Q187*(T187*X187+U187*Y187)</f>
        <v>376.03793133333329</v>
      </c>
      <c r="AA187" s="3">
        <f>Z187*K187</f>
        <v>9024.910351999999</v>
      </c>
    </row>
    <row r="188" spans="2:27" x14ac:dyDescent="0.3">
      <c r="B188" s="22"/>
      <c r="C188" s="23"/>
      <c r="E188" s="19"/>
      <c r="F188" s="25" t="s">
        <v>236</v>
      </c>
      <c r="G188" s="26">
        <f>SUM(G184:G187)</f>
        <v>820110633.21562505</v>
      </c>
      <c r="J188" s="3" t="s">
        <v>93</v>
      </c>
      <c r="K188" s="3">
        <v>20</v>
      </c>
      <c r="L188" s="3">
        <v>0.65</v>
      </c>
      <c r="M188" s="3">
        <v>0.65</v>
      </c>
      <c r="N188" s="3">
        <f>N187</f>
        <v>4.7</v>
      </c>
      <c r="O188" s="3">
        <f t="shared" ref="O188:O191" si="99">K188*(L188+M188)*2*(N188-0.6)</f>
        <v>213.20000000000002</v>
      </c>
      <c r="P188" s="3">
        <f t="shared" ref="P188:P191" si="100">K188*L188*M188*(N188-0.6)</f>
        <v>34.64500000000001</v>
      </c>
      <c r="Q188" s="3">
        <f>Q187</f>
        <v>3.7</v>
      </c>
      <c r="S188" s="3">
        <v>32</v>
      </c>
      <c r="T188" s="3">
        <f t="shared" ref="T188:T191" si="101">V180+W180</f>
        <v>28.1</v>
      </c>
      <c r="U188" s="3">
        <f t="shared" ref="U188:U191" si="102">X180</f>
        <v>19.833333333333336</v>
      </c>
      <c r="V188" s="3">
        <v>1.58</v>
      </c>
      <c r="W188" s="3">
        <v>2.23</v>
      </c>
      <c r="X188" s="3">
        <v>0.62</v>
      </c>
      <c r="Y188" s="3">
        <v>0.39500000000000002</v>
      </c>
      <c r="Z188" s="3">
        <f t="shared" ref="Z188:Z191" si="103">S188*(Q188)+W188*Q188*(T188*X188+U188*Y188)</f>
        <v>326.78863116666668</v>
      </c>
      <c r="AA188" s="3">
        <f t="shared" ref="AA188:AA191" si="104">Z188*K188</f>
        <v>6535.7726233333333</v>
      </c>
    </row>
    <row r="189" spans="2:27" x14ac:dyDescent="0.3">
      <c r="B189" s="22"/>
      <c r="C189" s="23"/>
      <c r="E189" s="19"/>
      <c r="G189" s="21"/>
      <c r="J189" s="3" t="s">
        <v>94</v>
      </c>
      <c r="K189" s="3">
        <v>1</v>
      </c>
      <c r="L189" s="3">
        <v>0.5</v>
      </c>
      <c r="M189" s="3">
        <v>0.5</v>
      </c>
      <c r="N189" s="3">
        <f t="shared" ref="N189:N191" si="105">N188</f>
        <v>4.7</v>
      </c>
      <c r="O189" s="3">
        <f t="shared" si="99"/>
        <v>8.2000000000000011</v>
      </c>
      <c r="P189" s="3">
        <f t="shared" si="100"/>
        <v>1.0250000000000001</v>
      </c>
      <c r="Q189" s="3">
        <f t="shared" ref="Q189:Q191" si="106">Q188</f>
        <v>3.7</v>
      </c>
      <c r="S189" s="3">
        <v>20</v>
      </c>
      <c r="T189" s="3">
        <f t="shared" si="101"/>
        <v>20.5</v>
      </c>
      <c r="U189" s="3">
        <f t="shared" si="102"/>
        <v>15.166666666666668</v>
      </c>
      <c r="V189" s="3">
        <v>1.58</v>
      </c>
      <c r="W189" s="3">
        <v>2.23</v>
      </c>
      <c r="X189" s="3">
        <v>0.62</v>
      </c>
      <c r="Y189" s="3">
        <v>0.39500000000000002</v>
      </c>
      <c r="Z189" s="3">
        <f t="shared" si="103"/>
        <v>228.30057583333331</v>
      </c>
      <c r="AA189" s="3">
        <f t="shared" si="104"/>
        <v>228.30057583333331</v>
      </c>
    </row>
    <row r="190" spans="2:27" x14ac:dyDescent="0.3">
      <c r="B190" s="16" t="s">
        <v>150</v>
      </c>
      <c r="C190" s="17" t="s">
        <v>153</v>
      </c>
      <c r="E190" s="19"/>
      <c r="G190" s="21"/>
      <c r="J190" s="3" t="s">
        <v>95</v>
      </c>
      <c r="K190" s="3">
        <v>1</v>
      </c>
      <c r="L190" s="3">
        <v>0.4</v>
      </c>
      <c r="M190" s="3">
        <v>0.6</v>
      </c>
      <c r="N190" s="3">
        <f t="shared" si="105"/>
        <v>4.7</v>
      </c>
      <c r="O190" s="3">
        <f t="shared" si="99"/>
        <v>8.2000000000000011</v>
      </c>
      <c r="P190" s="3">
        <f t="shared" si="100"/>
        <v>0.9840000000000001</v>
      </c>
      <c r="Q190" s="3">
        <f t="shared" si="106"/>
        <v>3.7</v>
      </c>
      <c r="S190" s="3">
        <v>20</v>
      </c>
      <c r="T190" s="3">
        <f t="shared" si="101"/>
        <v>20.5</v>
      </c>
      <c r="U190" s="3">
        <f t="shared" si="102"/>
        <v>8.9166666666666679</v>
      </c>
      <c r="V190" s="3">
        <v>1.58</v>
      </c>
      <c r="W190" s="3">
        <v>2.23</v>
      </c>
      <c r="X190" s="3">
        <v>0.62</v>
      </c>
      <c r="Y190" s="3">
        <v>0.39500000000000002</v>
      </c>
      <c r="Z190" s="3">
        <f t="shared" si="103"/>
        <v>207.93091958333332</v>
      </c>
      <c r="AA190" s="3">
        <f t="shared" si="104"/>
        <v>207.93091958333332</v>
      </c>
    </row>
    <row r="191" spans="2:27" x14ac:dyDescent="0.3">
      <c r="B191" s="22" t="s">
        <v>16</v>
      </c>
      <c r="C191" s="23" t="s">
        <v>75</v>
      </c>
      <c r="E191" s="19"/>
      <c r="G191" s="21"/>
      <c r="J191" s="3" t="s">
        <v>96</v>
      </c>
      <c r="K191" s="3">
        <v>10</v>
      </c>
      <c r="L191" s="3">
        <v>0.4</v>
      </c>
      <c r="M191" s="3">
        <v>0.5</v>
      </c>
      <c r="N191" s="3">
        <f t="shared" si="105"/>
        <v>4.7</v>
      </c>
      <c r="O191" s="3">
        <f t="shared" si="99"/>
        <v>73.800000000000011</v>
      </c>
      <c r="P191" s="3">
        <f t="shared" si="100"/>
        <v>8.2000000000000011</v>
      </c>
      <c r="Q191" s="3">
        <f t="shared" si="106"/>
        <v>3.7</v>
      </c>
      <c r="S191" s="3">
        <v>18</v>
      </c>
      <c r="T191" s="3">
        <f t="shared" si="101"/>
        <v>17.899999999999999</v>
      </c>
      <c r="U191" s="3">
        <f t="shared" si="102"/>
        <v>8.5833333333333339</v>
      </c>
      <c r="V191" s="3">
        <v>1.58</v>
      </c>
      <c r="W191" s="3">
        <v>2.23</v>
      </c>
      <c r="X191" s="3">
        <v>0.62</v>
      </c>
      <c r="Y191" s="3">
        <v>0.39500000000000002</v>
      </c>
      <c r="Z191" s="3">
        <f t="shared" si="103"/>
        <v>186.14392591666666</v>
      </c>
      <c r="AA191" s="3">
        <f t="shared" si="104"/>
        <v>1861.4392591666665</v>
      </c>
    </row>
    <row r="192" spans="2:27" x14ac:dyDescent="0.3">
      <c r="B192" s="24">
        <v>1</v>
      </c>
      <c r="C192" s="23" t="s">
        <v>88</v>
      </c>
      <c r="D192" s="18">
        <f>O187</f>
        <v>275.52</v>
      </c>
      <c r="E192" s="19" t="s">
        <v>225</v>
      </c>
      <c r="F192" s="20">
        <f>AHSP!$H$171*1.03</f>
        <v>233192</v>
      </c>
      <c r="G192" s="21">
        <f t="shared" ref="G192:G196" si="107">D192*F192</f>
        <v>64249059.839999996</v>
      </c>
    </row>
    <row r="193" spans="2:28" x14ac:dyDescent="0.3">
      <c r="B193" s="24">
        <v>2</v>
      </c>
      <c r="C193" s="23" t="s">
        <v>89</v>
      </c>
      <c r="D193" s="18">
        <f>O188</f>
        <v>213.20000000000002</v>
      </c>
      <c r="E193" s="19" t="s">
        <v>225</v>
      </c>
      <c r="F193" s="20">
        <f>AHSP!$H$171*1.03</f>
        <v>233192</v>
      </c>
      <c r="G193" s="21">
        <f t="shared" si="107"/>
        <v>49716534.400000006</v>
      </c>
      <c r="J193" s="3" t="s">
        <v>8</v>
      </c>
      <c r="K193" s="3" t="s">
        <v>71</v>
      </c>
      <c r="L193" s="3" t="s">
        <v>7</v>
      </c>
      <c r="M193" s="3" t="s">
        <v>21</v>
      </c>
      <c r="N193" s="3" t="s">
        <v>128</v>
      </c>
      <c r="O193" s="3" t="s">
        <v>80</v>
      </c>
      <c r="P193" s="3" t="s">
        <v>52</v>
      </c>
      <c r="Q193" s="3" t="s">
        <v>49</v>
      </c>
      <c r="R193" s="3" t="s">
        <v>48</v>
      </c>
      <c r="S193" s="3" t="s">
        <v>51</v>
      </c>
      <c r="T193" s="3" t="s">
        <v>50</v>
      </c>
      <c r="U193" s="3" t="s">
        <v>131</v>
      </c>
      <c r="V193" s="3" t="s">
        <v>104</v>
      </c>
      <c r="W193" s="3" t="s">
        <v>105</v>
      </c>
      <c r="X193" s="3" t="s">
        <v>106</v>
      </c>
      <c r="Y193" s="3" t="s">
        <v>107</v>
      </c>
      <c r="Z193" s="3" t="s">
        <v>132</v>
      </c>
      <c r="AA193" s="3" t="s">
        <v>129</v>
      </c>
      <c r="AB193" s="3" t="s">
        <v>130</v>
      </c>
    </row>
    <row r="194" spans="2:28" x14ac:dyDescent="0.3">
      <c r="B194" s="24">
        <v>3</v>
      </c>
      <c r="C194" s="23" t="s">
        <v>90</v>
      </c>
      <c r="D194" s="18">
        <f>O189</f>
        <v>8.2000000000000011</v>
      </c>
      <c r="E194" s="19" t="s">
        <v>225</v>
      </c>
      <c r="F194" s="20">
        <f>AHSP!$H$171*1.03</f>
        <v>233192</v>
      </c>
      <c r="G194" s="21">
        <f t="shared" si="107"/>
        <v>1912174.4000000001</v>
      </c>
      <c r="I194" s="4" t="s">
        <v>122</v>
      </c>
      <c r="J194" s="3">
        <v>0.45</v>
      </c>
      <c r="K194" s="3">
        <v>0.65</v>
      </c>
      <c r="L194" s="3">
        <v>57</v>
      </c>
      <c r="M194" s="3">
        <v>2</v>
      </c>
      <c r="N194" s="3">
        <f>(J194+2*(K194-0.13))*L194*M194</f>
        <v>169.85999999999999</v>
      </c>
      <c r="O194" s="3">
        <f>J194*(K194-0.13)*L194*M194</f>
        <v>26.676000000000002</v>
      </c>
      <c r="Q194" s="3">
        <f>6+2/2</f>
        <v>7</v>
      </c>
      <c r="R194" s="3">
        <f>8+3/2</f>
        <v>9.5</v>
      </c>
      <c r="S194" s="3">
        <f>2.15/0.15</f>
        <v>14.333333333333334</v>
      </c>
      <c r="U194" s="3">
        <v>1.04</v>
      </c>
      <c r="V194" s="3">
        <v>1.58</v>
      </c>
      <c r="W194" s="3">
        <v>2.23</v>
      </c>
      <c r="X194" s="3">
        <v>0.62</v>
      </c>
      <c r="Y194" s="3">
        <v>0.39500000000000002</v>
      </c>
      <c r="Z194" s="3">
        <f>(Q194*V194+R194*W194)*(L194+0.7)*M194</f>
        <v>3721.0729999999999</v>
      </c>
      <c r="AA194" s="3">
        <f>X194*S194*M194*L194</f>
        <v>1013.08</v>
      </c>
      <c r="AB194" s="3">
        <f>Z194+AA194</f>
        <v>4734.1530000000002</v>
      </c>
    </row>
    <row r="195" spans="2:28" x14ac:dyDescent="0.3">
      <c r="B195" s="24">
        <v>4</v>
      </c>
      <c r="C195" s="23" t="s">
        <v>99</v>
      </c>
      <c r="D195" s="18">
        <f>O190</f>
        <v>8.2000000000000011</v>
      </c>
      <c r="E195" s="19" t="s">
        <v>225</v>
      </c>
      <c r="F195" s="20">
        <f>AHSP!$H$171*1.03</f>
        <v>233192</v>
      </c>
      <c r="G195" s="21">
        <f t="shared" si="107"/>
        <v>1912174.4000000001</v>
      </c>
      <c r="I195" s="4" t="s">
        <v>122</v>
      </c>
      <c r="J195" s="3">
        <v>0.45</v>
      </c>
      <c r="K195" s="3">
        <v>0.65</v>
      </c>
      <c r="L195" s="3">
        <v>7.8</v>
      </c>
      <c r="M195" s="3">
        <v>8</v>
      </c>
      <c r="N195" s="3">
        <f t="shared" ref="N195" si="108">(J195+2*(K195-0.13))*L195*M195</f>
        <v>92.975999999999999</v>
      </c>
      <c r="O195" s="3">
        <f t="shared" ref="O195" si="109">J195*(K195-0.13)*L195*M195</f>
        <v>14.601600000000001</v>
      </c>
      <c r="Q195" s="3">
        <v>7</v>
      </c>
      <c r="R195" s="3">
        <v>12</v>
      </c>
      <c r="S195" s="3">
        <f>2.15/0.15</f>
        <v>14.333333333333334</v>
      </c>
      <c r="V195" s="3">
        <v>1.58</v>
      </c>
      <c r="W195" s="3">
        <v>2.23</v>
      </c>
      <c r="X195" s="3">
        <v>0.62</v>
      </c>
      <c r="Y195" s="3">
        <v>0.39500000000000002</v>
      </c>
      <c r="Z195" s="3">
        <f>(Q195*V195+R195*W195)*(L195+0.7)*M195</f>
        <v>2571.7600000000002</v>
      </c>
      <c r="AA195" s="3">
        <f>X195*S195*M195*L195</f>
        <v>554.52800000000002</v>
      </c>
      <c r="AB195" s="3">
        <f>Z195+AA195</f>
        <v>3126.2880000000005</v>
      </c>
    </row>
    <row r="196" spans="2:28" x14ac:dyDescent="0.3">
      <c r="B196" s="24">
        <v>5</v>
      </c>
      <c r="C196" s="23" t="s">
        <v>100</v>
      </c>
      <c r="D196" s="18">
        <f>O191</f>
        <v>73.800000000000011</v>
      </c>
      <c r="E196" s="19" t="s">
        <v>225</v>
      </c>
      <c r="F196" s="20">
        <f>AHSP!$H$171*1.03</f>
        <v>233192</v>
      </c>
      <c r="G196" s="21">
        <f t="shared" si="107"/>
        <v>17209569.600000001</v>
      </c>
      <c r="N196" s="5">
        <f>SUM(N194:N195)</f>
        <v>262.83600000000001</v>
      </c>
      <c r="O196" s="5">
        <f>SUM(O194:O195)</f>
        <v>41.277600000000007</v>
      </c>
      <c r="AB196" s="5">
        <f>SUM(AB194:AB195)</f>
        <v>7860.4410000000007</v>
      </c>
    </row>
    <row r="197" spans="2:28" x14ac:dyDescent="0.3">
      <c r="B197" s="22" t="s">
        <v>31</v>
      </c>
      <c r="C197" s="23" t="s">
        <v>111</v>
      </c>
      <c r="E197" s="19"/>
      <c r="G197" s="21"/>
      <c r="I197" s="4" t="s">
        <v>143</v>
      </c>
      <c r="J197" s="3">
        <v>0.45</v>
      </c>
      <c r="K197" s="3">
        <v>0.6</v>
      </c>
      <c r="L197" s="3">
        <f>L194</f>
        <v>57</v>
      </c>
      <c r="M197" s="3">
        <v>2</v>
      </c>
      <c r="N197" s="3">
        <f>(J197+2*(K197-0.13))*L197*M197</f>
        <v>158.45999999999998</v>
      </c>
      <c r="O197" s="3">
        <f>J197*(K197-0.13)*L197*M197</f>
        <v>24.111000000000001</v>
      </c>
      <c r="Q197" s="3">
        <v>7</v>
      </c>
      <c r="R197" s="3">
        <v>9</v>
      </c>
      <c r="S197" s="3">
        <f>2/0.15</f>
        <v>13.333333333333334</v>
      </c>
      <c r="V197" s="3">
        <v>1.58</v>
      </c>
      <c r="W197" s="3">
        <v>2.23</v>
      </c>
      <c r="X197" s="3">
        <v>0.62</v>
      </c>
      <c r="Y197" s="3">
        <v>0.39500000000000002</v>
      </c>
      <c r="Z197" s="3">
        <f t="shared" ref="Z197:Z200" si="110">(Q197*V197+R197*W197)*(L197+0.7)*M197</f>
        <v>3592.4020000000005</v>
      </c>
      <c r="AA197" s="3">
        <f>X197*S197*M197*L197</f>
        <v>942.40000000000009</v>
      </c>
      <c r="AB197" s="3">
        <f t="shared" ref="AB197:AB198" si="111">Z197+AA197</f>
        <v>4534.8020000000006</v>
      </c>
    </row>
    <row r="198" spans="2:28" x14ac:dyDescent="0.3">
      <c r="B198" s="24">
        <v>1</v>
      </c>
      <c r="C198" s="23" t="s">
        <v>88</v>
      </c>
      <c r="D198" s="18">
        <f>AA187</f>
        <v>9024.910351999999</v>
      </c>
      <c r="E198" s="19" t="s">
        <v>65</v>
      </c>
      <c r="F198" s="20">
        <f>F101</f>
        <v>19300</v>
      </c>
      <c r="G198" s="21">
        <f t="shared" ref="G198:G201" si="112">D198*F198</f>
        <v>174180769.79359999</v>
      </c>
      <c r="I198" s="4" t="s">
        <v>143</v>
      </c>
      <c r="J198" s="3">
        <v>0.45</v>
      </c>
      <c r="K198" s="3">
        <v>0.6</v>
      </c>
      <c r="L198" s="3">
        <v>8.5</v>
      </c>
      <c r="M198" s="3">
        <v>5</v>
      </c>
      <c r="N198" s="3">
        <f t="shared" ref="N198:N200" si="113">(J198+2*(K198-0.13))*L198*M198</f>
        <v>59.074999999999996</v>
      </c>
      <c r="O198" s="3">
        <f t="shared" ref="O198:O200" si="114">J198*(K198-0.13)*L198*M198</f>
        <v>8.9887499999999996</v>
      </c>
      <c r="Q198" s="3">
        <v>7</v>
      </c>
      <c r="R198" s="3">
        <v>9</v>
      </c>
      <c r="S198" s="3">
        <f t="shared" ref="S198:S200" si="115">2/0.15</f>
        <v>13.333333333333334</v>
      </c>
      <c r="V198" s="3">
        <v>1.58</v>
      </c>
      <c r="W198" s="3">
        <v>2.23</v>
      </c>
      <c r="X198" s="3">
        <v>0.62</v>
      </c>
      <c r="Y198" s="3">
        <v>0.39500000000000002</v>
      </c>
      <c r="Z198" s="3">
        <f t="shared" si="110"/>
        <v>1431.98</v>
      </c>
      <c r="AA198" s="3">
        <f>X198*S198*M198*L198</f>
        <v>351.33333333333337</v>
      </c>
      <c r="AB198" s="3">
        <f t="shared" si="111"/>
        <v>1783.3133333333335</v>
      </c>
    </row>
    <row r="199" spans="2:28" x14ac:dyDescent="0.3">
      <c r="B199" s="24">
        <v>2</v>
      </c>
      <c r="C199" s="23" t="s">
        <v>89</v>
      </c>
      <c r="D199" s="18">
        <f>AA188</f>
        <v>6535.7726233333333</v>
      </c>
      <c r="E199" s="19" t="s">
        <v>65</v>
      </c>
      <c r="F199" s="20">
        <f t="shared" ref="F199:F202" si="116">F102</f>
        <v>19300</v>
      </c>
      <c r="G199" s="21">
        <f t="shared" si="112"/>
        <v>126140411.63033333</v>
      </c>
      <c r="I199" s="4" t="s">
        <v>143</v>
      </c>
      <c r="J199" s="3">
        <v>0.45</v>
      </c>
      <c r="K199" s="3">
        <v>0.6</v>
      </c>
      <c r="L199" s="3">
        <v>5.9</v>
      </c>
      <c r="M199" s="3">
        <v>14</v>
      </c>
      <c r="N199" s="3">
        <f t="shared" si="113"/>
        <v>114.81400000000001</v>
      </c>
      <c r="O199" s="3">
        <f t="shared" si="114"/>
        <v>17.469900000000003</v>
      </c>
      <c r="Q199" s="3">
        <v>7</v>
      </c>
      <c r="R199" s="3">
        <v>9</v>
      </c>
      <c r="S199" s="3">
        <f t="shared" si="115"/>
        <v>13.333333333333334</v>
      </c>
      <c r="V199" s="3">
        <v>1.58</v>
      </c>
      <c r="W199" s="3">
        <v>2.23</v>
      </c>
      <c r="X199" s="3">
        <v>0.62</v>
      </c>
      <c r="Y199" s="3">
        <v>0.39500000000000002</v>
      </c>
      <c r="Z199" s="3">
        <f t="shared" si="110"/>
        <v>2876.4120000000003</v>
      </c>
      <c r="AA199" s="3">
        <f>X199*S199*M199*L199</f>
        <v>682.82666666666682</v>
      </c>
      <c r="AB199" s="3">
        <f>Z199+AA199</f>
        <v>3559.2386666666671</v>
      </c>
    </row>
    <row r="200" spans="2:28" x14ac:dyDescent="0.3">
      <c r="B200" s="24">
        <v>3</v>
      </c>
      <c r="C200" s="23" t="s">
        <v>90</v>
      </c>
      <c r="D200" s="18">
        <f>AA189</f>
        <v>228.30057583333331</v>
      </c>
      <c r="E200" s="19" t="s">
        <v>65</v>
      </c>
      <c r="F200" s="20">
        <f t="shared" si="116"/>
        <v>19300</v>
      </c>
      <c r="G200" s="21">
        <f t="shared" si="112"/>
        <v>4406201.1135833329</v>
      </c>
      <c r="I200" s="4" t="s">
        <v>143</v>
      </c>
      <c r="J200" s="3">
        <v>0.45</v>
      </c>
      <c r="K200" s="3">
        <v>0.6</v>
      </c>
      <c r="L200" s="3">
        <v>3</v>
      </c>
      <c r="M200" s="3">
        <v>1</v>
      </c>
      <c r="N200" s="3">
        <f t="shared" si="113"/>
        <v>4.17</v>
      </c>
      <c r="O200" s="3">
        <f t="shared" si="114"/>
        <v>0.63449999999999995</v>
      </c>
      <c r="Q200" s="3">
        <v>7</v>
      </c>
      <c r="R200" s="3">
        <v>9</v>
      </c>
      <c r="S200" s="3">
        <f t="shared" si="115"/>
        <v>13.333333333333334</v>
      </c>
      <c r="V200" s="3">
        <v>1.58</v>
      </c>
      <c r="W200" s="3">
        <v>2.23</v>
      </c>
      <c r="X200" s="3">
        <v>0.62</v>
      </c>
      <c r="Y200" s="3">
        <v>0.39500000000000002</v>
      </c>
      <c r="Z200" s="3">
        <f t="shared" si="110"/>
        <v>115.18100000000001</v>
      </c>
      <c r="AA200" s="3">
        <f>X200*S200*M200*L200</f>
        <v>24.800000000000004</v>
      </c>
      <c r="AB200" s="3">
        <f>Z200+AA200</f>
        <v>139.98100000000002</v>
      </c>
    </row>
    <row r="201" spans="2:28" x14ac:dyDescent="0.3">
      <c r="B201" s="24">
        <v>4</v>
      </c>
      <c r="C201" s="23" t="s">
        <v>99</v>
      </c>
      <c r="D201" s="18">
        <f>AA190</f>
        <v>207.93091958333332</v>
      </c>
      <c r="E201" s="19" t="s">
        <v>65</v>
      </c>
      <c r="F201" s="20">
        <f t="shared" si="116"/>
        <v>19300</v>
      </c>
      <c r="G201" s="21">
        <f t="shared" si="112"/>
        <v>4013066.7479583332</v>
      </c>
      <c r="N201" s="5">
        <f>SUM(N197:N200)</f>
        <v>336.51900000000001</v>
      </c>
      <c r="O201" s="5">
        <f>SUM(O197:O200)</f>
        <v>51.204150000000006</v>
      </c>
      <c r="AB201" s="5">
        <f>SUM(AB197:AB200)</f>
        <v>10017.335000000001</v>
      </c>
    </row>
    <row r="202" spans="2:28" x14ac:dyDescent="0.3">
      <c r="B202" s="24">
        <v>5</v>
      </c>
      <c r="C202" s="23" t="s">
        <v>100</v>
      </c>
      <c r="D202" s="18">
        <f>AA191</f>
        <v>1861.4392591666665</v>
      </c>
      <c r="E202" s="19" t="s">
        <v>65</v>
      </c>
      <c r="F202" s="20">
        <f t="shared" si="116"/>
        <v>19300</v>
      </c>
      <c r="G202" s="21"/>
      <c r="I202" s="4" t="s">
        <v>124</v>
      </c>
      <c r="J202" s="3">
        <v>0.35</v>
      </c>
      <c r="K202" s="3">
        <v>0.6</v>
      </c>
      <c r="L202" s="3">
        <v>7.8</v>
      </c>
      <c r="M202" s="3">
        <v>6</v>
      </c>
      <c r="N202" s="5">
        <f>(J202+2*(K202-0.13))*L202*M202</f>
        <v>60.372</v>
      </c>
      <c r="O202" s="5">
        <f>J202*(K202-0.13)*L202*M202</f>
        <v>7.698599999999999</v>
      </c>
      <c r="P202" s="3">
        <v>4</v>
      </c>
      <c r="Q202" s="3">
        <f>(8+2/2)</f>
        <v>9</v>
      </c>
      <c r="S202" s="3">
        <f>1.85/0.15</f>
        <v>12.333333333333334</v>
      </c>
      <c r="U202" s="3">
        <v>1.04</v>
      </c>
      <c r="V202" s="3">
        <v>1.58</v>
      </c>
      <c r="W202" s="3">
        <v>2.23</v>
      </c>
      <c r="X202" s="3">
        <v>0.62</v>
      </c>
      <c r="Y202" s="3">
        <v>0.39500000000000002</v>
      </c>
      <c r="Z202" s="3">
        <f>(Q202*M202*V202+P202*M202*U202)*(L202+0.4)</f>
        <v>904.29599999999994</v>
      </c>
      <c r="AA202" s="3">
        <f>X202*S202*M202*L202</f>
        <v>357.86400000000003</v>
      </c>
      <c r="AB202" s="5">
        <f>Z202+AA202</f>
        <v>1262.1599999999999</v>
      </c>
    </row>
    <row r="203" spans="2:28" x14ac:dyDescent="0.3">
      <c r="B203" s="22" t="s">
        <v>34</v>
      </c>
      <c r="C203" s="23" t="s">
        <v>70</v>
      </c>
      <c r="E203" s="19"/>
      <c r="G203" s="21"/>
      <c r="I203" s="4" t="s">
        <v>125</v>
      </c>
      <c r="J203" s="3">
        <v>0.3</v>
      </c>
      <c r="K203" s="3">
        <v>0.5</v>
      </c>
      <c r="L203" s="3">
        <v>2.35</v>
      </c>
      <c r="M203" s="3">
        <v>6</v>
      </c>
      <c r="N203" s="3">
        <f>(J203+2*(K203-0.13))*L203*M203</f>
        <v>14.664000000000001</v>
      </c>
      <c r="O203" s="3">
        <f>J203*(K203-0.13)*L203*M203</f>
        <v>1.5651000000000002</v>
      </c>
      <c r="P203" s="3">
        <v>2</v>
      </c>
      <c r="Q203" s="7">
        <v>8</v>
      </c>
      <c r="S203" s="3">
        <f>1.55/0.15</f>
        <v>10.333333333333334</v>
      </c>
      <c r="U203" s="3">
        <v>1.04</v>
      </c>
      <c r="V203" s="3">
        <v>1.58</v>
      </c>
      <c r="W203" s="3">
        <v>2.23</v>
      </c>
      <c r="X203" s="3">
        <v>0.62</v>
      </c>
      <c r="Y203" s="3">
        <v>0.39500000000000002</v>
      </c>
      <c r="Z203" s="3">
        <f t="shared" ref="Z203:Z205" si="117">(Q203*M203*V203+P203*M203*U203)*(L203+0.4)</f>
        <v>242.88000000000002</v>
      </c>
      <c r="AA203" s="3">
        <f t="shared" ref="AA203:AA205" si="118">X203*S203*M203*L203</f>
        <v>90.334000000000017</v>
      </c>
      <c r="AB203" s="3">
        <f t="shared" ref="AB203:AB205" si="119">Z203+AA203</f>
        <v>333.21400000000006</v>
      </c>
    </row>
    <row r="204" spans="2:28" x14ac:dyDescent="0.3">
      <c r="B204" s="24">
        <v>1</v>
      </c>
      <c r="C204" s="23" t="s">
        <v>88</v>
      </c>
      <c r="D204" s="18">
        <f>P187</f>
        <v>48.216000000000001</v>
      </c>
      <c r="E204" s="19" t="s">
        <v>224</v>
      </c>
      <c r="F204" s="20">
        <f>F44</f>
        <v>1382600</v>
      </c>
      <c r="G204" s="21">
        <f t="shared" ref="G204:G208" si="120">D204*F204</f>
        <v>66663441.600000001</v>
      </c>
      <c r="J204" s="3">
        <v>0.3</v>
      </c>
      <c r="K204" s="3">
        <v>0.5</v>
      </c>
      <c r="L204" s="3">
        <v>5</v>
      </c>
      <c r="M204" s="3">
        <v>1</v>
      </c>
      <c r="N204" s="3">
        <f t="shared" ref="N204:N205" si="121">(J204+2*(K204-0.13))*L204*M204</f>
        <v>5.2</v>
      </c>
      <c r="O204" s="3">
        <f t="shared" ref="O204:O205" si="122">J204*(K204-0.13)*L204*M204</f>
        <v>0.55500000000000005</v>
      </c>
      <c r="P204" s="3">
        <v>2</v>
      </c>
      <c r="Q204" s="7">
        <v>8</v>
      </c>
      <c r="S204" s="3">
        <f t="shared" ref="S204:S205" si="123">1.55/0.15</f>
        <v>10.333333333333334</v>
      </c>
      <c r="U204" s="3">
        <v>1.04</v>
      </c>
      <c r="V204" s="3">
        <v>1.58</v>
      </c>
      <c r="W204" s="3">
        <v>2.23</v>
      </c>
      <c r="X204" s="3">
        <v>0.62</v>
      </c>
      <c r="Y204" s="3">
        <v>0.39500000000000002</v>
      </c>
      <c r="Z204" s="3">
        <f t="shared" si="117"/>
        <v>79.488000000000014</v>
      </c>
      <c r="AA204" s="3">
        <f t="shared" si="118"/>
        <v>32.033333333333339</v>
      </c>
      <c r="AB204" s="3">
        <f t="shared" si="119"/>
        <v>111.52133333333336</v>
      </c>
    </row>
    <row r="205" spans="2:28" x14ac:dyDescent="0.3">
      <c r="B205" s="24">
        <v>2</v>
      </c>
      <c r="C205" s="23" t="s">
        <v>89</v>
      </c>
      <c r="D205" s="18">
        <f>P188</f>
        <v>34.64500000000001</v>
      </c>
      <c r="E205" s="19" t="s">
        <v>224</v>
      </c>
      <c r="F205" s="20">
        <f t="shared" ref="F205:F208" si="124">F45</f>
        <v>1382600</v>
      </c>
      <c r="G205" s="21">
        <f t="shared" si="120"/>
        <v>47900177.000000015</v>
      </c>
      <c r="J205" s="3">
        <v>0.3</v>
      </c>
      <c r="K205" s="3">
        <v>0.5</v>
      </c>
      <c r="L205" s="3">
        <v>14.7</v>
      </c>
      <c r="M205" s="3">
        <v>1</v>
      </c>
      <c r="N205" s="3">
        <f t="shared" si="121"/>
        <v>15.288</v>
      </c>
      <c r="O205" s="3">
        <f t="shared" si="122"/>
        <v>1.6316999999999999</v>
      </c>
      <c r="P205" s="3">
        <v>2</v>
      </c>
      <c r="Q205" s="7">
        <v>8</v>
      </c>
      <c r="S205" s="3">
        <f t="shared" si="123"/>
        <v>10.333333333333334</v>
      </c>
      <c r="U205" s="3">
        <v>1.04</v>
      </c>
      <c r="V205" s="3">
        <v>1.58</v>
      </c>
      <c r="W205" s="3">
        <v>2.23</v>
      </c>
      <c r="X205" s="3">
        <v>0.62</v>
      </c>
      <c r="Y205" s="3">
        <v>0.39500000000000002</v>
      </c>
      <c r="Z205" s="3">
        <f t="shared" si="117"/>
        <v>222.27199999999999</v>
      </c>
      <c r="AA205" s="3">
        <f t="shared" si="118"/>
        <v>94.177999999999997</v>
      </c>
      <c r="AB205" s="3">
        <f t="shared" si="119"/>
        <v>316.45</v>
      </c>
    </row>
    <row r="206" spans="2:28" x14ac:dyDescent="0.3">
      <c r="B206" s="24">
        <v>3</v>
      </c>
      <c r="C206" s="23" t="s">
        <v>90</v>
      </c>
      <c r="D206" s="18">
        <f>P189</f>
        <v>1.0250000000000001</v>
      </c>
      <c r="E206" s="19" t="s">
        <v>224</v>
      </c>
      <c r="F206" s="20">
        <f t="shared" si="124"/>
        <v>1382600</v>
      </c>
      <c r="G206" s="21">
        <f t="shared" si="120"/>
        <v>1417165.0000000002</v>
      </c>
      <c r="N206" s="5">
        <f>SUM(N203:N205)</f>
        <v>35.152000000000001</v>
      </c>
      <c r="O206" s="5">
        <f>SUM(O203:O205)</f>
        <v>3.7518000000000002</v>
      </c>
      <c r="AB206" s="5">
        <f>SUM(AB203:AB205)</f>
        <v>761.18533333333335</v>
      </c>
    </row>
    <row r="207" spans="2:28" x14ac:dyDescent="0.3">
      <c r="B207" s="24">
        <v>4</v>
      </c>
      <c r="C207" s="23" t="s">
        <v>99</v>
      </c>
      <c r="D207" s="18">
        <f>P190</f>
        <v>0.9840000000000001</v>
      </c>
      <c r="E207" s="19" t="s">
        <v>224</v>
      </c>
      <c r="F207" s="20">
        <f t="shared" si="124"/>
        <v>1382600</v>
      </c>
      <c r="G207" s="21">
        <f t="shared" si="120"/>
        <v>1360478.4000000001</v>
      </c>
      <c r="I207" s="8" t="s">
        <v>166</v>
      </c>
      <c r="J207" s="3">
        <v>0.3</v>
      </c>
      <c r="K207" s="3">
        <v>0.5</v>
      </c>
      <c r="L207" s="3">
        <v>5.9</v>
      </c>
      <c r="M207" s="3">
        <v>17</v>
      </c>
      <c r="N207" s="3">
        <f>(J207+2*(K207-0.13))*L207*M207</f>
        <v>104.31200000000001</v>
      </c>
      <c r="O207" s="3">
        <f>J207*(K207-0.13)*L207*M207</f>
        <v>11.1333</v>
      </c>
      <c r="P207" s="3">
        <v>2</v>
      </c>
      <c r="Q207" s="3">
        <v>8</v>
      </c>
      <c r="S207" s="3">
        <f>1.45/0.15</f>
        <v>9.6666666666666661</v>
      </c>
      <c r="U207" s="3">
        <v>1.04</v>
      </c>
      <c r="V207" s="3">
        <v>1.58</v>
      </c>
      <c r="W207" s="3">
        <v>2.23</v>
      </c>
      <c r="X207" s="3">
        <v>0.62</v>
      </c>
      <c r="Y207" s="3">
        <v>0.39500000000000002</v>
      </c>
      <c r="Z207" s="3">
        <f>(Q207*M207*V207+P207*M207*U207)*(K207+0.4)</f>
        <v>225.21600000000001</v>
      </c>
      <c r="AA207" s="3">
        <f>X207*S207*M207*K207</f>
        <v>50.943333333333335</v>
      </c>
      <c r="AB207" s="3">
        <f>Z207+AA207</f>
        <v>276.15933333333334</v>
      </c>
    </row>
    <row r="208" spans="2:28" x14ac:dyDescent="0.3">
      <c r="B208" s="24">
        <v>5</v>
      </c>
      <c r="C208" s="23" t="s">
        <v>100</v>
      </c>
      <c r="D208" s="18">
        <f>P191</f>
        <v>8.2000000000000011</v>
      </c>
      <c r="E208" s="19" t="s">
        <v>224</v>
      </c>
      <c r="F208" s="20">
        <f t="shared" si="124"/>
        <v>1382600</v>
      </c>
      <c r="G208" s="21">
        <f t="shared" si="120"/>
        <v>11337320.000000002</v>
      </c>
      <c r="I208" s="8"/>
    </row>
    <row r="209" spans="2:28" x14ac:dyDescent="0.3">
      <c r="B209" s="22"/>
      <c r="C209" s="23"/>
      <c r="E209" s="19"/>
      <c r="F209" s="25" t="s">
        <v>237</v>
      </c>
      <c r="G209" s="26">
        <f>SUM(G191:G208)</f>
        <v>572418543.92547512</v>
      </c>
      <c r="N209" s="5"/>
      <c r="O209" s="5"/>
      <c r="AB209" s="5"/>
    </row>
    <row r="210" spans="2:28" x14ac:dyDescent="0.3">
      <c r="B210" s="24"/>
      <c r="C210" s="23"/>
      <c r="E210" s="19"/>
      <c r="G210" s="21"/>
      <c r="I210" s="4" t="s">
        <v>145</v>
      </c>
      <c r="J210" s="3">
        <v>0.3</v>
      </c>
      <c r="K210" s="3">
        <v>0.4</v>
      </c>
      <c r="L210" s="3">
        <f>8.65+6.35</f>
        <v>15</v>
      </c>
      <c r="M210" s="3">
        <v>1</v>
      </c>
      <c r="N210" s="5">
        <f t="shared" ref="N210:N215" si="125">(J210+2*(K210-0.13))*L210*M210</f>
        <v>12.600000000000001</v>
      </c>
      <c r="O210" s="5">
        <f t="shared" ref="O210:O215" si="126">J210*(K210-0.13)*L210*M210</f>
        <v>1.2150000000000001</v>
      </c>
      <c r="Q210" s="3">
        <v>7</v>
      </c>
      <c r="S210" s="3">
        <f>1.35/0.15</f>
        <v>9.0000000000000018</v>
      </c>
      <c r="U210" s="3">
        <v>1.04</v>
      </c>
      <c r="V210" s="3">
        <v>1.58</v>
      </c>
      <c r="W210" s="3">
        <v>2.23</v>
      </c>
      <c r="X210" s="3">
        <v>0.62</v>
      </c>
      <c r="Y210" s="3">
        <v>0.39500000000000002</v>
      </c>
      <c r="Z210" s="3">
        <f t="shared" ref="Z210" si="127">(Q210*M210*V210+P210*M210*U210)*(L210+0.4)</f>
        <v>170.32400000000001</v>
      </c>
      <c r="AA210" s="3">
        <f>X210*S210*M210*L210</f>
        <v>83.700000000000017</v>
      </c>
      <c r="AB210" s="3">
        <f>Z210+AA210</f>
        <v>254.02400000000003</v>
      </c>
    </row>
    <row r="211" spans="2:28" x14ac:dyDescent="0.3">
      <c r="B211" s="16" t="s">
        <v>151</v>
      </c>
      <c r="C211" s="17" t="s">
        <v>154</v>
      </c>
      <c r="E211" s="19"/>
      <c r="G211" s="21"/>
      <c r="I211" s="4" t="s">
        <v>172</v>
      </c>
      <c r="J211" s="3">
        <v>0.3</v>
      </c>
      <c r="K211" s="3">
        <v>0.6</v>
      </c>
      <c r="L211" s="3">
        <v>7.8</v>
      </c>
      <c r="M211" s="3">
        <v>1</v>
      </c>
      <c r="N211" s="5">
        <f t="shared" si="125"/>
        <v>9.6720000000000006</v>
      </c>
      <c r="O211" s="5">
        <f t="shared" si="126"/>
        <v>1.0997999999999999</v>
      </c>
      <c r="Q211" s="3">
        <v>10</v>
      </c>
      <c r="S211" s="3">
        <f>1.65/0.15</f>
        <v>11</v>
      </c>
      <c r="U211" s="3">
        <v>1.04</v>
      </c>
      <c r="V211" s="3">
        <v>1.58</v>
      </c>
      <c r="W211" s="3">
        <v>2.23</v>
      </c>
      <c r="X211" s="3">
        <v>0.62</v>
      </c>
      <c r="Y211" s="3">
        <v>0.39500000000000002</v>
      </c>
      <c r="Z211" s="3">
        <f>(Q211*V211+P211*U211)*L211*M211</f>
        <v>123.24000000000001</v>
      </c>
      <c r="AA211" s="3">
        <f>X211*S211*M211*L211</f>
        <v>53.195999999999998</v>
      </c>
      <c r="AB211" s="5">
        <f t="shared" ref="AB211" si="128">Z211+AA211</f>
        <v>176.43600000000001</v>
      </c>
    </row>
    <row r="212" spans="2:28" x14ac:dyDescent="0.3">
      <c r="B212" s="22" t="s">
        <v>16</v>
      </c>
      <c r="C212" s="23" t="s">
        <v>75</v>
      </c>
      <c r="E212" s="19"/>
      <c r="G212" s="21"/>
      <c r="I212" s="4" t="s">
        <v>144</v>
      </c>
      <c r="J212" s="3">
        <v>0.25</v>
      </c>
      <c r="K212" s="3">
        <v>0.5</v>
      </c>
      <c r="L212" s="3">
        <v>5.9</v>
      </c>
      <c r="M212" s="3">
        <v>2</v>
      </c>
      <c r="N212" s="5">
        <f t="shared" si="125"/>
        <v>11.682</v>
      </c>
      <c r="O212" s="5">
        <f t="shared" si="126"/>
        <v>1.0915000000000001</v>
      </c>
      <c r="Q212" s="3">
        <v>8</v>
      </c>
      <c r="S212" s="3">
        <f>1.65/0.15</f>
        <v>11</v>
      </c>
      <c r="U212" s="3">
        <v>1.04</v>
      </c>
      <c r="V212" s="3">
        <v>1.58</v>
      </c>
      <c r="W212" s="3">
        <v>2.23</v>
      </c>
      <c r="X212" s="3">
        <v>0.62</v>
      </c>
      <c r="Y212" s="3">
        <v>0.39500000000000002</v>
      </c>
      <c r="Z212" s="3">
        <f t="shared" ref="Z212" si="129">(Q212*V212+P212*U212)*L212*M212</f>
        <v>149.15200000000002</v>
      </c>
      <c r="AA212" s="3">
        <f t="shared" ref="AA212" si="130">X212*S212*M212*L212</f>
        <v>80.476000000000013</v>
      </c>
      <c r="AB212" s="5">
        <f t="shared" ref="AB212" si="131">Z212+AA212</f>
        <v>229.62800000000004</v>
      </c>
    </row>
    <row r="213" spans="2:28" x14ac:dyDescent="0.3">
      <c r="B213" s="24">
        <v>1</v>
      </c>
      <c r="C213" s="23" t="s">
        <v>116</v>
      </c>
      <c r="D213" s="18">
        <f t="shared" ref="D213:D221" si="132">D152</f>
        <v>262.83600000000001</v>
      </c>
      <c r="E213" s="19" t="s">
        <v>225</v>
      </c>
      <c r="F213" s="20">
        <f>AHSP!$H$193*1.03</f>
        <v>245758</v>
      </c>
      <c r="G213" s="21">
        <f t="shared" ref="G213:G221" si="133">D213*F213</f>
        <v>64594049.688000001</v>
      </c>
      <c r="I213" s="4" t="s">
        <v>126</v>
      </c>
      <c r="J213" s="3">
        <v>0.25</v>
      </c>
      <c r="K213" s="3">
        <v>0.4</v>
      </c>
      <c r="L213" s="3">
        <v>23.55</v>
      </c>
      <c r="M213" s="3">
        <v>2</v>
      </c>
      <c r="N213" s="3">
        <f t="shared" si="125"/>
        <v>37.209000000000003</v>
      </c>
      <c r="O213" s="3">
        <f t="shared" si="126"/>
        <v>3.1792500000000001</v>
      </c>
      <c r="Q213" s="3">
        <f>5+1/2</f>
        <v>5.5</v>
      </c>
      <c r="T213" s="3">
        <f>1.25/0.15</f>
        <v>8.3333333333333339</v>
      </c>
      <c r="U213" s="3">
        <v>1.04</v>
      </c>
      <c r="V213" s="3">
        <v>1.58</v>
      </c>
      <c r="W213" s="3">
        <v>2.23</v>
      </c>
      <c r="X213" s="3">
        <v>0.62</v>
      </c>
      <c r="Y213" s="3">
        <v>0.39500000000000002</v>
      </c>
      <c r="Z213" s="3">
        <f>(Q213*V213+P213*U213)*L213*M213</f>
        <v>409.29900000000009</v>
      </c>
      <c r="AA213" s="3">
        <f>X213*T213*M213*L213</f>
        <v>243.35000000000002</v>
      </c>
      <c r="AB213" s="3">
        <f>Z213+AA213</f>
        <v>652.64900000000011</v>
      </c>
    </row>
    <row r="214" spans="2:28" x14ac:dyDescent="0.3">
      <c r="B214" s="24">
        <v>2</v>
      </c>
      <c r="C214" s="23" t="s">
        <v>146</v>
      </c>
      <c r="D214" s="18">
        <f t="shared" si="132"/>
        <v>336.51900000000001</v>
      </c>
      <c r="E214" s="19" t="s">
        <v>225</v>
      </c>
      <c r="F214" s="20">
        <f>AHSP!$H$193*1.03</f>
        <v>245758</v>
      </c>
      <c r="G214" s="21">
        <f t="shared" si="133"/>
        <v>82702236.401999995</v>
      </c>
      <c r="I214" s="4" t="s">
        <v>126</v>
      </c>
      <c r="J214" s="3">
        <v>0.25</v>
      </c>
      <c r="K214" s="3">
        <v>0.4</v>
      </c>
      <c r="L214" s="3">
        <v>3.1</v>
      </c>
      <c r="M214" s="3">
        <v>2</v>
      </c>
      <c r="N214" s="3">
        <f t="shared" si="125"/>
        <v>4.8980000000000006</v>
      </c>
      <c r="O214" s="3">
        <f t="shared" si="126"/>
        <v>0.41850000000000004</v>
      </c>
      <c r="Q214" s="3">
        <v>5.5</v>
      </c>
      <c r="T214" s="3">
        <f>1.25/0.15</f>
        <v>8.3333333333333339</v>
      </c>
      <c r="U214" s="3">
        <v>1.04</v>
      </c>
      <c r="V214" s="3">
        <v>1.58</v>
      </c>
      <c r="W214" s="3">
        <v>2.23</v>
      </c>
      <c r="X214" s="3">
        <v>0.62</v>
      </c>
      <c r="Y214" s="3">
        <v>0.39500000000000002</v>
      </c>
      <c r="Z214" s="3">
        <f>(Q214*V214+P214*U214)*L214*M214</f>
        <v>53.878000000000007</v>
      </c>
      <c r="AA214" s="3">
        <f>X214*T214*M214*L214</f>
        <v>32.033333333333339</v>
      </c>
      <c r="AB214" s="3">
        <f>Z214+AA214</f>
        <v>85.911333333333346</v>
      </c>
    </row>
    <row r="215" spans="2:28" x14ac:dyDescent="0.3">
      <c r="B215" s="24">
        <v>3</v>
      </c>
      <c r="C215" s="23" t="s">
        <v>118</v>
      </c>
      <c r="D215" s="18">
        <f t="shared" si="132"/>
        <v>60.372</v>
      </c>
      <c r="E215" s="19" t="s">
        <v>225</v>
      </c>
      <c r="F215" s="20">
        <f>AHSP!$H$193*1.03</f>
        <v>245758</v>
      </c>
      <c r="G215" s="21">
        <f t="shared" si="133"/>
        <v>14836901.976</v>
      </c>
      <c r="I215" s="4" t="s">
        <v>126</v>
      </c>
      <c r="J215" s="3">
        <v>0.25</v>
      </c>
      <c r="K215" s="3">
        <v>0.4</v>
      </c>
      <c r="L215" s="3">
        <v>4.4000000000000004</v>
      </c>
      <c r="M215" s="3">
        <v>1</v>
      </c>
      <c r="N215" s="3">
        <f t="shared" si="125"/>
        <v>3.4760000000000004</v>
      </c>
      <c r="O215" s="3">
        <f t="shared" si="126"/>
        <v>0.29700000000000004</v>
      </c>
      <c r="Q215" s="3">
        <v>5.5</v>
      </c>
      <c r="T215" s="3">
        <f>1.25/0.15</f>
        <v>8.3333333333333339</v>
      </c>
      <c r="U215" s="3">
        <v>1.04</v>
      </c>
      <c r="V215" s="3">
        <v>1.58</v>
      </c>
      <c r="W215" s="3">
        <v>2.23</v>
      </c>
      <c r="X215" s="3">
        <v>0.62</v>
      </c>
      <c r="Y215" s="3">
        <v>0.39500000000000002</v>
      </c>
      <c r="Z215" s="3">
        <f>(Q215*V215+P215*U215)*L215*M215</f>
        <v>38.236000000000011</v>
      </c>
      <c r="AA215" s="3">
        <f>X215*T215*M215*L215</f>
        <v>22.733333333333338</v>
      </c>
      <c r="AB215" s="3">
        <f>Z215+AA215</f>
        <v>60.969333333333353</v>
      </c>
    </row>
    <row r="216" spans="2:28" x14ac:dyDescent="0.3">
      <c r="B216" s="24">
        <v>4</v>
      </c>
      <c r="C216" s="23" t="s">
        <v>119</v>
      </c>
      <c r="D216" s="18">
        <f t="shared" si="132"/>
        <v>47.424000000000007</v>
      </c>
      <c r="E216" s="19" t="s">
        <v>225</v>
      </c>
      <c r="F216" s="20">
        <f>AHSP!$H$193*1.03</f>
        <v>245758</v>
      </c>
      <c r="G216" s="21">
        <f t="shared" si="133"/>
        <v>11654827.392000001</v>
      </c>
      <c r="N216" s="5">
        <f>SUM(N213:N215)</f>
        <v>45.583000000000006</v>
      </c>
      <c r="O216" s="5">
        <f>SUM(O213:O215)</f>
        <v>3.8947500000000002</v>
      </c>
      <c r="AB216" s="5">
        <f>SUM(AB213:AB215)</f>
        <v>799.5296666666668</v>
      </c>
    </row>
    <row r="217" spans="2:28" x14ac:dyDescent="0.3">
      <c r="B217" s="24">
        <v>5</v>
      </c>
      <c r="C217" s="23" t="s">
        <v>167</v>
      </c>
      <c r="D217" s="18">
        <f t="shared" si="132"/>
        <v>104.31200000000001</v>
      </c>
      <c r="E217" s="19" t="s">
        <v>225</v>
      </c>
      <c r="F217" s="20">
        <f>AHSP!$H$193*1.03</f>
        <v>245758</v>
      </c>
      <c r="G217" s="21">
        <f t="shared" si="133"/>
        <v>25635508.496000003</v>
      </c>
    </row>
    <row r="218" spans="2:28" x14ac:dyDescent="0.3">
      <c r="B218" s="24">
        <v>6</v>
      </c>
      <c r="C218" s="23" t="s">
        <v>147</v>
      </c>
      <c r="D218" s="18">
        <f t="shared" si="132"/>
        <v>17.808</v>
      </c>
      <c r="E218" s="19" t="s">
        <v>225</v>
      </c>
      <c r="F218" s="20">
        <f>AHSP!$H$193*1.03</f>
        <v>245758</v>
      </c>
      <c r="G218" s="21">
        <f t="shared" si="133"/>
        <v>4376458.4639999997</v>
      </c>
    </row>
    <row r="219" spans="2:28" x14ac:dyDescent="0.3">
      <c r="B219" s="24">
        <v>7</v>
      </c>
      <c r="C219" s="23" t="s">
        <v>173</v>
      </c>
      <c r="D219" s="18">
        <f t="shared" si="132"/>
        <v>9.6720000000000006</v>
      </c>
      <c r="E219" s="19" t="s">
        <v>225</v>
      </c>
      <c r="F219" s="20">
        <f>AHSP!$H$193*1.03</f>
        <v>245758</v>
      </c>
      <c r="G219" s="21">
        <f t="shared" si="133"/>
        <v>2376971.3760000002</v>
      </c>
    </row>
    <row r="220" spans="2:28" x14ac:dyDescent="0.3">
      <c r="B220" s="24">
        <v>8</v>
      </c>
      <c r="C220" s="23" t="s">
        <v>170</v>
      </c>
      <c r="D220" s="18">
        <f t="shared" si="132"/>
        <v>9.0239999999999991</v>
      </c>
      <c r="E220" s="19" t="s">
        <v>225</v>
      </c>
      <c r="F220" s="20">
        <f>AHSP!$H$193*1.03</f>
        <v>245758</v>
      </c>
      <c r="G220" s="21">
        <f t="shared" si="133"/>
        <v>2217720.1919999998</v>
      </c>
    </row>
    <row r="221" spans="2:28" x14ac:dyDescent="0.3">
      <c r="B221" s="24">
        <v>9</v>
      </c>
      <c r="C221" s="23" t="s">
        <v>120</v>
      </c>
      <c r="D221" s="18">
        <f t="shared" si="132"/>
        <v>45.583000000000006</v>
      </c>
      <c r="E221" s="19" t="s">
        <v>225</v>
      </c>
      <c r="F221" s="20">
        <f>AHSP!$H$193*1.03</f>
        <v>245758</v>
      </c>
      <c r="G221" s="21">
        <f t="shared" si="133"/>
        <v>11202386.914000001</v>
      </c>
    </row>
    <row r="222" spans="2:28" x14ac:dyDescent="0.3">
      <c r="B222" s="22" t="s">
        <v>31</v>
      </c>
      <c r="C222" s="23" t="s">
        <v>111</v>
      </c>
      <c r="E222" s="19"/>
      <c r="G222" s="21"/>
      <c r="L222" s="3" t="s">
        <v>7</v>
      </c>
      <c r="M222" s="3" t="s">
        <v>8</v>
      </c>
      <c r="N222" s="3" t="s">
        <v>134</v>
      </c>
      <c r="P222" s="3" t="s">
        <v>7</v>
      </c>
      <c r="Q222" s="3" t="s">
        <v>8</v>
      </c>
      <c r="S222" s="3" t="s">
        <v>103</v>
      </c>
    </row>
    <row r="223" spans="2:28" x14ac:dyDescent="0.3">
      <c r="B223" s="24">
        <v>1</v>
      </c>
      <c r="C223" s="23" t="s">
        <v>116</v>
      </c>
      <c r="D223" s="18">
        <f t="shared" ref="D223:D231" si="134">D162</f>
        <v>7860.4410000000007</v>
      </c>
      <c r="E223" s="19" t="s">
        <v>65</v>
      </c>
      <c r="F223" s="20">
        <f>AHSP!$H$67*1.03</f>
        <v>19879</v>
      </c>
      <c r="G223" s="21">
        <f t="shared" ref="G223:G231" si="135">D223*F223</f>
        <v>156257706.63900003</v>
      </c>
      <c r="K223" s="3" t="s">
        <v>133</v>
      </c>
      <c r="L223" s="3">
        <v>20.3</v>
      </c>
      <c r="M223" s="3">
        <v>56.95</v>
      </c>
      <c r="N223" s="3">
        <v>0.13500000000000001</v>
      </c>
      <c r="O223" s="3" t="s">
        <v>135</v>
      </c>
      <c r="P223" s="3">
        <v>2.625</v>
      </c>
      <c r="Q223" s="3">
        <v>3.55</v>
      </c>
      <c r="R223" s="3">
        <f>Q223*P223</f>
        <v>9.3187499999999996</v>
      </c>
    </row>
    <row r="224" spans="2:28" x14ac:dyDescent="0.3">
      <c r="B224" s="24">
        <v>2</v>
      </c>
      <c r="C224" s="23" t="s">
        <v>146</v>
      </c>
      <c r="D224" s="18">
        <f t="shared" si="134"/>
        <v>10017.335000000001</v>
      </c>
      <c r="E224" s="19" t="s">
        <v>65</v>
      </c>
      <c r="F224" s="20">
        <f>AHSP!$H$67*1.03</f>
        <v>19879</v>
      </c>
      <c r="G224" s="21">
        <f t="shared" si="135"/>
        <v>199134602.46500003</v>
      </c>
      <c r="P224" s="3">
        <v>4.125</v>
      </c>
      <c r="Q224" s="3">
        <v>1.925</v>
      </c>
      <c r="R224" s="3">
        <f t="shared" ref="R224:R228" si="136">Q224*P224</f>
        <v>7.9406249999999998</v>
      </c>
    </row>
    <row r="225" spans="2:27" x14ac:dyDescent="0.3">
      <c r="B225" s="24">
        <v>3</v>
      </c>
      <c r="C225" s="23" t="s">
        <v>118</v>
      </c>
      <c r="D225" s="18">
        <f t="shared" si="134"/>
        <v>1262.1599999999999</v>
      </c>
      <c r="E225" s="19" t="s">
        <v>65</v>
      </c>
      <c r="F225" s="20">
        <f>AHSP!$H$67*1.03</f>
        <v>19879</v>
      </c>
      <c r="G225" s="21">
        <f t="shared" si="135"/>
        <v>25090478.639999997</v>
      </c>
      <c r="P225" s="3">
        <v>11.5</v>
      </c>
      <c r="Q225" s="3">
        <v>3.2250000000000001</v>
      </c>
      <c r="R225" s="3">
        <f t="shared" si="136"/>
        <v>37.087499999999999</v>
      </c>
    </row>
    <row r="226" spans="2:27" x14ac:dyDescent="0.3">
      <c r="B226" s="24">
        <v>4</v>
      </c>
      <c r="C226" s="23" t="s">
        <v>119</v>
      </c>
      <c r="D226" s="18">
        <f t="shared" si="134"/>
        <v>990.81333333333339</v>
      </c>
      <c r="E226" s="19" t="s">
        <v>65</v>
      </c>
      <c r="F226" s="20">
        <f>AHSP!$H$67*1.03</f>
        <v>19879</v>
      </c>
      <c r="G226" s="21">
        <f t="shared" si="135"/>
        <v>19696378.253333334</v>
      </c>
      <c r="P226" s="3">
        <v>3.125</v>
      </c>
      <c r="Q226" s="3">
        <v>1.4750000000000001</v>
      </c>
      <c r="R226" s="3">
        <f t="shared" si="136"/>
        <v>4.609375</v>
      </c>
    </row>
    <row r="227" spans="2:27" x14ac:dyDescent="0.3">
      <c r="B227" s="24">
        <v>5</v>
      </c>
      <c r="C227" s="23" t="s">
        <v>167</v>
      </c>
      <c r="D227" s="18">
        <f t="shared" si="134"/>
        <v>2177.6433333333334</v>
      </c>
      <c r="E227" s="19" t="s">
        <v>65</v>
      </c>
      <c r="F227" s="20">
        <f>AHSP!$H$67*1.03</f>
        <v>19879</v>
      </c>
      <c r="G227" s="21">
        <f t="shared" si="135"/>
        <v>43289371.823333338</v>
      </c>
      <c r="P227" s="3">
        <v>2.9750000000000001</v>
      </c>
      <c r="Q227" s="3">
        <v>1.425</v>
      </c>
      <c r="R227" s="3">
        <f t="shared" si="136"/>
        <v>4.2393749999999999</v>
      </c>
      <c r="V227" s="3" t="s">
        <v>108</v>
      </c>
      <c r="W227" s="3" t="s">
        <v>109</v>
      </c>
      <c r="X227" s="3" t="s">
        <v>109</v>
      </c>
    </row>
    <row r="228" spans="2:27" x14ac:dyDescent="0.3">
      <c r="B228" s="24">
        <v>6</v>
      </c>
      <c r="C228" s="23" t="s">
        <v>147</v>
      </c>
      <c r="D228" s="18">
        <f t="shared" si="134"/>
        <v>357.19200000000001</v>
      </c>
      <c r="E228" s="19" t="s">
        <v>65</v>
      </c>
      <c r="F228" s="20">
        <f>AHSP!$H$67*1.03</f>
        <v>19879</v>
      </c>
      <c r="G228" s="21">
        <f t="shared" si="135"/>
        <v>7100619.7680000002</v>
      </c>
      <c r="P228" s="3">
        <v>3.6749999999999998</v>
      </c>
      <c r="Q228" s="3">
        <v>2.1</v>
      </c>
      <c r="R228" s="3">
        <f t="shared" si="136"/>
        <v>7.7175000000000002</v>
      </c>
      <c r="V228" s="3" t="s">
        <v>51</v>
      </c>
      <c r="W228" s="3" t="s">
        <v>51</v>
      </c>
      <c r="X228" s="3" t="s">
        <v>50</v>
      </c>
    </row>
    <row r="229" spans="2:27" x14ac:dyDescent="0.3">
      <c r="B229" s="24">
        <v>7</v>
      </c>
      <c r="C229" s="23" t="s">
        <v>173</v>
      </c>
      <c r="D229" s="18">
        <f t="shared" si="134"/>
        <v>176.43600000000001</v>
      </c>
      <c r="E229" s="19" t="s">
        <v>65</v>
      </c>
      <c r="F229" s="20">
        <f>AHSP!$H$67*1.03</f>
        <v>19879</v>
      </c>
      <c r="G229" s="21">
        <f t="shared" si="135"/>
        <v>3507371.2439999999</v>
      </c>
      <c r="N229" s="3">
        <f>M223*L223</f>
        <v>1156.085</v>
      </c>
      <c r="R229" s="3">
        <f>SUM(R223:R228)</f>
        <v>70.913124999999994</v>
      </c>
      <c r="S229" s="5">
        <f>(N229-R229)</f>
        <v>1085.171875</v>
      </c>
      <c r="U229" s="3" t="s">
        <v>160</v>
      </c>
      <c r="V229" s="3">
        <f>2.35/0.125</f>
        <v>18.8</v>
      </c>
      <c r="W229" s="3">
        <f>0.75*2/0.1/2</f>
        <v>7.5</v>
      </c>
      <c r="X229" s="3">
        <f>0.75*4/0.3+0.75*2/0.2</f>
        <v>17.5</v>
      </c>
    </row>
    <row r="230" spans="2:27" x14ac:dyDescent="0.3">
      <c r="B230" s="24">
        <v>8</v>
      </c>
      <c r="C230" s="23" t="s">
        <v>170</v>
      </c>
      <c r="D230" s="18">
        <f t="shared" si="134"/>
        <v>184.96800000000002</v>
      </c>
      <c r="E230" s="19" t="s">
        <v>65</v>
      </c>
      <c r="F230" s="20">
        <f>AHSP!$H$67*1.03</f>
        <v>19879</v>
      </c>
      <c r="G230" s="21">
        <f t="shared" si="135"/>
        <v>3676978.8720000004</v>
      </c>
      <c r="M230" s="3" t="s">
        <v>106</v>
      </c>
      <c r="U230" s="3" t="s">
        <v>161</v>
      </c>
      <c r="V230" s="3">
        <f>2.15/0.125</f>
        <v>17.2</v>
      </c>
      <c r="W230" s="3">
        <f>0.7*2/0.2</f>
        <v>6.9999999999999991</v>
      </c>
      <c r="X230" s="3">
        <f>0.7*4/0.3+0.7*2/0.2</f>
        <v>16.333333333333332</v>
      </c>
    </row>
    <row r="231" spans="2:27" x14ac:dyDescent="0.3">
      <c r="B231" s="24">
        <v>9</v>
      </c>
      <c r="C231" s="23" t="s">
        <v>120</v>
      </c>
      <c r="D231" s="18">
        <f t="shared" si="134"/>
        <v>799.5296666666668</v>
      </c>
      <c r="E231" s="19" t="s">
        <v>65</v>
      </c>
      <c r="F231" s="20">
        <f>AHSP!$H$67*1.03</f>
        <v>19879</v>
      </c>
      <c r="G231" s="21">
        <f t="shared" si="135"/>
        <v>15893850.243666669</v>
      </c>
      <c r="K231" s="3" t="s">
        <v>137</v>
      </c>
      <c r="L231" s="3">
        <f>S229/0.25*3*1.1</f>
        <v>14324.268750000001</v>
      </c>
      <c r="M231" s="3">
        <v>0.62</v>
      </c>
      <c r="N231" s="5">
        <f>M231*L231*2</f>
        <v>17762.093250000002</v>
      </c>
      <c r="U231" s="3" t="s">
        <v>94</v>
      </c>
      <c r="V231" s="3">
        <f>1.75/0.125</f>
        <v>14</v>
      </c>
      <c r="W231" s="3">
        <f>0.65*2/0.2</f>
        <v>6.5</v>
      </c>
      <c r="X231" s="3">
        <f>0.65*4/0.3+0.65*2/0.2</f>
        <v>15.166666666666668</v>
      </c>
    </row>
    <row r="232" spans="2:27" x14ac:dyDescent="0.3">
      <c r="B232" s="22" t="s">
        <v>34</v>
      </c>
      <c r="C232" s="23" t="s">
        <v>70</v>
      </c>
      <c r="E232" s="19"/>
      <c r="G232" s="21"/>
      <c r="K232" s="3" t="s">
        <v>80</v>
      </c>
      <c r="L232" s="5">
        <f>S229*N223</f>
        <v>146.498203125</v>
      </c>
      <c r="U232" s="3" t="s">
        <v>95</v>
      </c>
      <c r="V232" s="3">
        <f>1.75/0.125</f>
        <v>14</v>
      </c>
      <c r="W232" s="3">
        <f>0.65*2/0.2</f>
        <v>6.5</v>
      </c>
      <c r="X232" s="3">
        <f>0.75*1/0.3+0.55*2/0.3+0.55*1/0.2</f>
        <v>8.9166666666666679</v>
      </c>
    </row>
    <row r="233" spans="2:27" x14ac:dyDescent="0.3">
      <c r="B233" s="24">
        <v>1</v>
      </c>
      <c r="C233" s="23" t="s">
        <v>116</v>
      </c>
      <c r="D233" s="18">
        <f t="shared" ref="D233:D241" si="137">D172</f>
        <v>41.277600000000007</v>
      </c>
      <c r="E233" s="19" t="s">
        <v>224</v>
      </c>
      <c r="F233" s="20">
        <f>AHSP!$H$107</f>
        <v>1382600</v>
      </c>
      <c r="G233" s="21">
        <f t="shared" ref="G233:G241" si="138">D233*F233</f>
        <v>57070409.760000013</v>
      </c>
      <c r="U233" s="3" t="s">
        <v>96</v>
      </c>
      <c r="V233" s="3">
        <f>1.55/0.125</f>
        <v>12.4</v>
      </c>
      <c r="W233" s="3">
        <f>0.55*2/0.2</f>
        <v>5.5</v>
      </c>
      <c r="X233" s="3">
        <f>0.65*1/0.3+0.55*2/0.3+0.55*1/0.2</f>
        <v>8.5833333333333339</v>
      </c>
    </row>
    <row r="234" spans="2:27" x14ac:dyDescent="0.3">
      <c r="B234" s="24">
        <v>2</v>
      </c>
      <c r="C234" s="23" t="s">
        <v>146</v>
      </c>
      <c r="D234" s="18">
        <f t="shared" si="137"/>
        <v>51.204150000000006</v>
      </c>
      <c r="E234" s="19" t="s">
        <v>224</v>
      </c>
      <c r="F234" s="20">
        <f>AHSP!$H$107</f>
        <v>1382600</v>
      </c>
      <c r="G234" s="21">
        <f t="shared" si="138"/>
        <v>70794857.790000007</v>
      </c>
    </row>
    <row r="235" spans="2:27" x14ac:dyDescent="0.3">
      <c r="B235" s="24">
        <v>3</v>
      </c>
      <c r="C235" s="23" t="s">
        <v>118</v>
      </c>
      <c r="D235" s="18">
        <f t="shared" si="137"/>
        <v>7.698599999999999</v>
      </c>
      <c r="E235" s="19" t="s">
        <v>224</v>
      </c>
      <c r="F235" s="20">
        <f>AHSP!$H$107</f>
        <v>1382600</v>
      </c>
      <c r="G235" s="21">
        <f t="shared" si="138"/>
        <v>10644084.359999999</v>
      </c>
    </row>
    <row r="236" spans="2:27" x14ac:dyDescent="0.3">
      <c r="B236" s="24">
        <v>4</v>
      </c>
      <c r="C236" s="23" t="s">
        <v>119</v>
      </c>
      <c r="D236" s="18">
        <f t="shared" si="137"/>
        <v>5.0616000000000003</v>
      </c>
      <c r="E236" s="19" t="s">
        <v>224</v>
      </c>
      <c r="F236" s="20">
        <f>AHSP!$H$107</f>
        <v>1382600</v>
      </c>
      <c r="G236" s="21">
        <f t="shared" si="138"/>
        <v>6998168.1600000001</v>
      </c>
      <c r="I236" s="3" t="s">
        <v>91</v>
      </c>
      <c r="K236" s="3" t="s">
        <v>21</v>
      </c>
      <c r="L236" s="3" t="s">
        <v>7</v>
      </c>
      <c r="M236" s="3" t="s">
        <v>8</v>
      </c>
      <c r="N236" s="3" t="s">
        <v>71</v>
      </c>
      <c r="O236" s="3" t="s">
        <v>103</v>
      </c>
      <c r="P236" s="3" t="s">
        <v>30</v>
      </c>
      <c r="Q236" s="3" t="s">
        <v>71</v>
      </c>
      <c r="R236" s="3" t="s">
        <v>49</v>
      </c>
      <c r="S236" s="3" t="s">
        <v>48</v>
      </c>
      <c r="T236" s="3" t="s">
        <v>51</v>
      </c>
      <c r="U236" s="3" t="s">
        <v>50</v>
      </c>
      <c r="V236" s="3" t="s">
        <v>104</v>
      </c>
      <c r="W236" s="3" t="s">
        <v>105</v>
      </c>
      <c r="X236" s="3" t="s">
        <v>106</v>
      </c>
      <c r="Y236" s="3" t="s">
        <v>107</v>
      </c>
      <c r="Z236" s="3" t="s">
        <v>110</v>
      </c>
      <c r="AA236" s="3" t="s">
        <v>30</v>
      </c>
    </row>
    <row r="237" spans="2:27" x14ac:dyDescent="0.3">
      <c r="B237" s="24">
        <v>5</v>
      </c>
      <c r="C237" s="23" t="s">
        <v>167</v>
      </c>
      <c r="D237" s="18">
        <f t="shared" si="137"/>
        <v>11.1333</v>
      </c>
      <c r="E237" s="19" t="s">
        <v>224</v>
      </c>
      <c r="F237" s="20">
        <f>AHSP!$H$107</f>
        <v>1382600</v>
      </c>
      <c r="G237" s="21">
        <f t="shared" si="138"/>
        <v>15392900.58</v>
      </c>
      <c r="J237" s="3" t="s">
        <v>160</v>
      </c>
      <c r="K237" s="3">
        <v>24</v>
      </c>
      <c r="L237" s="3">
        <v>0.6</v>
      </c>
      <c r="M237" s="3">
        <v>0.6</v>
      </c>
      <c r="N237" s="3">
        <v>3.35</v>
      </c>
      <c r="O237" s="3">
        <f>K237*(L237+M237)*2*(N237-0.6)</f>
        <v>158.39999999999998</v>
      </c>
      <c r="P237" s="3">
        <f>K237*L237*M237*(N237-0.6)</f>
        <v>23.759999999999998</v>
      </c>
      <c r="Q237" s="3">
        <v>3.35</v>
      </c>
      <c r="S237" s="3">
        <v>28</v>
      </c>
      <c r="T237" s="3">
        <f>V229+W229</f>
        <v>26.3</v>
      </c>
      <c r="U237" s="3">
        <f>X229</f>
        <v>17.5</v>
      </c>
      <c r="V237" s="3">
        <v>1.58</v>
      </c>
      <c r="W237" s="3">
        <v>2.23</v>
      </c>
      <c r="X237" s="3">
        <v>0.62</v>
      </c>
      <c r="Y237" s="3">
        <v>0.39500000000000002</v>
      </c>
      <c r="Z237" s="3">
        <f>S237*(Q237)+W237*Q237*(T237*X237+U237*Y237)</f>
        <v>267.25380425000003</v>
      </c>
      <c r="AA237" s="3">
        <f>Z237*K237</f>
        <v>6414.0913020000007</v>
      </c>
    </row>
    <row r="238" spans="2:27" x14ac:dyDescent="0.3">
      <c r="B238" s="24">
        <v>6</v>
      </c>
      <c r="C238" s="23" t="s">
        <v>147</v>
      </c>
      <c r="D238" s="18">
        <f t="shared" si="137"/>
        <v>1.7172000000000001</v>
      </c>
      <c r="E238" s="19" t="s">
        <v>224</v>
      </c>
      <c r="F238" s="20">
        <f>AHSP!$H$107</f>
        <v>1382600</v>
      </c>
      <c r="G238" s="21">
        <f t="shared" si="138"/>
        <v>2374200.7200000002</v>
      </c>
      <c r="J238" s="3" t="s">
        <v>161</v>
      </c>
      <c r="K238" s="3">
        <v>20</v>
      </c>
      <c r="L238" s="3">
        <v>0.55000000000000004</v>
      </c>
      <c r="M238" s="3">
        <v>0.55000000000000004</v>
      </c>
      <c r="N238" s="3">
        <f>N237</f>
        <v>3.35</v>
      </c>
      <c r="O238" s="3">
        <f t="shared" ref="O238:O241" si="139">K238*(L238+M238)*2*(N238-0.6)</f>
        <v>121</v>
      </c>
      <c r="P238" s="3">
        <f t="shared" ref="P238:P241" si="140">K238*L238*M238*(N238-0.6)</f>
        <v>16.637500000000003</v>
      </c>
      <c r="Q238" s="3">
        <f>Q237</f>
        <v>3.35</v>
      </c>
      <c r="S238" s="3">
        <v>24</v>
      </c>
      <c r="T238" s="3">
        <f t="shared" ref="T238:T241" si="141">V230+W230</f>
        <v>24.2</v>
      </c>
      <c r="U238" s="3">
        <f t="shared" ref="U238:U241" si="142">X230</f>
        <v>16.333333333333332</v>
      </c>
      <c r="V238" s="3">
        <v>1.58</v>
      </c>
      <c r="W238" s="3">
        <v>2.23</v>
      </c>
      <c r="X238" s="3">
        <v>0.62</v>
      </c>
      <c r="Y238" s="3">
        <v>0.39500000000000002</v>
      </c>
      <c r="Z238" s="3">
        <f t="shared" ref="Z238:Z241" si="143">S238*(Q238)+W238*Q238*(T238*X238+U238*Y238)</f>
        <v>240.68455783333334</v>
      </c>
      <c r="AA238" s="3">
        <f t="shared" ref="AA238:AA241" si="144">Z238*K238</f>
        <v>4813.6911566666668</v>
      </c>
    </row>
    <row r="239" spans="2:27" x14ac:dyDescent="0.3">
      <c r="B239" s="24">
        <v>7</v>
      </c>
      <c r="C239" s="23" t="s">
        <v>173</v>
      </c>
      <c r="D239" s="18">
        <f t="shared" si="137"/>
        <v>1.0997999999999999</v>
      </c>
      <c r="E239" s="19" t="s">
        <v>224</v>
      </c>
      <c r="F239" s="20">
        <f>AHSP!$H$107</f>
        <v>1382600</v>
      </c>
      <c r="G239" s="21">
        <f t="shared" si="138"/>
        <v>1520583.4799999997</v>
      </c>
      <c r="J239" s="3" t="s">
        <v>94</v>
      </c>
      <c r="K239" s="3">
        <v>1</v>
      </c>
      <c r="L239" s="3">
        <v>0.5</v>
      </c>
      <c r="M239" s="3">
        <v>0.5</v>
      </c>
      <c r="N239" s="3">
        <f t="shared" ref="N239:N241" si="145">N238</f>
        <v>3.35</v>
      </c>
      <c r="O239" s="3">
        <f t="shared" si="139"/>
        <v>5.5</v>
      </c>
      <c r="P239" s="3">
        <f t="shared" si="140"/>
        <v>0.6875</v>
      </c>
      <c r="Q239" s="3">
        <f t="shared" ref="Q239:Q241" si="146">Q238</f>
        <v>3.35</v>
      </c>
      <c r="S239" s="3">
        <v>20</v>
      </c>
      <c r="T239" s="3">
        <f t="shared" si="141"/>
        <v>20.5</v>
      </c>
      <c r="U239" s="3">
        <f t="shared" si="142"/>
        <v>15.166666666666668</v>
      </c>
      <c r="V239" s="3">
        <v>1.58</v>
      </c>
      <c r="W239" s="3">
        <v>2.23</v>
      </c>
      <c r="X239" s="3">
        <v>0.62</v>
      </c>
      <c r="Y239" s="3">
        <v>0.39500000000000002</v>
      </c>
      <c r="Z239" s="3">
        <f t="shared" si="143"/>
        <v>206.70457541666667</v>
      </c>
      <c r="AA239" s="3">
        <f t="shared" si="144"/>
        <v>206.70457541666667</v>
      </c>
    </row>
    <row r="240" spans="2:27" x14ac:dyDescent="0.3">
      <c r="B240" s="24">
        <v>8</v>
      </c>
      <c r="C240" s="23" t="s">
        <v>170</v>
      </c>
      <c r="D240" s="18">
        <f t="shared" si="137"/>
        <v>0.92159999999999997</v>
      </c>
      <c r="E240" s="19" t="s">
        <v>224</v>
      </c>
      <c r="F240" s="20">
        <f>AHSP!$H$107</f>
        <v>1382600</v>
      </c>
      <c r="G240" s="21">
        <f t="shared" si="138"/>
        <v>1274204.1599999999</v>
      </c>
      <c r="J240" s="3" t="s">
        <v>95</v>
      </c>
      <c r="K240" s="3">
        <v>1</v>
      </c>
      <c r="L240" s="3">
        <v>0.4</v>
      </c>
      <c r="M240" s="3">
        <v>0.6</v>
      </c>
      <c r="N240" s="3">
        <f t="shared" si="145"/>
        <v>3.35</v>
      </c>
      <c r="O240" s="3">
        <f t="shared" si="139"/>
        <v>5.5</v>
      </c>
      <c r="P240" s="3">
        <f t="shared" si="140"/>
        <v>0.65999999999999992</v>
      </c>
      <c r="Q240" s="3">
        <f t="shared" si="146"/>
        <v>3.35</v>
      </c>
      <c r="S240" s="3">
        <v>20</v>
      </c>
      <c r="T240" s="3">
        <f t="shared" si="141"/>
        <v>20.5</v>
      </c>
      <c r="U240" s="3">
        <f t="shared" si="142"/>
        <v>8.9166666666666679</v>
      </c>
      <c r="V240" s="3">
        <v>1.58</v>
      </c>
      <c r="W240" s="3">
        <v>2.23</v>
      </c>
      <c r="X240" s="3">
        <v>0.62</v>
      </c>
      <c r="Y240" s="3">
        <v>0.39500000000000002</v>
      </c>
      <c r="Z240" s="3">
        <f t="shared" si="143"/>
        <v>188.26177854166667</v>
      </c>
      <c r="AA240" s="3">
        <f t="shared" si="144"/>
        <v>188.26177854166667</v>
      </c>
    </row>
    <row r="241" spans="2:28" x14ac:dyDescent="0.3">
      <c r="B241" s="24">
        <v>9</v>
      </c>
      <c r="C241" s="23" t="s">
        <v>120</v>
      </c>
      <c r="D241" s="18">
        <f t="shared" si="137"/>
        <v>3.8947500000000002</v>
      </c>
      <c r="E241" s="19" t="s">
        <v>224</v>
      </c>
      <c r="F241" s="20">
        <f>AHSP!$H$107</f>
        <v>1382600</v>
      </c>
      <c r="G241" s="21">
        <f t="shared" si="138"/>
        <v>5384881.3500000006</v>
      </c>
      <c r="J241" s="3" t="s">
        <v>96</v>
      </c>
      <c r="K241" s="3">
        <v>10</v>
      </c>
      <c r="L241" s="3">
        <v>0.4</v>
      </c>
      <c r="M241" s="3">
        <v>0.5</v>
      </c>
      <c r="N241" s="3">
        <f t="shared" si="145"/>
        <v>3.35</v>
      </c>
      <c r="O241" s="3">
        <f t="shared" si="139"/>
        <v>49.5</v>
      </c>
      <c r="P241" s="3">
        <f t="shared" si="140"/>
        <v>5.5</v>
      </c>
      <c r="Q241" s="3">
        <f t="shared" si="146"/>
        <v>3.35</v>
      </c>
      <c r="S241" s="3">
        <v>18</v>
      </c>
      <c r="T241" s="3">
        <f t="shared" si="141"/>
        <v>17.899999999999999</v>
      </c>
      <c r="U241" s="3">
        <f t="shared" si="142"/>
        <v>8.5833333333333339</v>
      </c>
      <c r="V241" s="3">
        <v>1.58</v>
      </c>
      <c r="W241" s="3">
        <v>2.23</v>
      </c>
      <c r="X241" s="3">
        <v>0.62</v>
      </c>
      <c r="Y241" s="3">
        <v>0.39500000000000002</v>
      </c>
      <c r="Z241" s="3">
        <f t="shared" si="143"/>
        <v>168.53571670833333</v>
      </c>
      <c r="AA241" s="3">
        <f t="shared" si="144"/>
        <v>1685.3571670833333</v>
      </c>
    </row>
    <row r="242" spans="2:28" x14ac:dyDescent="0.3">
      <c r="B242" s="22"/>
      <c r="C242" s="23"/>
      <c r="E242" s="19"/>
      <c r="F242" s="25" t="s">
        <v>238</v>
      </c>
      <c r="G242" s="26">
        <f>SUM(G212:G241)</f>
        <v>864698709.20833337</v>
      </c>
    </row>
    <row r="243" spans="2:28" x14ac:dyDescent="0.3">
      <c r="B243" s="24"/>
      <c r="C243" s="23"/>
      <c r="E243" s="19"/>
      <c r="G243" s="21"/>
      <c r="J243" s="3" t="s">
        <v>8</v>
      </c>
      <c r="K243" s="3" t="s">
        <v>71</v>
      </c>
      <c r="L243" s="3" t="s">
        <v>7</v>
      </c>
      <c r="M243" s="3" t="s">
        <v>21</v>
      </c>
      <c r="N243" s="3" t="s">
        <v>128</v>
      </c>
      <c r="O243" s="3" t="s">
        <v>80</v>
      </c>
      <c r="P243" s="3" t="s">
        <v>52</v>
      </c>
      <c r="Q243" s="3" t="s">
        <v>49</v>
      </c>
      <c r="R243" s="3" t="s">
        <v>48</v>
      </c>
      <c r="S243" s="3" t="s">
        <v>51</v>
      </c>
      <c r="T243" s="3" t="s">
        <v>50</v>
      </c>
      <c r="U243" s="3" t="s">
        <v>131</v>
      </c>
      <c r="V243" s="3" t="s">
        <v>104</v>
      </c>
      <c r="W243" s="3" t="s">
        <v>105</v>
      </c>
      <c r="X243" s="3" t="s">
        <v>106</v>
      </c>
      <c r="Y243" s="3" t="s">
        <v>107</v>
      </c>
      <c r="Z243" s="3" t="s">
        <v>132</v>
      </c>
      <c r="AA243" s="3" t="s">
        <v>129</v>
      </c>
      <c r="AB243" s="3" t="s">
        <v>130</v>
      </c>
    </row>
    <row r="244" spans="2:28" x14ac:dyDescent="0.3">
      <c r="B244" s="16" t="s">
        <v>152</v>
      </c>
      <c r="C244" s="17" t="s">
        <v>155</v>
      </c>
      <c r="E244" s="19"/>
      <c r="G244" s="21"/>
      <c r="J244" s="3" t="s">
        <v>8</v>
      </c>
      <c r="K244" s="3" t="s">
        <v>71</v>
      </c>
      <c r="L244" s="3" t="s">
        <v>7</v>
      </c>
      <c r="M244" s="3" t="s">
        <v>21</v>
      </c>
      <c r="N244" s="3" t="s">
        <v>128</v>
      </c>
      <c r="O244" s="3" t="s">
        <v>80</v>
      </c>
      <c r="P244" s="3" t="s">
        <v>52</v>
      </c>
      <c r="Q244" s="3" t="s">
        <v>49</v>
      </c>
      <c r="R244" s="3" t="s">
        <v>48</v>
      </c>
      <c r="S244" s="3" t="s">
        <v>51</v>
      </c>
      <c r="T244" s="3" t="s">
        <v>50</v>
      </c>
      <c r="U244" s="3" t="s">
        <v>131</v>
      </c>
      <c r="V244" s="3" t="s">
        <v>104</v>
      </c>
      <c r="W244" s="3" t="s">
        <v>105</v>
      </c>
      <c r="X244" s="3" t="s">
        <v>106</v>
      </c>
      <c r="Y244" s="3" t="s">
        <v>107</v>
      </c>
      <c r="Z244" s="3" t="s">
        <v>132</v>
      </c>
      <c r="AA244" s="3" t="s">
        <v>129</v>
      </c>
      <c r="AB244" s="3" t="s">
        <v>130</v>
      </c>
    </row>
    <row r="245" spans="2:28" x14ac:dyDescent="0.3">
      <c r="B245" s="22">
        <v>1</v>
      </c>
      <c r="C245" s="23" t="s">
        <v>75</v>
      </c>
      <c r="D245" s="18">
        <f>D184</f>
        <v>1085.171875</v>
      </c>
      <c r="E245" s="19" t="s">
        <v>225</v>
      </c>
      <c r="F245" s="20">
        <f>AHSP!$H$215</f>
        <v>241200</v>
      </c>
      <c r="G245" s="21">
        <f t="shared" ref="G245:G248" si="147">D245*F245</f>
        <v>261743456.25</v>
      </c>
      <c r="I245" s="4" t="s">
        <v>122</v>
      </c>
      <c r="J245" s="3">
        <v>0.45</v>
      </c>
      <c r="K245" s="3">
        <v>0.65</v>
      </c>
      <c r="L245" s="3">
        <v>57</v>
      </c>
      <c r="M245" s="3">
        <v>2</v>
      </c>
      <c r="N245" s="3">
        <f>(J245+2*(K245-0.13))*L245*M245</f>
        <v>169.85999999999999</v>
      </c>
      <c r="O245" s="3">
        <f>J245*(K245-0.13)*L245*M245</f>
        <v>26.676000000000002</v>
      </c>
      <c r="Q245" s="3">
        <v>18</v>
      </c>
      <c r="R245" s="3">
        <v>0</v>
      </c>
      <c r="S245" s="3">
        <f>2.15/0.15</f>
        <v>14.333333333333334</v>
      </c>
      <c r="U245" s="3">
        <v>1.04</v>
      </c>
      <c r="V245" s="3">
        <v>1.58</v>
      </c>
      <c r="W245" s="3">
        <v>2.23</v>
      </c>
      <c r="X245" s="3">
        <v>0.62</v>
      </c>
      <c r="Y245" s="3">
        <v>0.39500000000000002</v>
      </c>
      <c r="Z245" s="3">
        <f>(Q245*V245+R245*W245)*(L245+0.7)*M245</f>
        <v>3281.9760000000001</v>
      </c>
      <c r="AA245" s="3">
        <f>X245*S245*M245*L245</f>
        <v>1013.08</v>
      </c>
      <c r="AB245" s="3">
        <f>Z245+AA245</f>
        <v>4295.0560000000005</v>
      </c>
    </row>
    <row r="246" spans="2:28" x14ac:dyDescent="0.3">
      <c r="B246" s="22">
        <v>2</v>
      </c>
      <c r="C246" s="23" t="s">
        <v>138</v>
      </c>
      <c r="D246" s="18">
        <f>D185</f>
        <v>1085.171875</v>
      </c>
      <c r="E246" s="19" t="s">
        <v>225</v>
      </c>
      <c r="G246" s="21">
        <f t="shared" si="147"/>
        <v>0</v>
      </c>
      <c r="I246" s="4" t="s">
        <v>122</v>
      </c>
      <c r="J246" s="3">
        <v>0.45</v>
      </c>
      <c r="K246" s="3">
        <v>0.65</v>
      </c>
      <c r="L246" s="3">
        <v>7.8</v>
      </c>
      <c r="M246" s="3">
        <v>8</v>
      </c>
      <c r="N246" s="3">
        <f t="shared" ref="N246" si="148">(J246+2*(K246-0.13))*L246*M246</f>
        <v>92.975999999999999</v>
      </c>
      <c r="O246" s="3">
        <f t="shared" ref="O246" si="149">J246*(K246-0.13)*L246*M246</f>
        <v>14.601600000000001</v>
      </c>
      <c r="Q246" s="3">
        <v>18.5</v>
      </c>
      <c r="R246" s="3">
        <v>0</v>
      </c>
      <c r="S246" s="3">
        <f>2.15/0.15</f>
        <v>14.333333333333334</v>
      </c>
      <c r="V246" s="3">
        <v>1.58</v>
      </c>
      <c r="W246" s="3">
        <v>2.23</v>
      </c>
      <c r="X246" s="3">
        <v>0.62</v>
      </c>
      <c r="Y246" s="3">
        <v>0.39500000000000002</v>
      </c>
      <c r="Z246" s="3">
        <f>(Q246*V246+R246*W246)*(L246+0.7)*M246</f>
        <v>1987.64</v>
      </c>
      <c r="AA246" s="3">
        <f>X246*S246*M246*L246</f>
        <v>554.52800000000002</v>
      </c>
      <c r="AB246" s="3">
        <f>Z246+AA246</f>
        <v>2542.1680000000001</v>
      </c>
    </row>
    <row r="247" spans="2:28" x14ac:dyDescent="0.3">
      <c r="B247" s="22">
        <v>3</v>
      </c>
      <c r="C247" s="23" t="s">
        <v>183</v>
      </c>
      <c r="D247" s="18">
        <f>D186</f>
        <v>18436.205249999999</v>
      </c>
      <c r="E247" s="19" t="s">
        <v>65</v>
      </c>
      <c r="F247" s="20">
        <f>AHSP!$H$67</f>
        <v>19300</v>
      </c>
      <c r="G247" s="21">
        <f t="shared" si="147"/>
        <v>355818761.32499999</v>
      </c>
      <c r="N247" s="5">
        <f>SUM(N245:N246)</f>
        <v>262.83600000000001</v>
      </c>
      <c r="O247" s="5">
        <f>SUM(O245:O246)</f>
        <v>41.277600000000007</v>
      </c>
      <c r="AB247" s="5">
        <f>SUM(AB245:AB246)</f>
        <v>6837.2240000000002</v>
      </c>
    </row>
    <row r="248" spans="2:28" x14ac:dyDescent="0.3">
      <c r="B248" s="22">
        <v>4</v>
      </c>
      <c r="C248" s="23" t="s">
        <v>70</v>
      </c>
      <c r="D248" s="18">
        <f>D187</f>
        <v>146.498203125</v>
      </c>
      <c r="E248" s="19" t="s">
        <v>224</v>
      </c>
      <c r="F248" s="20">
        <f>AHSP!$H$107</f>
        <v>1382600</v>
      </c>
      <c r="G248" s="21">
        <f t="shared" si="147"/>
        <v>202548415.640625</v>
      </c>
      <c r="I248" s="4" t="s">
        <v>174</v>
      </c>
      <c r="J248" s="3">
        <v>0.4</v>
      </c>
      <c r="K248" s="3">
        <v>0.6</v>
      </c>
      <c r="L248" s="3">
        <v>57</v>
      </c>
      <c r="M248" s="3">
        <v>2</v>
      </c>
      <c r="N248" s="5">
        <f>(J248+2*(K248-0.13))*L248*M248</f>
        <v>152.76</v>
      </c>
      <c r="O248" s="5">
        <f>J248*(K248-0.13)*L248*M248</f>
        <v>21.431999999999999</v>
      </c>
      <c r="Q248" s="3">
        <v>14</v>
      </c>
      <c r="S248" s="3">
        <f>1.95/0.15</f>
        <v>13</v>
      </c>
      <c r="U248" s="3">
        <v>1.04</v>
      </c>
      <c r="V248" s="3">
        <v>1.58</v>
      </c>
      <c r="W248" s="3">
        <v>2.23</v>
      </c>
      <c r="X248" s="3">
        <v>0.62</v>
      </c>
      <c r="Y248" s="3">
        <v>0.39500000000000002</v>
      </c>
      <c r="Z248" s="3">
        <f>(Q248*V248+R248*W248)*(L248+0.7)*M248</f>
        <v>2552.6480000000001</v>
      </c>
      <c r="AA248" s="3">
        <f>X248*S248*M248*L248</f>
        <v>918.84</v>
      </c>
      <c r="AB248" s="5">
        <f>Z248+AA248</f>
        <v>3471.4880000000003</v>
      </c>
    </row>
    <row r="249" spans="2:28" x14ac:dyDescent="0.3">
      <c r="B249" s="22"/>
      <c r="C249" s="23"/>
      <c r="E249" s="19"/>
      <c r="F249" s="25" t="s">
        <v>239</v>
      </c>
      <c r="G249" s="26">
        <f>SUM(G245:G248)</f>
        <v>820110633.21562505</v>
      </c>
      <c r="I249" s="8" t="s">
        <v>123</v>
      </c>
      <c r="J249" s="3">
        <v>0.35</v>
      </c>
      <c r="K249" s="3">
        <v>0.55000000000000004</v>
      </c>
      <c r="L249" s="3">
        <v>5.9</v>
      </c>
      <c r="M249" s="3">
        <v>20</v>
      </c>
      <c r="N249" s="3">
        <f>(J249+2*(K249-0.13))*L249*M249</f>
        <v>140.41999999999999</v>
      </c>
      <c r="O249" s="3">
        <f>J249*(K249-0.13)*L249*M249</f>
        <v>17.346</v>
      </c>
      <c r="Q249" s="3">
        <v>13.5</v>
      </c>
      <c r="S249" s="3">
        <f>1.75/0.15</f>
        <v>11.666666666666668</v>
      </c>
      <c r="V249" s="3">
        <v>1.58</v>
      </c>
      <c r="W249" s="3">
        <v>2.23</v>
      </c>
      <c r="X249" s="3">
        <v>0.62</v>
      </c>
      <c r="Y249" s="3">
        <v>0.39500000000000002</v>
      </c>
      <c r="Z249" s="3">
        <f>(Q249*V249+R249*W249)*(L249+0.7)*M249</f>
        <v>2815.5600000000004</v>
      </c>
      <c r="AA249" s="3">
        <f>X249*S249*M249*L249</f>
        <v>853.53333333333353</v>
      </c>
      <c r="AB249" s="3">
        <f>Z249+AA249</f>
        <v>3669.0933333333342</v>
      </c>
    </row>
    <row r="250" spans="2:28" x14ac:dyDescent="0.3">
      <c r="B250" s="22"/>
      <c r="C250" s="23"/>
      <c r="E250" s="19"/>
      <c r="G250" s="21"/>
      <c r="I250" s="8" t="s">
        <v>123</v>
      </c>
      <c r="J250" s="3">
        <v>0.35</v>
      </c>
      <c r="K250" s="3">
        <v>0.55000000000000004</v>
      </c>
      <c r="L250" s="3">
        <v>2.6</v>
      </c>
      <c r="M250" s="3">
        <v>7</v>
      </c>
      <c r="N250" s="3">
        <f>(J250+2*(K250-0.13))*L250*M250</f>
        <v>21.657999999999998</v>
      </c>
      <c r="O250" s="3">
        <f>J250*(K250-0.13)*L250*M250</f>
        <v>2.6753999999999998</v>
      </c>
      <c r="Q250" s="3">
        <v>13.5</v>
      </c>
      <c r="S250" s="3">
        <f>1.75/0.15</f>
        <v>11.666666666666668</v>
      </c>
      <c r="V250" s="3">
        <v>1.58</v>
      </c>
      <c r="W250" s="3">
        <v>2.23</v>
      </c>
      <c r="X250" s="3">
        <v>0.62</v>
      </c>
      <c r="Y250" s="3">
        <v>0.39500000000000002</v>
      </c>
      <c r="Z250" s="3">
        <f>(Q250*V250+R250*W250)*(L250+0.7)*M250</f>
        <v>492.72299999999996</v>
      </c>
      <c r="AA250" s="3">
        <f>X250*S250*M250*L250</f>
        <v>131.64666666666668</v>
      </c>
      <c r="AB250" s="3">
        <f>Z250+AA250</f>
        <v>624.3696666666666</v>
      </c>
    </row>
    <row r="251" spans="2:28" x14ac:dyDescent="0.3">
      <c r="B251" s="16" t="s">
        <v>156</v>
      </c>
      <c r="C251" s="17" t="s">
        <v>159</v>
      </c>
      <c r="E251" s="19"/>
      <c r="G251" s="21"/>
      <c r="N251" s="5">
        <f>SUM(N249:N250)</f>
        <v>162.07799999999997</v>
      </c>
      <c r="O251" s="5">
        <f>SUM(O249:O250)</f>
        <v>20.0214</v>
      </c>
      <c r="AB251" s="5">
        <f>SUM(AB249:AB250)</f>
        <v>4293.4630000000006</v>
      </c>
    </row>
    <row r="252" spans="2:28" x14ac:dyDescent="0.3">
      <c r="B252" s="22" t="s">
        <v>16</v>
      </c>
      <c r="C252" s="23" t="s">
        <v>75</v>
      </c>
      <c r="E252" s="19"/>
      <c r="G252" s="21"/>
      <c r="I252" s="4" t="s">
        <v>124</v>
      </c>
      <c r="J252" s="3">
        <v>0.35</v>
      </c>
      <c r="K252" s="3">
        <v>0.6</v>
      </c>
      <c r="L252" s="3">
        <v>7.8</v>
      </c>
      <c r="M252" s="3">
        <v>6</v>
      </c>
      <c r="N252" s="5">
        <f>(J252+2*(K252-0.13))*L252*M252</f>
        <v>60.372</v>
      </c>
      <c r="O252" s="5">
        <f>J252*(K252-0.13)*L252*M252</f>
        <v>7.698599999999999</v>
      </c>
      <c r="P252" s="3">
        <v>4</v>
      </c>
      <c r="Q252" s="3">
        <f>(8+2/2)</f>
        <v>9</v>
      </c>
      <c r="S252" s="3">
        <f>1.85/0.15</f>
        <v>12.333333333333334</v>
      </c>
      <c r="U252" s="3">
        <v>1.04</v>
      </c>
      <c r="V252" s="3">
        <v>1.58</v>
      </c>
      <c r="W252" s="3">
        <v>2.23</v>
      </c>
      <c r="X252" s="3">
        <v>0.62</v>
      </c>
      <c r="Y252" s="3">
        <v>0.39500000000000002</v>
      </c>
      <c r="Z252" s="3">
        <f>(Q252*M252*V252+P252*M252*U252)*(L252+0.4)</f>
        <v>904.29599999999994</v>
      </c>
      <c r="AA252" s="3">
        <f>X252*S252*M252*L252</f>
        <v>357.86400000000003</v>
      </c>
      <c r="AB252" s="5">
        <f>Z252+AA252</f>
        <v>1262.1599999999999</v>
      </c>
    </row>
    <row r="253" spans="2:28" x14ac:dyDescent="0.3">
      <c r="B253" s="24">
        <v>1</v>
      </c>
      <c r="C253" s="23" t="s">
        <v>157</v>
      </c>
      <c r="D253" s="18">
        <f>O237</f>
        <v>158.39999999999998</v>
      </c>
      <c r="E253" s="19" t="s">
        <v>225</v>
      </c>
      <c r="F253" s="20">
        <f>AHSP!$H$171*1.06</f>
        <v>239984</v>
      </c>
      <c r="G253" s="21">
        <f t="shared" ref="G253:G257" si="150">D253*F253</f>
        <v>38013465.599999994</v>
      </c>
      <c r="I253" s="4" t="s">
        <v>125</v>
      </c>
      <c r="J253" s="3">
        <v>0.3</v>
      </c>
      <c r="K253" s="3">
        <v>0.5</v>
      </c>
      <c r="L253" s="3">
        <v>2.8</v>
      </c>
      <c r="M253" s="3">
        <v>8</v>
      </c>
      <c r="N253" s="3">
        <f>(J253+2*(K253-0.13))*L253*M253</f>
        <v>23.295999999999999</v>
      </c>
      <c r="O253" s="3">
        <f>J253*(K253-0.13)*L253*M253</f>
        <v>2.4863999999999997</v>
      </c>
      <c r="P253" s="3">
        <v>2</v>
      </c>
      <c r="Q253" s="7">
        <v>8</v>
      </c>
      <c r="S253" s="3">
        <f>1.55/0.15</f>
        <v>10.333333333333334</v>
      </c>
      <c r="U253" s="3">
        <v>1.04</v>
      </c>
      <c r="V253" s="3">
        <v>1.58</v>
      </c>
      <c r="W253" s="3">
        <v>2.23</v>
      </c>
      <c r="X253" s="3">
        <v>0.62</v>
      </c>
      <c r="Y253" s="3">
        <v>0.39500000000000002</v>
      </c>
      <c r="Z253" s="3">
        <f t="shared" ref="Z253:Z255" si="151">(Q253*M253*V253+P253*M253*U253)*(L253+0.4)</f>
        <v>376.83199999999999</v>
      </c>
      <c r="AA253" s="3">
        <f t="shared" ref="AA253:AA255" si="152">X253*S253*M253*L253</f>
        <v>143.50933333333333</v>
      </c>
      <c r="AB253" s="3">
        <f t="shared" ref="AB253:AB255" si="153">Z253+AA253</f>
        <v>520.3413333333333</v>
      </c>
    </row>
    <row r="254" spans="2:28" x14ac:dyDescent="0.3">
      <c r="B254" s="24">
        <v>2</v>
      </c>
      <c r="C254" s="23" t="s">
        <v>158</v>
      </c>
      <c r="D254" s="18">
        <f>O238</f>
        <v>121</v>
      </c>
      <c r="E254" s="19" t="s">
        <v>225</v>
      </c>
      <c r="F254" s="20">
        <f>AHSP!$H$171*1.06</f>
        <v>239984</v>
      </c>
      <c r="G254" s="21">
        <f t="shared" si="150"/>
        <v>29038064</v>
      </c>
      <c r="J254" s="3">
        <v>0.3</v>
      </c>
      <c r="K254" s="3">
        <v>0.5</v>
      </c>
      <c r="L254" s="3">
        <v>2.4249999999999998</v>
      </c>
      <c r="M254" s="3">
        <v>2</v>
      </c>
      <c r="N254" s="3">
        <f t="shared" ref="N254:N255" si="154">(J254+2*(K254-0.13))*L254*M254</f>
        <v>5.0439999999999996</v>
      </c>
      <c r="O254" s="3">
        <f t="shared" ref="O254:O255" si="155">J254*(K254-0.13)*L254*M254</f>
        <v>0.53835</v>
      </c>
      <c r="P254" s="3">
        <v>2</v>
      </c>
      <c r="Q254" s="7">
        <v>8</v>
      </c>
      <c r="S254" s="3">
        <f t="shared" ref="S254:S256" si="156">1.55/0.15</f>
        <v>10.333333333333334</v>
      </c>
      <c r="U254" s="3">
        <v>1.04</v>
      </c>
      <c r="V254" s="3">
        <v>1.58</v>
      </c>
      <c r="W254" s="3">
        <v>2.23</v>
      </c>
      <c r="X254" s="3">
        <v>0.62</v>
      </c>
      <c r="Y254" s="3">
        <v>0.39500000000000002</v>
      </c>
      <c r="Z254" s="3">
        <f t="shared" si="151"/>
        <v>83.167999999999992</v>
      </c>
      <c r="AA254" s="3">
        <f t="shared" si="152"/>
        <v>31.072333333333333</v>
      </c>
      <c r="AB254" s="3">
        <f t="shared" si="153"/>
        <v>114.24033333333333</v>
      </c>
    </row>
    <row r="255" spans="2:28" x14ac:dyDescent="0.3">
      <c r="B255" s="24">
        <v>3</v>
      </c>
      <c r="C255" s="23" t="s">
        <v>90</v>
      </c>
      <c r="D255" s="18">
        <f>O239</f>
        <v>5.5</v>
      </c>
      <c r="E255" s="19" t="s">
        <v>225</v>
      </c>
      <c r="F255" s="20">
        <f>AHSP!$H$171*1.06</f>
        <v>239984</v>
      </c>
      <c r="G255" s="21">
        <f t="shared" si="150"/>
        <v>1319912</v>
      </c>
      <c r="J255" s="3">
        <v>0.3</v>
      </c>
      <c r="K255" s="3">
        <v>0.5</v>
      </c>
      <c r="L255" s="3">
        <v>14.7</v>
      </c>
      <c r="M255" s="3">
        <v>1</v>
      </c>
      <c r="N255" s="3">
        <f t="shared" si="154"/>
        <v>15.288</v>
      </c>
      <c r="O255" s="3">
        <f t="shared" si="155"/>
        <v>1.6316999999999999</v>
      </c>
      <c r="P255" s="3">
        <v>2</v>
      </c>
      <c r="Q255" s="7">
        <v>8</v>
      </c>
      <c r="S255" s="3">
        <f t="shared" si="156"/>
        <v>10.333333333333334</v>
      </c>
      <c r="U255" s="3">
        <v>1.04</v>
      </c>
      <c r="V255" s="3">
        <v>1.58</v>
      </c>
      <c r="W255" s="3">
        <v>2.23</v>
      </c>
      <c r="X255" s="3">
        <v>0.62</v>
      </c>
      <c r="Y255" s="3">
        <v>0.39500000000000002</v>
      </c>
      <c r="Z255" s="3">
        <f t="shared" si="151"/>
        <v>222.27199999999999</v>
      </c>
      <c r="AA255" s="3">
        <f t="shared" si="152"/>
        <v>94.177999999999997</v>
      </c>
      <c r="AB255" s="3">
        <f t="shared" si="153"/>
        <v>316.45</v>
      </c>
    </row>
    <row r="256" spans="2:28" x14ac:dyDescent="0.3">
      <c r="B256" s="24">
        <v>4</v>
      </c>
      <c r="C256" s="23" t="s">
        <v>99</v>
      </c>
      <c r="D256" s="18">
        <f>O240</f>
        <v>5.5</v>
      </c>
      <c r="E256" s="19" t="s">
        <v>225</v>
      </c>
      <c r="F256" s="20">
        <f>AHSP!$H$171*1.06</f>
        <v>239984</v>
      </c>
      <c r="G256" s="21">
        <f t="shared" si="150"/>
        <v>1319912</v>
      </c>
      <c r="J256" s="3">
        <v>0.3</v>
      </c>
      <c r="K256" s="3">
        <v>0.5</v>
      </c>
      <c r="L256" s="3">
        <v>5.9</v>
      </c>
      <c r="M256" s="3">
        <v>2</v>
      </c>
      <c r="N256" s="3">
        <f t="shared" ref="N256" si="157">(J256+2*(K256-0.13))*L256*M256</f>
        <v>12.272000000000002</v>
      </c>
      <c r="O256" s="3">
        <f t="shared" ref="O256" si="158">J256*(K256-0.13)*L256*M256</f>
        <v>1.3098000000000001</v>
      </c>
      <c r="P256" s="3">
        <v>2</v>
      </c>
      <c r="Q256" s="7">
        <v>8</v>
      </c>
      <c r="S256" s="3">
        <f t="shared" si="156"/>
        <v>10.333333333333334</v>
      </c>
      <c r="U256" s="3">
        <v>1.04</v>
      </c>
      <c r="V256" s="3">
        <v>1.58</v>
      </c>
      <c r="W256" s="3">
        <v>2.23</v>
      </c>
      <c r="X256" s="3">
        <v>0.62</v>
      </c>
      <c r="Y256" s="3">
        <v>0.39500000000000002</v>
      </c>
      <c r="Z256" s="3">
        <f t="shared" ref="Z256" si="159">(Q256*M256*V256+P256*M256*U256)*(L256+0.4)</f>
        <v>185.47200000000004</v>
      </c>
      <c r="AA256" s="3">
        <f t="shared" ref="AA256" si="160">X256*S256*M256*L256</f>
        <v>75.598666666666674</v>
      </c>
      <c r="AB256" s="3">
        <f t="shared" ref="AB256" si="161">Z256+AA256</f>
        <v>261.07066666666674</v>
      </c>
    </row>
    <row r="257" spans="2:28" x14ac:dyDescent="0.3">
      <c r="B257" s="24">
        <v>5</v>
      </c>
      <c r="C257" s="23" t="s">
        <v>100</v>
      </c>
      <c r="D257" s="18">
        <f>O241</f>
        <v>49.5</v>
      </c>
      <c r="E257" s="19" t="s">
        <v>225</v>
      </c>
      <c r="F257" s="20">
        <f>AHSP!$H$171*1.06</f>
        <v>239984</v>
      </c>
      <c r="G257" s="21">
        <f t="shared" si="150"/>
        <v>11879208</v>
      </c>
      <c r="N257" s="5">
        <f>SUM(N253:N256)</f>
        <v>55.900000000000006</v>
      </c>
      <c r="O257" s="5">
        <f>SUM(O253:O256)</f>
        <v>5.9662499999999996</v>
      </c>
      <c r="AB257" s="5">
        <f>SUM(AB253:AB256)</f>
        <v>1212.1023333333333</v>
      </c>
    </row>
    <row r="258" spans="2:28" x14ac:dyDescent="0.3">
      <c r="B258" s="22" t="s">
        <v>31</v>
      </c>
      <c r="C258" s="23" t="s">
        <v>111</v>
      </c>
      <c r="E258" s="19"/>
      <c r="G258" s="21"/>
      <c r="I258" s="8" t="s">
        <v>166</v>
      </c>
      <c r="J258" s="3">
        <v>0.3</v>
      </c>
      <c r="K258" s="3">
        <v>0.5</v>
      </c>
      <c r="L258" s="3">
        <v>5.9</v>
      </c>
      <c r="M258" s="3">
        <v>17</v>
      </c>
      <c r="N258" s="5">
        <f t="shared" ref="N258:N264" si="162">(J258+2*(K258-0.13))*L258*M258</f>
        <v>104.31200000000001</v>
      </c>
      <c r="O258" s="5">
        <f t="shared" ref="O258:O264" si="163">J258*(K258-0.13)*L258*M258</f>
        <v>11.1333</v>
      </c>
      <c r="P258" s="3">
        <v>2</v>
      </c>
      <c r="Q258" s="3">
        <v>8</v>
      </c>
      <c r="S258" s="3">
        <f>1.55/0.15</f>
        <v>10.333333333333334</v>
      </c>
      <c r="U258" s="3">
        <v>1.04</v>
      </c>
      <c r="V258" s="3">
        <v>1.58</v>
      </c>
      <c r="W258" s="3">
        <v>2.23</v>
      </c>
      <c r="X258" s="3">
        <v>0.62</v>
      </c>
      <c r="Y258" s="3">
        <v>0.39500000000000002</v>
      </c>
      <c r="Z258" s="3">
        <f t="shared" ref="Z258" si="164">(Q258*M258*V258+P258*M258*U258)*(L258+0.4)</f>
        <v>1576.5120000000002</v>
      </c>
      <c r="AA258" s="3">
        <f>X258*S258*M258*L258</f>
        <v>642.58866666666677</v>
      </c>
      <c r="AB258" s="5">
        <f>Z258+AA258</f>
        <v>2219.1006666666672</v>
      </c>
    </row>
    <row r="259" spans="2:28" x14ac:dyDescent="0.3">
      <c r="B259" s="24">
        <v>1</v>
      </c>
      <c r="C259" s="23" t="s">
        <v>157</v>
      </c>
      <c r="D259" s="18">
        <f>AA237</f>
        <v>6414.0913020000007</v>
      </c>
      <c r="E259" s="19" t="s">
        <v>65</v>
      </c>
      <c r="F259" s="20">
        <f>AHSP!$H$67*1.06</f>
        <v>20458</v>
      </c>
      <c r="G259" s="21">
        <f t="shared" ref="G259:G263" si="165">D259*F259</f>
        <v>131219479.85631602</v>
      </c>
      <c r="I259" s="4" t="s">
        <v>145</v>
      </c>
      <c r="J259" s="3">
        <v>0.3</v>
      </c>
      <c r="K259" s="3">
        <v>0.4</v>
      </c>
      <c r="L259" s="3">
        <f>8.85+6.375</f>
        <v>15.225</v>
      </c>
      <c r="M259" s="3">
        <v>1</v>
      </c>
      <c r="N259" s="5">
        <f t="shared" si="162"/>
        <v>12.789000000000001</v>
      </c>
      <c r="O259" s="5">
        <f t="shared" si="163"/>
        <v>1.233225</v>
      </c>
      <c r="Q259" s="3">
        <v>7</v>
      </c>
      <c r="S259" s="3">
        <f>1.35/0.15</f>
        <v>9.0000000000000018</v>
      </c>
      <c r="U259" s="3">
        <v>1.04</v>
      </c>
      <c r="V259" s="3">
        <v>1.58</v>
      </c>
      <c r="W259" s="3">
        <v>2.23</v>
      </c>
      <c r="X259" s="3">
        <v>0.62</v>
      </c>
      <c r="Y259" s="3">
        <v>0.39500000000000002</v>
      </c>
      <c r="Z259" s="3">
        <f t="shared" ref="Z259" si="166">(Q259*M259*V259+P259*M259*U259)*(L259+0.4)</f>
        <v>172.8125</v>
      </c>
      <c r="AA259" s="3">
        <f>X259*S259*M259*L259</f>
        <v>84.955500000000015</v>
      </c>
      <c r="AB259" s="3">
        <f>Z259+AA259</f>
        <v>257.76800000000003</v>
      </c>
    </row>
    <row r="260" spans="2:28" x14ac:dyDescent="0.3">
      <c r="B260" s="24">
        <v>2</v>
      </c>
      <c r="C260" s="23" t="s">
        <v>158</v>
      </c>
      <c r="D260" s="18">
        <f>AA238</f>
        <v>4813.6911566666668</v>
      </c>
      <c r="E260" s="19" t="s">
        <v>65</v>
      </c>
      <c r="F260" s="20">
        <f>AHSP!$H$67*1.06</f>
        <v>20458</v>
      </c>
      <c r="G260" s="21">
        <f t="shared" si="165"/>
        <v>98478493.683086663</v>
      </c>
      <c r="I260" s="4" t="s">
        <v>172</v>
      </c>
      <c r="J260" s="3">
        <v>0.3</v>
      </c>
      <c r="K260" s="3">
        <v>0.6</v>
      </c>
      <c r="L260" s="3">
        <v>7.8</v>
      </c>
      <c r="M260" s="3">
        <v>1</v>
      </c>
      <c r="N260" s="5">
        <f t="shared" si="162"/>
        <v>9.6720000000000006</v>
      </c>
      <c r="O260" s="5">
        <f t="shared" si="163"/>
        <v>1.0997999999999999</v>
      </c>
      <c r="Q260" s="3">
        <v>10</v>
      </c>
      <c r="S260" s="3">
        <f>1.65/0.15</f>
        <v>11</v>
      </c>
      <c r="U260" s="3">
        <v>1.04</v>
      </c>
      <c r="V260" s="3">
        <v>1.58</v>
      </c>
      <c r="W260" s="3">
        <v>2.23</v>
      </c>
      <c r="X260" s="3">
        <v>0.62</v>
      </c>
      <c r="Y260" s="3">
        <v>0.39500000000000002</v>
      </c>
      <c r="Z260" s="3">
        <f>(Q260*V260+P260*U260)*L260*M260</f>
        <v>123.24000000000001</v>
      </c>
      <c r="AA260" s="3">
        <f>X260*S260*M260*L260</f>
        <v>53.195999999999998</v>
      </c>
      <c r="AB260" s="5">
        <f t="shared" ref="AB260" si="167">Z260+AA260</f>
        <v>176.43600000000001</v>
      </c>
    </row>
    <row r="261" spans="2:28" x14ac:dyDescent="0.3">
      <c r="B261" s="24">
        <v>3</v>
      </c>
      <c r="C261" s="23" t="s">
        <v>90</v>
      </c>
      <c r="D261" s="18">
        <f t="shared" ref="D261:D263" si="168">AA239</f>
        <v>206.70457541666667</v>
      </c>
      <c r="E261" s="19" t="s">
        <v>65</v>
      </c>
      <c r="F261" s="20">
        <f>AHSP!$H$67*1.06</f>
        <v>20458</v>
      </c>
      <c r="G261" s="21">
        <f t="shared" si="165"/>
        <v>4228762.2038741671</v>
      </c>
      <c r="I261" s="4" t="s">
        <v>171</v>
      </c>
      <c r="J261" s="3">
        <v>0.3</v>
      </c>
      <c r="K261" s="3">
        <v>0.45</v>
      </c>
      <c r="L261" s="3">
        <f>5.9+3.4</f>
        <v>9.3000000000000007</v>
      </c>
      <c r="M261" s="3">
        <v>1</v>
      </c>
      <c r="N261" s="5">
        <f t="shared" si="162"/>
        <v>8.7420000000000009</v>
      </c>
      <c r="O261" s="5">
        <f t="shared" si="163"/>
        <v>0.89280000000000004</v>
      </c>
      <c r="Q261" s="3">
        <v>7</v>
      </c>
      <c r="S261" s="3">
        <f>1.45/0.15</f>
        <v>9.6666666666666661</v>
      </c>
      <c r="U261" s="3">
        <v>1.04</v>
      </c>
      <c r="V261" s="3">
        <v>1.58</v>
      </c>
      <c r="W261" s="3">
        <v>2.23</v>
      </c>
      <c r="X261" s="3">
        <v>0.62</v>
      </c>
      <c r="Y261" s="3">
        <v>0.39500000000000002</v>
      </c>
      <c r="Z261" s="3">
        <f t="shared" ref="Z261" si="169">(Q261*M261*V261+P261*M261*U261)*(L261+0.4)</f>
        <v>107.28200000000001</v>
      </c>
      <c r="AA261" s="3">
        <f>X261*S261*M261*L261</f>
        <v>55.738</v>
      </c>
      <c r="AB261" s="3">
        <f>Z261+AA261</f>
        <v>163.02000000000001</v>
      </c>
    </row>
    <row r="262" spans="2:28" x14ac:dyDescent="0.3">
      <c r="B262" s="24">
        <v>4</v>
      </c>
      <c r="C262" s="23" t="s">
        <v>99</v>
      </c>
      <c r="D262" s="18">
        <f t="shared" si="168"/>
        <v>188.26177854166667</v>
      </c>
      <c r="E262" s="19" t="s">
        <v>65</v>
      </c>
      <c r="F262" s="20">
        <f>AHSP!$H$67*1.06</f>
        <v>20458</v>
      </c>
      <c r="G262" s="21">
        <f t="shared" si="165"/>
        <v>3851459.4654054167</v>
      </c>
      <c r="I262" s="4" t="s">
        <v>126</v>
      </c>
      <c r="J262" s="3">
        <v>0.25</v>
      </c>
      <c r="K262" s="3">
        <v>0.4</v>
      </c>
      <c r="L262" s="3">
        <v>23.55</v>
      </c>
      <c r="M262" s="3">
        <v>2</v>
      </c>
      <c r="N262" s="3">
        <f t="shared" si="162"/>
        <v>37.209000000000003</v>
      </c>
      <c r="O262" s="3">
        <f t="shared" si="163"/>
        <v>3.1792500000000001</v>
      </c>
      <c r="Q262" s="3">
        <f>5+1/2</f>
        <v>5.5</v>
      </c>
      <c r="T262" s="3">
        <f>1.25/0.15</f>
        <v>8.3333333333333339</v>
      </c>
      <c r="U262" s="3">
        <v>1.04</v>
      </c>
      <c r="V262" s="3">
        <v>1.58</v>
      </c>
      <c r="W262" s="3">
        <v>2.23</v>
      </c>
      <c r="X262" s="3">
        <v>0.62</v>
      </c>
      <c r="Y262" s="3">
        <v>0.39500000000000002</v>
      </c>
      <c r="Z262" s="3">
        <f>(Q262*V262+P262*U262)*L262*M262</f>
        <v>409.29900000000009</v>
      </c>
      <c r="AA262" s="3">
        <f>X262*T262*M262*L262</f>
        <v>243.35000000000002</v>
      </c>
      <c r="AB262" s="3">
        <f>Z262+AA262</f>
        <v>652.64900000000011</v>
      </c>
    </row>
    <row r="263" spans="2:28" x14ac:dyDescent="0.3">
      <c r="B263" s="24">
        <v>5</v>
      </c>
      <c r="C263" s="23" t="s">
        <v>100</v>
      </c>
      <c r="D263" s="18">
        <f t="shared" si="168"/>
        <v>1685.3571670833333</v>
      </c>
      <c r="E263" s="19" t="s">
        <v>65</v>
      </c>
      <c r="F263" s="20">
        <f>AHSP!$H$67*1.06</f>
        <v>20458</v>
      </c>
      <c r="G263" s="21">
        <f t="shared" si="165"/>
        <v>34479036.924190834</v>
      </c>
      <c r="I263" s="4" t="s">
        <v>126</v>
      </c>
      <c r="J263" s="3">
        <v>0.25</v>
      </c>
      <c r="K263" s="3">
        <v>0.4</v>
      </c>
      <c r="L263" s="3">
        <v>3.1</v>
      </c>
      <c r="M263" s="3">
        <v>2</v>
      </c>
      <c r="N263" s="3">
        <f t="shared" si="162"/>
        <v>4.8980000000000006</v>
      </c>
      <c r="O263" s="3">
        <f t="shared" si="163"/>
        <v>0.41850000000000004</v>
      </c>
      <c r="Q263" s="3">
        <v>5.5</v>
      </c>
      <c r="T263" s="3">
        <f>1.25/0.15</f>
        <v>8.3333333333333339</v>
      </c>
      <c r="U263" s="3">
        <v>1.04</v>
      </c>
      <c r="V263" s="3">
        <v>1.58</v>
      </c>
      <c r="W263" s="3">
        <v>2.23</v>
      </c>
      <c r="X263" s="3">
        <v>0.62</v>
      </c>
      <c r="Y263" s="3">
        <v>0.39500000000000002</v>
      </c>
      <c r="Z263" s="3">
        <f>(Q263*V263+P263*U263)*L263*M263</f>
        <v>53.878000000000007</v>
      </c>
      <c r="AA263" s="3">
        <f>X263*T263*M263*L263</f>
        <v>32.033333333333339</v>
      </c>
      <c r="AB263" s="3">
        <f>Z263+AA263</f>
        <v>85.911333333333346</v>
      </c>
    </row>
    <row r="264" spans="2:28" x14ac:dyDescent="0.3">
      <c r="B264" s="22" t="s">
        <v>34</v>
      </c>
      <c r="C264" s="23" t="s">
        <v>70</v>
      </c>
      <c r="E264" s="19"/>
      <c r="G264" s="21"/>
      <c r="I264" s="4" t="s">
        <v>126</v>
      </c>
      <c r="J264" s="3">
        <v>0.25</v>
      </c>
      <c r="K264" s="3">
        <v>0.4</v>
      </c>
      <c r="L264" s="3">
        <v>4.4000000000000004</v>
      </c>
      <c r="M264" s="3">
        <v>1</v>
      </c>
      <c r="N264" s="3">
        <f t="shared" si="162"/>
        <v>3.4760000000000004</v>
      </c>
      <c r="O264" s="3">
        <f t="shared" si="163"/>
        <v>0.29700000000000004</v>
      </c>
      <c r="Q264" s="3">
        <v>5.5</v>
      </c>
      <c r="T264" s="3">
        <f>1.25/0.15</f>
        <v>8.3333333333333339</v>
      </c>
      <c r="U264" s="3">
        <v>1.04</v>
      </c>
      <c r="V264" s="3">
        <v>1.58</v>
      </c>
      <c r="W264" s="3">
        <v>2.23</v>
      </c>
      <c r="X264" s="3">
        <v>0.62</v>
      </c>
      <c r="Y264" s="3">
        <v>0.39500000000000002</v>
      </c>
      <c r="Z264" s="3">
        <f>(Q264*V264+P264*U264)*L264*M264</f>
        <v>38.236000000000011</v>
      </c>
      <c r="AA264" s="3">
        <f>X264*T264*M264*L264</f>
        <v>22.733333333333338</v>
      </c>
      <c r="AB264" s="3">
        <f>Z264+AA264</f>
        <v>60.969333333333353</v>
      </c>
    </row>
    <row r="265" spans="2:28" x14ac:dyDescent="0.3">
      <c r="B265" s="24">
        <v>1</v>
      </c>
      <c r="C265" s="23" t="s">
        <v>157</v>
      </c>
      <c r="D265" s="18">
        <f>P237</f>
        <v>23.759999999999998</v>
      </c>
      <c r="E265" s="19" t="s">
        <v>224</v>
      </c>
      <c r="F265" s="20">
        <f>AHSP!$H$107</f>
        <v>1382600</v>
      </c>
      <c r="G265" s="21">
        <f t="shared" ref="G265" si="170">D265*F265</f>
        <v>32850575.999999996</v>
      </c>
      <c r="N265" s="5">
        <f>SUM(N262:N264)</f>
        <v>45.583000000000006</v>
      </c>
      <c r="O265" s="5">
        <f>SUM(O262:O264)</f>
        <v>3.8947500000000002</v>
      </c>
      <c r="AB265" s="5">
        <f>SUM(AB262:AB264)</f>
        <v>799.5296666666668</v>
      </c>
    </row>
    <row r="266" spans="2:28" x14ac:dyDescent="0.3">
      <c r="B266" s="24">
        <v>2</v>
      </c>
      <c r="C266" s="23" t="s">
        <v>158</v>
      </c>
      <c r="D266" s="18">
        <f t="shared" ref="D266:D269" si="171">P238</f>
        <v>16.637500000000003</v>
      </c>
      <c r="E266" s="19" t="s">
        <v>224</v>
      </c>
      <c r="F266" s="20">
        <f>AHSP!$H$107</f>
        <v>1382600</v>
      </c>
      <c r="G266" s="21">
        <f>D266*F266</f>
        <v>23003007.500000004</v>
      </c>
    </row>
    <row r="267" spans="2:28" x14ac:dyDescent="0.3">
      <c r="B267" s="24">
        <v>3</v>
      </c>
      <c r="C267" s="23" t="s">
        <v>90</v>
      </c>
      <c r="D267" s="18">
        <f t="shared" si="171"/>
        <v>0.6875</v>
      </c>
      <c r="E267" s="19" t="s">
        <v>224</v>
      </c>
      <c r="F267" s="20">
        <f>AHSP!$H$107</f>
        <v>1382600</v>
      </c>
      <c r="G267" s="21">
        <f>D267*F267</f>
        <v>950537.5</v>
      </c>
    </row>
    <row r="268" spans="2:28" x14ac:dyDescent="0.3">
      <c r="B268" s="24">
        <v>4</v>
      </c>
      <c r="C268" s="23" t="s">
        <v>99</v>
      </c>
      <c r="D268" s="18">
        <f t="shared" si="171"/>
        <v>0.65999999999999992</v>
      </c>
      <c r="E268" s="19" t="s">
        <v>224</v>
      </c>
      <c r="F268" s="20">
        <f>AHSP!$H$107</f>
        <v>1382600</v>
      </c>
      <c r="G268" s="21">
        <f>D268*F268</f>
        <v>912515.99999999988</v>
      </c>
    </row>
    <row r="269" spans="2:28" x14ac:dyDescent="0.3">
      <c r="B269" s="24">
        <v>5</v>
      </c>
      <c r="C269" s="23" t="s">
        <v>100</v>
      </c>
      <c r="D269" s="18">
        <f t="shared" si="171"/>
        <v>5.5</v>
      </c>
      <c r="E269" s="19" t="s">
        <v>224</v>
      </c>
      <c r="F269" s="20">
        <f>AHSP!$H$107</f>
        <v>1382600</v>
      </c>
      <c r="G269" s="21">
        <f>D269*F269</f>
        <v>7604300</v>
      </c>
    </row>
    <row r="270" spans="2:28" x14ac:dyDescent="0.3">
      <c r="B270" s="22"/>
      <c r="C270" s="23"/>
      <c r="E270" s="19"/>
      <c r="F270" s="25" t="s">
        <v>240</v>
      </c>
      <c r="G270" s="26">
        <f>SUM(G252:G269)</f>
        <v>419148730.73287302</v>
      </c>
    </row>
    <row r="271" spans="2:28" x14ac:dyDescent="0.3">
      <c r="B271" s="24"/>
      <c r="C271" s="23"/>
      <c r="E271" s="19"/>
      <c r="G271" s="21"/>
    </row>
    <row r="272" spans="2:28" x14ac:dyDescent="0.3">
      <c r="B272" s="16" t="s">
        <v>163</v>
      </c>
      <c r="C272" s="17" t="s">
        <v>162</v>
      </c>
      <c r="E272" s="19"/>
      <c r="G272" s="21"/>
    </row>
    <row r="273" spans="2:24" x14ac:dyDescent="0.3">
      <c r="B273" s="22" t="s">
        <v>16</v>
      </c>
      <c r="C273" s="23" t="s">
        <v>75</v>
      </c>
      <c r="E273" s="19"/>
      <c r="G273" s="21"/>
    </row>
    <row r="274" spans="2:24" x14ac:dyDescent="0.3">
      <c r="B274" s="24">
        <v>1</v>
      </c>
      <c r="C274" s="23" t="s">
        <v>116</v>
      </c>
      <c r="D274" s="18">
        <f>N247</f>
        <v>262.83600000000001</v>
      </c>
      <c r="E274" s="19" t="s">
        <v>225</v>
      </c>
      <c r="F274" s="20">
        <f>AHSP!$H$193*1.06</f>
        <v>252916</v>
      </c>
      <c r="G274" s="21">
        <f t="shared" ref="G274:G283" si="172">D274*F274</f>
        <v>66475429.776000001</v>
      </c>
    </row>
    <row r="275" spans="2:24" x14ac:dyDescent="0.3">
      <c r="B275" s="24">
        <v>2</v>
      </c>
      <c r="C275" s="23" t="s">
        <v>168</v>
      </c>
      <c r="D275" s="18">
        <f>N248</f>
        <v>152.76</v>
      </c>
      <c r="E275" s="19" t="s">
        <v>225</v>
      </c>
      <c r="F275" s="20">
        <f>AHSP!$H$193*1.06</f>
        <v>252916</v>
      </c>
      <c r="G275" s="21">
        <f t="shared" si="172"/>
        <v>38635448.159999996</v>
      </c>
      <c r="L275" s="3" t="s">
        <v>7</v>
      </c>
      <c r="M275" s="3" t="s">
        <v>8</v>
      </c>
      <c r="N275" s="3" t="s">
        <v>134</v>
      </c>
      <c r="P275" s="3" t="s">
        <v>7</v>
      </c>
      <c r="Q275" s="3" t="s">
        <v>8</v>
      </c>
      <c r="S275" s="3" t="s">
        <v>103</v>
      </c>
    </row>
    <row r="276" spans="2:24" x14ac:dyDescent="0.3">
      <c r="B276" s="24">
        <v>3</v>
      </c>
      <c r="C276" s="23" t="s">
        <v>118</v>
      </c>
      <c r="D276" s="18">
        <f>N252</f>
        <v>60.372</v>
      </c>
      <c r="E276" s="19" t="s">
        <v>225</v>
      </c>
      <c r="F276" s="20">
        <f>AHSP!$H$193*1.06</f>
        <v>252916</v>
      </c>
      <c r="G276" s="21">
        <f t="shared" si="172"/>
        <v>15269044.752</v>
      </c>
      <c r="K276" s="3" t="s">
        <v>133</v>
      </c>
      <c r="L276" s="3">
        <v>20.3</v>
      </c>
      <c r="M276" s="3">
        <v>56.95</v>
      </c>
      <c r="N276" s="3">
        <v>0.13500000000000001</v>
      </c>
      <c r="O276" s="3" t="s">
        <v>135</v>
      </c>
      <c r="P276" s="3">
        <v>2.625</v>
      </c>
      <c r="Q276" s="3">
        <v>3.55</v>
      </c>
      <c r="R276" s="3">
        <f>Q276*P276</f>
        <v>9.3187499999999996</v>
      </c>
    </row>
    <row r="277" spans="2:24" x14ac:dyDescent="0.3">
      <c r="B277" s="24">
        <v>4</v>
      </c>
      <c r="C277" s="23" t="s">
        <v>117</v>
      </c>
      <c r="D277" s="18">
        <f>N251</f>
        <v>162.07799999999997</v>
      </c>
      <c r="E277" s="19" t="s">
        <v>225</v>
      </c>
      <c r="F277" s="20">
        <f>AHSP!$H$193*1.06</f>
        <v>252916</v>
      </c>
      <c r="G277" s="21">
        <f t="shared" si="172"/>
        <v>40992119.447999991</v>
      </c>
      <c r="P277" s="3">
        <v>4.125</v>
      </c>
      <c r="Q277" s="3">
        <v>1.925</v>
      </c>
      <c r="R277" s="3">
        <f t="shared" ref="R277:R281" si="173">Q277*P277</f>
        <v>7.9406249999999998</v>
      </c>
    </row>
    <row r="278" spans="2:24" x14ac:dyDescent="0.3">
      <c r="B278" s="24">
        <v>5</v>
      </c>
      <c r="C278" s="23" t="s">
        <v>119</v>
      </c>
      <c r="D278" s="18">
        <f>N257</f>
        <v>55.900000000000006</v>
      </c>
      <c r="E278" s="19" t="s">
        <v>225</v>
      </c>
      <c r="F278" s="20">
        <f>AHSP!$H$193*1.06</f>
        <v>252916</v>
      </c>
      <c r="G278" s="21">
        <f t="shared" si="172"/>
        <v>14138004.400000002</v>
      </c>
    </row>
    <row r="279" spans="2:24" x14ac:dyDescent="0.3">
      <c r="B279" s="24">
        <v>6</v>
      </c>
      <c r="C279" s="23" t="s">
        <v>167</v>
      </c>
      <c r="D279" s="18">
        <f>N258</f>
        <v>104.31200000000001</v>
      </c>
      <c r="E279" s="19" t="s">
        <v>225</v>
      </c>
      <c r="F279" s="20">
        <f>AHSP!$H$193*1.06</f>
        <v>252916</v>
      </c>
      <c r="G279" s="21">
        <f t="shared" si="172"/>
        <v>26382173.792000003</v>
      </c>
      <c r="P279" s="3">
        <v>3.125</v>
      </c>
      <c r="Q279" s="3">
        <v>1.4750000000000001</v>
      </c>
      <c r="R279" s="3">
        <f t="shared" si="173"/>
        <v>4.609375</v>
      </c>
    </row>
    <row r="280" spans="2:24" x14ac:dyDescent="0.3">
      <c r="B280" s="24">
        <v>7</v>
      </c>
      <c r="C280" s="23" t="s">
        <v>147</v>
      </c>
      <c r="D280" s="18">
        <f>N259</f>
        <v>12.789000000000001</v>
      </c>
      <c r="E280" s="19" t="s">
        <v>225</v>
      </c>
      <c r="F280" s="20">
        <f>AHSP!$H$193*1.06</f>
        <v>252916</v>
      </c>
      <c r="G280" s="21">
        <f t="shared" si="172"/>
        <v>3234542.7240000004</v>
      </c>
      <c r="P280" s="3">
        <v>2.9750000000000001</v>
      </c>
      <c r="Q280" s="3">
        <v>1.425</v>
      </c>
      <c r="R280" s="3">
        <f t="shared" si="173"/>
        <v>4.2393749999999999</v>
      </c>
    </row>
    <row r="281" spans="2:24" x14ac:dyDescent="0.3">
      <c r="B281" s="24">
        <v>8</v>
      </c>
      <c r="C281" s="23" t="s">
        <v>173</v>
      </c>
      <c r="D281" s="18">
        <f>N260</f>
        <v>9.6720000000000006</v>
      </c>
      <c r="E281" s="19" t="s">
        <v>225</v>
      </c>
      <c r="F281" s="20">
        <f>AHSP!$H$193*1.06</f>
        <v>252916</v>
      </c>
      <c r="G281" s="21">
        <f t="shared" si="172"/>
        <v>2446203.5520000001</v>
      </c>
      <c r="P281" s="3">
        <v>3.6749999999999998</v>
      </c>
      <c r="Q281" s="3">
        <v>2.1</v>
      </c>
      <c r="R281" s="3">
        <f t="shared" si="173"/>
        <v>7.7175000000000002</v>
      </c>
    </row>
    <row r="282" spans="2:24" x14ac:dyDescent="0.3">
      <c r="B282" s="24">
        <v>9</v>
      </c>
      <c r="C282" s="23" t="s">
        <v>170</v>
      </c>
      <c r="D282" s="18">
        <f>N261</f>
        <v>8.7420000000000009</v>
      </c>
      <c r="E282" s="19" t="s">
        <v>225</v>
      </c>
      <c r="F282" s="20">
        <f>AHSP!$H$193*1.06</f>
        <v>252916</v>
      </c>
      <c r="G282" s="21">
        <f t="shared" si="172"/>
        <v>2210991.6720000003</v>
      </c>
      <c r="N282" s="3">
        <f>M276*L276</f>
        <v>1156.085</v>
      </c>
      <c r="R282" s="3">
        <f>SUM(R276:R281)</f>
        <v>33.825624999999995</v>
      </c>
      <c r="S282" s="5">
        <f>(N282-R282)</f>
        <v>1122.2593750000001</v>
      </c>
    </row>
    <row r="283" spans="2:24" x14ac:dyDescent="0.3">
      <c r="B283" s="24">
        <v>10</v>
      </c>
      <c r="C283" s="23" t="s">
        <v>120</v>
      </c>
      <c r="D283" s="18">
        <f>N265</f>
        <v>45.583000000000006</v>
      </c>
      <c r="E283" s="19" t="s">
        <v>225</v>
      </c>
      <c r="F283" s="20">
        <f>AHSP!$H$193*1.06</f>
        <v>252916</v>
      </c>
      <c r="G283" s="21">
        <f t="shared" si="172"/>
        <v>11528670.028000001</v>
      </c>
      <c r="M283" s="3" t="s">
        <v>106</v>
      </c>
      <c r="V283" s="3" t="s">
        <v>108</v>
      </c>
      <c r="W283" s="3" t="s">
        <v>109</v>
      </c>
      <c r="X283" s="3" t="s">
        <v>109</v>
      </c>
    </row>
    <row r="284" spans="2:24" x14ac:dyDescent="0.3">
      <c r="B284" s="22" t="s">
        <v>31</v>
      </c>
      <c r="C284" s="23" t="s">
        <v>111</v>
      </c>
      <c r="E284" s="19"/>
      <c r="G284" s="21"/>
      <c r="K284" s="3" t="s">
        <v>137</v>
      </c>
      <c r="L284" s="3">
        <f>S282/0.25*3*1.1</f>
        <v>14813.823750000003</v>
      </c>
      <c r="M284" s="3">
        <v>0.62</v>
      </c>
      <c r="N284" s="5">
        <f>M284*L284*2</f>
        <v>18369.141450000003</v>
      </c>
      <c r="V284" s="3" t="s">
        <v>51</v>
      </c>
      <c r="W284" s="3" t="s">
        <v>51</v>
      </c>
      <c r="X284" s="3" t="s">
        <v>50</v>
      </c>
    </row>
    <row r="285" spans="2:24" x14ac:dyDescent="0.3">
      <c r="B285" s="24">
        <v>1</v>
      </c>
      <c r="C285" s="23" t="s">
        <v>116</v>
      </c>
      <c r="D285" s="18">
        <f>AB247</f>
        <v>6837.2240000000002</v>
      </c>
      <c r="E285" s="19" t="s">
        <v>65</v>
      </c>
      <c r="F285" s="20">
        <f>AHSP!$H$67*1.06</f>
        <v>20458</v>
      </c>
      <c r="G285" s="21">
        <f t="shared" ref="G285:G294" si="174">D285*F285</f>
        <v>139875928.59200001</v>
      </c>
      <c r="K285" s="3" t="s">
        <v>80</v>
      </c>
      <c r="L285" s="5">
        <f>S282*N276</f>
        <v>151.50501562500003</v>
      </c>
    </row>
    <row r="286" spans="2:24" x14ac:dyDescent="0.3">
      <c r="B286" s="24">
        <v>2</v>
      </c>
      <c r="C286" s="23" t="s">
        <v>168</v>
      </c>
      <c r="D286" s="18">
        <f>AB248</f>
        <v>3471.4880000000003</v>
      </c>
      <c r="E286" s="19" t="s">
        <v>65</v>
      </c>
      <c r="F286" s="20">
        <f>AHSP!$H$67*1.06</f>
        <v>20458</v>
      </c>
      <c r="G286" s="21">
        <f t="shared" si="174"/>
        <v>71019701.504000008</v>
      </c>
      <c r="U286" s="3" t="s">
        <v>161</v>
      </c>
      <c r="V286" s="3">
        <f>2.15/0.125</f>
        <v>17.2</v>
      </c>
      <c r="W286" s="3">
        <f>0.7*2/0.2</f>
        <v>6.9999999999999991</v>
      </c>
      <c r="X286" s="3">
        <f>0.7*4/0.3+0.7*2/0.2</f>
        <v>16.333333333333332</v>
      </c>
    </row>
    <row r="287" spans="2:24" x14ac:dyDescent="0.3">
      <c r="B287" s="24">
        <v>3</v>
      </c>
      <c r="C287" s="23" t="s">
        <v>118</v>
      </c>
      <c r="D287" s="18">
        <f>AB252</f>
        <v>1262.1599999999999</v>
      </c>
      <c r="E287" s="19" t="s">
        <v>65</v>
      </c>
      <c r="F287" s="20">
        <f>AHSP!$H$67*1.06</f>
        <v>20458</v>
      </c>
      <c r="G287" s="21">
        <f t="shared" si="174"/>
        <v>25821269.279999997</v>
      </c>
      <c r="U287" s="3" t="s">
        <v>94</v>
      </c>
      <c r="V287" s="3">
        <f>1.75/0.125</f>
        <v>14</v>
      </c>
      <c r="W287" s="3">
        <f>0.65*2/0.2</f>
        <v>6.5</v>
      </c>
      <c r="X287" s="3">
        <f>0.65*4/0.3+0.65*2/0.2</f>
        <v>15.166666666666668</v>
      </c>
    </row>
    <row r="288" spans="2:24" x14ac:dyDescent="0.3">
      <c r="B288" s="24">
        <v>4</v>
      </c>
      <c r="C288" s="23" t="s">
        <v>117</v>
      </c>
      <c r="D288" s="18">
        <f>AB251</f>
        <v>4293.4630000000006</v>
      </c>
      <c r="E288" s="19" t="s">
        <v>65</v>
      </c>
      <c r="F288" s="20">
        <f>AHSP!$H$67*1.06</f>
        <v>20458</v>
      </c>
      <c r="G288" s="21">
        <f t="shared" si="174"/>
        <v>87835666.05400002</v>
      </c>
    </row>
    <row r="289" spans="2:27" x14ac:dyDescent="0.3">
      <c r="B289" s="24">
        <v>5</v>
      </c>
      <c r="C289" s="23" t="s">
        <v>119</v>
      </c>
      <c r="D289" s="18">
        <f>AB257</f>
        <v>1212.1023333333333</v>
      </c>
      <c r="E289" s="19" t="s">
        <v>65</v>
      </c>
      <c r="F289" s="20">
        <f>AHSP!$H$67*1.06</f>
        <v>20458</v>
      </c>
      <c r="G289" s="21">
        <f t="shared" si="174"/>
        <v>24797189.535333332</v>
      </c>
      <c r="I289" s="3" t="s">
        <v>91</v>
      </c>
      <c r="K289" s="3" t="s">
        <v>21</v>
      </c>
      <c r="L289" s="3" t="s">
        <v>7</v>
      </c>
      <c r="M289" s="3" t="s">
        <v>8</v>
      </c>
      <c r="N289" s="3" t="s">
        <v>71</v>
      </c>
      <c r="O289" s="3" t="s">
        <v>103</v>
      </c>
      <c r="P289" s="3" t="s">
        <v>30</v>
      </c>
      <c r="Q289" s="3" t="s">
        <v>71</v>
      </c>
      <c r="R289" s="3" t="s">
        <v>49</v>
      </c>
      <c r="S289" s="3" t="s">
        <v>48</v>
      </c>
      <c r="T289" s="3" t="s">
        <v>51</v>
      </c>
      <c r="U289" s="3" t="s">
        <v>50</v>
      </c>
      <c r="V289" s="3" t="s">
        <v>104</v>
      </c>
      <c r="W289" s="3" t="s">
        <v>105</v>
      </c>
      <c r="X289" s="3" t="s">
        <v>106</v>
      </c>
      <c r="Y289" s="3" t="s">
        <v>107</v>
      </c>
      <c r="Z289" s="3" t="s">
        <v>110</v>
      </c>
      <c r="AA289" s="3" t="s">
        <v>30</v>
      </c>
    </row>
    <row r="290" spans="2:27" x14ac:dyDescent="0.3">
      <c r="B290" s="24">
        <v>6</v>
      </c>
      <c r="C290" s="23" t="s">
        <v>167</v>
      </c>
      <c r="D290" s="18">
        <f>AB258</f>
        <v>2219.1006666666672</v>
      </c>
      <c r="E290" s="19" t="s">
        <v>65</v>
      </c>
      <c r="F290" s="20">
        <f>AHSP!$H$67*1.06</f>
        <v>20458</v>
      </c>
      <c r="G290" s="21">
        <f t="shared" si="174"/>
        <v>45398361.438666679</v>
      </c>
    </row>
    <row r="291" spans="2:27" x14ac:dyDescent="0.3">
      <c r="B291" s="24">
        <v>7</v>
      </c>
      <c r="C291" s="23" t="s">
        <v>147</v>
      </c>
      <c r="D291" s="18">
        <f>AB259</f>
        <v>257.76800000000003</v>
      </c>
      <c r="E291" s="19" t="s">
        <v>65</v>
      </c>
      <c r="F291" s="20">
        <f>AHSP!$H$67*1.06</f>
        <v>20458</v>
      </c>
      <c r="G291" s="21">
        <f t="shared" si="174"/>
        <v>5273417.7440000009</v>
      </c>
      <c r="J291" s="3" t="s">
        <v>161</v>
      </c>
      <c r="K291" s="3">
        <v>24</v>
      </c>
      <c r="L291" s="3">
        <v>0.55000000000000004</v>
      </c>
      <c r="M291" s="3">
        <v>0.55000000000000004</v>
      </c>
      <c r="N291" s="3">
        <v>3.35</v>
      </c>
      <c r="O291" s="3">
        <f t="shared" ref="O291:O292" si="175">K291*(L291+M291)*2*(N291-0.6)</f>
        <v>145.20000000000002</v>
      </c>
      <c r="P291" s="3">
        <f t="shared" ref="P291:P292" si="176">K291*L291*M291*(N291-0.6)</f>
        <v>19.965000000000003</v>
      </c>
      <c r="Q291" s="3">
        <v>3.35</v>
      </c>
      <c r="S291" s="3">
        <v>24</v>
      </c>
      <c r="T291" s="3">
        <f>V286+W286</f>
        <v>24.2</v>
      </c>
      <c r="U291" s="3">
        <f>X286</f>
        <v>16.333333333333332</v>
      </c>
      <c r="V291" s="3">
        <v>1.58</v>
      </c>
      <c r="W291" s="3">
        <v>2.23</v>
      </c>
      <c r="X291" s="3">
        <v>0.62</v>
      </c>
      <c r="Y291" s="3">
        <v>0.39500000000000002</v>
      </c>
      <c r="Z291" s="3">
        <f t="shared" ref="Z291:Z292" si="177">S291*(Q291)+W291*Q291*(T291*X291+U291*Y291)</f>
        <v>240.68455783333334</v>
      </c>
      <c r="AA291" s="3">
        <f t="shared" ref="AA291:AA292" si="178">Z291*K291</f>
        <v>5776.4293880000005</v>
      </c>
    </row>
    <row r="292" spans="2:27" x14ac:dyDescent="0.3">
      <c r="B292" s="24">
        <v>8</v>
      </c>
      <c r="C292" s="23" t="s">
        <v>173</v>
      </c>
      <c r="D292" s="18">
        <f>AB260</f>
        <v>176.43600000000001</v>
      </c>
      <c r="E292" s="19" t="s">
        <v>65</v>
      </c>
      <c r="F292" s="20">
        <f>AHSP!$H$67*1.06</f>
        <v>20458</v>
      </c>
      <c r="G292" s="21">
        <f t="shared" si="174"/>
        <v>3609527.6880000001</v>
      </c>
      <c r="J292" s="3" t="s">
        <v>94</v>
      </c>
      <c r="K292" s="3">
        <v>20</v>
      </c>
      <c r="L292" s="3">
        <v>0.5</v>
      </c>
      <c r="M292" s="3">
        <v>0.5</v>
      </c>
      <c r="N292" s="3">
        <v>3.35</v>
      </c>
      <c r="O292" s="3">
        <f t="shared" si="175"/>
        <v>110</v>
      </c>
      <c r="P292" s="3">
        <f t="shared" si="176"/>
        <v>13.75</v>
      </c>
      <c r="Q292" s="3">
        <v>3.35</v>
      </c>
      <c r="S292" s="3">
        <v>20</v>
      </c>
      <c r="T292" s="3">
        <f>V287+W287</f>
        <v>20.5</v>
      </c>
      <c r="U292" s="3">
        <f>X287</f>
        <v>15.166666666666668</v>
      </c>
      <c r="V292" s="3">
        <v>1.58</v>
      </c>
      <c r="W292" s="3">
        <v>2.23</v>
      </c>
      <c r="X292" s="3">
        <v>0.62</v>
      </c>
      <c r="Y292" s="3">
        <v>0.39500000000000002</v>
      </c>
      <c r="Z292" s="3">
        <f t="shared" si="177"/>
        <v>206.70457541666667</v>
      </c>
      <c r="AA292" s="3">
        <f t="shared" si="178"/>
        <v>4134.091508333333</v>
      </c>
    </row>
    <row r="293" spans="2:27" x14ac:dyDescent="0.3">
      <c r="B293" s="24">
        <v>9</v>
      </c>
      <c r="C293" s="23" t="s">
        <v>170</v>
      </c>
      <c r="D293" s="18">
        <f>AB261</f>
        <v>163.02000000000001</v>
      </c>
      <c r="E293" s="19" t="s">
        <v>65</v>
      </c>
      <c r="F293" s="20">
        <f>AHSP!$H$67*1.06</f>
        <v>20458</v>
      </c>
      <c r="G293" s="21">
        <f t="shared" si="174"/>
        <v>3335063.16</v>
      </c>
    </row>
    <row r="294" spans="2:27" x14ac:dyDescent="0.3">
      <c r="B294" s="24">
        <v>10</v>
      </c>
      <c r="C294" s="23" t="s">
        <v>120</v>
      </c>
      <c r="D294" s="18">
        <f>AB265</f>
        <v>799.5296666666668</v>
      </c>
      <c r="E294" s="19" t="s">
        <v>65</v>
      </c>
      <c r="F294" s="20">
        <f>AHSP!$H$67*1.06</f>
        <v>20458</v>
      </c>
      <c r="G294" s="21">
        <f t="shared" si="174"/>
        <v>16356777.920666669</v>
      </c>
    </row>
    <row r="295" spans="2:27" x14ac:dyDescent="0.3">
      <c r="B295" s="22" t="s">
        <v>34</v>
      </c>
      <c r="C295" s="23" t="s">
        <v>70</v>
      </c>
      <c r="E295" s="19"/>
      <c r="G295" s="21"/>
    </row>
    <row r="296" spans="2:27" x14ac:dyDescent="0.3">
      <c r="B296" s="24">
        <v>1</v>
      </c>
      <c r="C296" s="23" t="s">
        <v>116</v>
      </c>
      <c r="D296" s="18">
        <f>O247</f>
        <v>41.277600000000007</v>
      </c>
      <c r="E296" s="19" t="s">
        <v>224</v>
      </c>
      <c r="F296" s="20">
        <f>AHSP!$H$107</f>
        <v>1382600</v>
      </c>
      <c r="G296" s="21">
        <f t="shared" ref="G296:G305" si="179">D296*F296</f>
        <v>57070409.760000013</v>
      </c>
    </row>
    <row r="297" spans="2:27" x14ac:dyDescent="0.3">
      <c r="B297" s="24">
        <v>2</v>
      </c>
      <c r="C297" s="23" t="s">
        <v>168</v>
      </c>
      <c r="D297" s="18">
        <f>O248</f>
        <v>21.431999999999999</v>
      </c>
      <c r="E297" s="19" t="s">
        <v>224</v>
      </c>
      <c r="F297" s="20">
        <f>AHSP!$H$107</f>
        <v>1382600</v>
      </c>
      <c r="G297" s="21">
        <f t="shared" si="179"/>
        <v>29631883.199999999</v>
      </c>
    </row>
    <row r="298" spans="2:27" x14ac:dyDescent="0.3">
      <c r="B298" s="24">
        <v>3</v>
      </c>
      <c r="C298" s="23" t="s">
        <v>118</v>
      </c>
      <c r="D298" s="18">
        <f>O252</f>
        <v>7.698599999999999</v>
      </c>
      <c r="E298" s="19" t="s">
        <v>224</v>
      </c>
      <c r="F298" s="20">
        <f>AHSP!$H$107</f>
        <v>1382600</v>
      </c>
      <c r="G298" s="21">
        <f t="shared" si="179"/>
        <v>10644084.359999999</v>
      </c>
    </row>
    <row r="299" spans="2:27" x14ac:dyDescent="0.3">
      <c r="B299" s="24">
        <v>4</v>
      </c>
      <c r="C299" s="23" t="s">
        <v>117</v>
      </c>
      <c r="D299" s="18">
        <f>O251</f>
        <v>20.0214</v>
      </c>
      <c r="E299" s="19" t="s">
        <v>224</v>
      </c>
      <c r="F299" s="20">
        <f>AHSP!$H$107</f>
        <v>1382600</v>
      </c>
      <c r="G299" s="21">
        <f t="shared" si="179"/>
        <v>27681587.640000001</v>
      </c>
    </row>
    <row r="300" spans="2:27" x14ac:dyDescent="0.3">
      <c r="B300" s="24">
        <v>5</v>
      </c>
      <c r="C300" s="23" t="s">
        <v>119</v>
      </c>
      <c r="D300" s="18">
        <f>O257</f>
        <v>5.9662499999999996</v>
      </c>
      <c r="E300" s="19" t="s">
        <v>224</v>
      </c>
      <c r="F300" s="20">
        <f>AHSP!$H$107</f>
        <v>1382600</v>
      </c>
      <c r="G300" s="21">
        <f t="shared" si="179"/>
        <v>8248937.2499999991</v>
      </c>
    </row>
    <row r="301" spans="2:27" x14ac:dyDescent="0.3">
      <c r="B301" s="24">
        <v>6</v>
      </c>
      <c r="C301" s="23" t="s">
        <v>167</v>
      </c>
      <c r="D301" s="18">
        <f>O258</f>
        <v>11.1333</v>
      </c>
      <c r="E301" s="19" t="s">
        <v>224</v>
      </c>
      <c r="F301" s="20">
        <f>AHSP!$H$107</f>
        <v>1382600</v>
      </c>
      <c r="G301" s="21">
        <f t="shared" si="179"/>
        <v>15392900.58</v>
      </c>
    </row>
    <row r="302" spans="2:27" x14ac:dyDescent="0.3">
      <c r="B302" s="24">
        <v>7</v>
      </c>
      <c r="C302" s="23" t="s">
        <v>147</v>
      </c>
      <c r="D302" s="18">
        <f>O259</f>
        <v>1.233225</v>
      </c>
      <c r="E302" s="19" t="s">
        <v>224</v>
      </c>
      <c r="F302" s="20">
        <f>AHSP!$H$107</f>
        <v>1382600</v>
      </c>
      <c r="G302" s="21">
        <f t="shared" si="179"/>
        <v>1705056.885</v>
      </c>
    </row>
    <row r="303" spans="2:27" x14ac:dyDescent="0.3">
      <c r="B303" s="24">
        <v>8</v>
      </c>
      <c r="C303" s="23" t="s">
        <v>173</v>
      </c>
      <c r="D303" s="18">
        <f>O260</f>
        <v>1.0997999999999999</v>
      </c>
      <c r="E303" s="19" t="s">
        <v>224</v>
      </c>
      <c r="F303" s="20">
        <f>AHSP!$H$107</f>
        <v>1382600</v>
      </c>
      <c r="G303" s="21">
        <f t="shared" si="179"/>
        <v>1520583.4799999997</v>
      </c>
    </row>
    <row r="304" spans="2:27" x14ac:dyDescent="0.3">
      <c r="B304" s="24">
        <v>9</v>
      </c>
      <c r="C304" s="23" t="s">
        <v>170</v>
      </c>
      <c r="D304" s="18">
        <f>O261</f>
        <v>0.89280000000000004</v>
      </c>
      <c r="E304" s="19" t="s">
        <v>224</v>
      </c>
      <c r="F304" s="20">
        <f>AHSP!$H$107</f>
        <v>1382600</v>
      </c>
      <c r="G304" s="21">
        <f t="shared" si="179"/>
        <v>1234385.28</v>
      </c>
    </row>
    <row r="305" spans="2:28" x14ac:dyDescent="0.3">
      <c r="B305" s="24">
        <v>10</v>
      </c>
      <c r="C305" s="23" t="s">
        <v>120</v>
      </c>
      <c r="D305" s="18">
        <f>O265</f>
        <v>3.8947500000000002</v>
      </c>
      <c r="E305" s="19" t="s">
        <v>224</v>
      </c>
      <c r="F305" s="20">
        <f>AHSP!$H$107</f>
        <v>1382600</v>
      </c>
      <c r="G305" s="21">
        <f t="shared" si="179"/>
        <v>5384881.3500000006</v>
      </c>
    </row>
    <row r="306" spans="2:28" x14ac:dyDescent="0.3">
      <c r="B306" s="22"/>
      <c r="C306" s="23"/>
      <c r="E306" s="19"/>
      <c r="F306" s="25" t="s">
        <v>241</v>
      </c>
      <c r="G306" s="26">
        <f>SUM(G274:G305)</f>
        <v>803150241.00566661</v>
      </c>
      <c r="J306" s="3" t="s">
        <v>8</v>
      </c>
      <c r="K306" s="3" t="s">
        <v>71</v>
      </c>
      <c r="L306" s="3" t="s">
        <v>7</v>
      </c>
      <c r="M306" s="3" t="s">
        <v>21</v>
      </c>
      <c r="N306" s="3" t="s">
        <v>128</v>
      </c>
      <c r="O306" s="3" t="s">
        <v>80</v>
      </c>
      <c r="P306" s="3" t="s">
        <v>52</v>
      </c>
      <c r="Q306" s="3" t="s">
        <v>49</v>
      </c>
      <c r="R306" s="3" t="s">
        <v>48</v>
      </c>
      <c r="S306" s="3" t="s">
        <v>51</v>
      </c>
      <c r="T306" s="3" t="s">
        <v>50</v>
      </c>
      <c r="U306" s="3" t="s">
        <v>131</v>
      </c>
      <c r="V306" s="3" t="s">
        <v>104</v>
      </c>
      <c r="W306" s="3" t="s">
        <v>105</v>
      </c>
      <c r="X306" s="3" t="s">
        <v>106</v>
      </c>
      <c r="Y306" s="3" t="s">
        <v>107</v>
      </c>
      <c r="Z306" s="3" t="s">
        <v>132</v>
      </c>
      <c r="AA306" s="3" t="s">
        <v>129</v>
      </c>
      <c r="AB306" s="3" t="s">
        <v>130</v>
      </c>
    </row>
    <row r="307" spans="2:28" x14ac:dyDescent="0.3">
      <c r="B307" s="24"/>
      <c r="C307" s="23"/>
      <c r="E307" s="19"/>
      <c r="G307" s="21"/>
      <c r="J307" s="3" t="s">
        <v>8</v>
      </c>
      <c r="K307" s="3" t="s">
        <v>71</v>
      </c>
      <c r="L307" s="3" t="s">
        <v>7</v>
      </c>
      <c r="M307" s="3" t="s">
        <v>21</v>
      </c>
      <c r="N307" s="3" t="s">
        <v>128</v>
      </c>
      <c r="O307" s="3" t="s">
        <v>80</v>
      </c>
      <c r="P307" s="3" t="s">
        <v>52</v>
      </c>
      <c r="Q307" s="3" t="s">
        <v>49</v>
      </c>
      <c r="R307" s="3" t="s">
        <v>48</v>
      </c>
      <c r="S307" s="3" t="s">
        <v>51</v>
      </c>
      <c r="T307" s="3" t="s">
        <v>50</v>
      </c>
      <c r="U307" s="3" t="s">
        <v>131</v>
      </c>
      <c r="V307" s="3" t="s">
        <v>104</v>
      </c>
      <c r="W307" s="3" t="s">
        <v>105</v>
      </c>
      <c r="X307" s="3" t="s">
        <v>106</v>
      </c>
      <c r="Y307" s="3" t="s">
        <v>107</v>
      </c>
      <c r="Z307" s="3" t="s">
        <v>132</v>
      </c>
      <c r="AA307" s="3" t="s">
        <v>129</v>
      </c>
      <c r="AB307" s="3" t="s">
        <v>130</v>
      </c>
    </row>
    <row r="308" spans="2:28" x14ac:dyDescent="0.3">
      <c r="B308" s="16" t="s">
        <v>164</v>
      </c>
      <c r="C308" s="17" t="s">
        <v>165</v>
      </c>
      <c r="E308" s="19"/>
      <c r="G308" s="21"/>
      <c r="I308" s="4" t="s">
        <v>122</v>
      </c>
      <c r="J308" s="3">
        <v>0.45</v>
      </c>
      <c r="K308" s="3">
        <v>0.65</v>
      </c>
      <c r="L308" s="3">
        <v>57</v>
      </c>
      <c r="M308" s="3">
        <v>2</v>
      </c>
      <c r="N308" s="3">
        <f>(J308+2*(K308-0.13))*L308*M308</f>
        <v>169.85999999999999</v>
      </c>
      <c r="O308" s="3">
        <f>J308*(K308-0.13)*L308*M308</f>
        <v>26.676000000000002</v>
      </c>
      <c r="Q308" s="3">
        <v>18</v>
      </c>
      <c r="R308" s="3">
        <v>0</v>
      </c>
      <c r="S308" s="3">
        <f>2.15/0.15</f>
        <v>14.333333333333334</v>
      </c>
      <c r="U308" s="3">
        <v>1.04</v>
      </c>
      <c r="V308" s="3">
        <v>1.58</v>
      </c>
      <c r="W308" s="3">
        <v>2.23</v>
      </c>
      <c r="X308" s="3">
        <v>0.62</v>
      </c>
      <c r="Y308" s="3">
        <v>0.39500000000000002</v>
      </c>
      <c r="Z308" s="3">
        <f>(Q308*V308+R308*W308)*(L308+0.7)*M308</f>
        <v>3281.9760000000001</v>
      </c>
      <c r="AA308" s="3">
        <f>X308*S308*M308*L308</f>
        <v>1013.08</v>
      </c>
      <c r="AB308" s="3">
        <f>Z308+AA308</f>
        <v>4295.0560000000005</v>
      </c>
    </row>
    <row r="309" spans="2:28" x14ac:dyDescent="0.3">
      <c r="B309" s="22">
        <v>1</v>
      </c>
      <c r="C309" s="23" t="s">
        <v>75</v>
      </c>
      <c r="D309" s="18">
        <f>D245</f>
        <v>1085.171875</v>
      </c>
      <c r="E309" s="19" t="s">
        <v>225</v>
      </c>
      <c r="F309" s="20">
        <f>AHSP!$H$215</f>
        <v>241200</v>
      </c>
      <c r="G309" s="21">
        <f t="shared" ref="G309:G312" si="180">D309*F309</f>
        <v>261743456.25</v>
      </c>
      <c r="I309" s="4" t="s">
        <v>122</v>
      </c>
      <c r="J309" s="3">
        <v>0.45</v>
      </c>
      <c r="K309" s="3">
        <v>0.65</v>
      </c>
      <c r="L309" s="3">
        <v>7.8</v>
      </c>
      <c r="M309" s="3">
        <v>8</v>
      </c>
      <c r="N309" s="3">
        <f t="shared" ref="N309" si="181">(J309+2*(K309-0.13))*L309*M309</f>
        <v>92.975999999999999</v>
      </c>
      <c r="O309" s="3">
        <f t="shared" ref="O309" si="182">J309*(K309-0.13)*L309*M309</f>
        <v>14.601600000000001</v>
      </c>
      <c r="Q309" s="3">
        <v>18.5</v>
      </c>
      <c r="R309" s="3">
        <v>0</v>
      </c>
      <c r="S309" s="3">
        <f>2.15/0.15</f>
        <v>14.333333333333334</v>
      </c>
      <c r="V309" s="3">
        <v>1.58</v>
      </c>
      <c r="W309" s="3">
        <v>2.23</v>
      </c>
      <c r="X309" s="3">
        <v>0.62</v>
      </c>
      <c r="Y309" s="3">
        <v>0.39500000000000002</v>
      </c>
      <c r="Z309" s="3">
        <f>(Q309*V309+R309*W309)*(L309+0.7)*M309</f>
        <v>1987.64</v>
      </c>
      <c r="AA309" s="3">
        <f>X309*S309*M309*L309</f>
        <v>554.52800000000002</v>
      </c>
      <c r="AB309" s="3">
        <f>Z309+AA309</f>
        <v>2542.1680000000001</v>
      </c>
    </row>
    <row r="310" spans="2:28" x14ac:dyDescent="0.3">
      <c r="B310" s="22">
        <v>2</v>
      </c>
      <c r="C310" s="23" t="s">
        <v>138</v>
      </c>
      <c r="D310" s="18">
        <f>D246</f>
        <v>1085.171875</v>
      </c>
      <c r="E310" s="19" t="s">
        <v>225</v>
      </c>
      <c r="G310" s="21">
        <f t="shared" si="180"/>
        <v>0</v>
      </c>
      <c r="N310" s="5">
        <f>SUM(N308:N309)</f>
        <v>262.83600000000001</v>
      </c>
      <c r="O310" s="5">
        <f>SUM(O308:O309)</f>
        <v>41.277600000000007</v>
      </c>
      <c r="AB310" s="5">
        <f>SUM(AB308:AB309)</f>
        <v>6837.2240000000002</v>
      </c>
    </row>
    <row r="311" spans="2:28" x14ac:dyDescent="0.3">
      <c r="B311" s="22">
        <v>3</v>
      </c>
      <c r="C311" s="23" t="s">
        <v>183</v>
      </c>
      <c r="D311" s="18">
        <f>D247</f>
        <v>18436.205249999999</v>
      </c>
      <c r="E311" s="19" t="s">
        <v>65</v>
      </c>
      <c r="F311" s="20">
        <f>F247</f>
        <v>19300</v>
      </c>
      <c r="G311" s="21">
        <f t="shared" si="180"/>
        <v>355818761.32499999</v>
      </c>
      <c r="I311" s="4" t="s">
        <v>174</v>
      </c>
      <c r="J311" s="3">
        <v>0.4</v>
      </c>
      <c r="K311" s="3">
        <v>0.6</v>
      </c>
      <c r="L311" s="3">
        <v>57</v>
      </c>
      <c r="M311" s="3">
        <v>2</v>
      </c>
      <c r="N311" s="5">
        <f>(J311+2*(K311-0.13))*L311*M311</f>
        <v>152.76</v>
      </c>
      <c r="O311" s="5">
        <f>J311*(K311-0.13)*L311*M311</f>
        <v>21.431999999999999</v>
      </c>
      <c r="Q311" s="3">
        <v>14</v>
      </c>
      <c r="S311" s="3">
        <f>1.95/0.15</f>
        <v>13</v>
      </c>
      <c r="U311" s="3">
        <v>1.04</v>
      </c>
      <c r="V311" s="3">
        <v>1.58</v>
      </c>
      <c r="W311" s="3">
        <v>2.23</v>
      </c>
      <c r="X311" s="3">
        <v>0.62</v>
      </c>
      <c r="Y311" s="3">
        <v>0.39500000000000002</v>
      </c>
      <c r="Z311" s="3">
        <f>(Q311*V311+R311*W311)*(L311+0.7)*M311</f>
        <v>2552.6480000000001</v>
      </c>
      <c r="AA311" s="3">
        <f>X311*S311*M311*L311</f>
        <v>918.84</v>
      </c>
      <c r="AB311" s="5">
        <f>Z311+AA311</f>
        <v>3471.4880000000003</v>
      </c>
    </row>
    <row r="312" spans="2:28" x14ac:dyDescent="0.3">
      <c r="B312" s="22">
        <v>4</v>
      </c>
      <c r="C312" s="23" t="s">
        <v>70</v>
      </c>
      <c r="D312" s="18">
        <f>D248</f>
        <v>146.498203125</v>
      </c>
      <c r="E312" s="19" t="s">
        <v>224</v>
      </c>
      <c r="F312" s="20">
        <f>AHSP!$H$107</f>
        <v>1382600</v>
      </c>
      <c r="G312" s="21">
        <f t="shared" si="180"/>
        <v>202548415.640625</v>
      </c>
      <c r="I312" s="8" t="s">
        <v>123</v>
      </c>
      <c r="J312" s="3">
        <v>0.35</v>
      </c>
      <c r="K312" s="3">
        <v>0.55000000000000004</v>
      </c>
      <c r="L312" s="3">
        <v>5.9</v>
      </c>
      <c r="M312" s="3">
        <v>21</v>
      </c>
      <c r="N312" s="3">
        <f>(J312+2*(K312-0.13))*L312*M312</f>
        <v>147.441</v>
      </c>
      <c r="O312" s="3">
        <f>J312*(K312-0.13)*L312*M312</f>
        <v>18.2133</v>
      </c>
      <c r="Q312" s="3">
        <v>13.5</v>
      </c>
      <c r="S312" s="3">
        <f>1.75/0.15</f>
        <v>11.666666666666668</v>
      </c>
      <c r="V312" s="3">
        <v>1.58</v>
      </c>
      <c r="W312" s="3">
        <v>2.23</v>
      </c>
      <c r="X312" s="3">
        <v>0.62</v>
      </c>
      <c r="Y312" s="3">
        <v>0.39500000000000002</v>
      </c>
      <c r="Z312" s="3">
        <f>(Q312*V312+R312*W312)*(L312+0.7)*M312</f>
        <v>2956.3380000000006</v>
      </c>
      <c r="AA312" s="3">
        <f>X312*S312*M312*L312</f>
        <v>896.21000000000026</v>
      </c>
      <c r="AB312" s="3">
        <f>Z312+AA312</f>
        <v>3852.5480000000007</v>
      </c>
    </row>
    <row r="313" spans="2:28" x14ac:dyDescent="0.3">
      <c r="B313" s="22"/>
      <c r="C313" s="23"/>
      <c r="E313" s="19"/>
      <c r="F313" s="25" t="s">
        <v>242</v>
      </c>
      <c r="G313" s="26">
        <f>SUM(G309:G312)</f>
        <v>820110633.21562505</v>
      </c>
      <c r="I313" s="8" t="s">
        <v>123</v>
      </c>
      <c r="J313" s="3">
        <v>0.35</v>
      </c>
      <c r="K313" s="3">
        <v>0.55000000000000004</v>
      </c>
      <c r="L313" s="3">
        <v>2.6</v>
      </c>
      <c r="M313" s="3">
        <v>6</v>
      </c>
      <c r="N313" s="3">
        <f>(J313+2*(K313-0.13))*L313*M313</f>
        <v>18.564</v>
      </c>
      <c r="O313" s="3">
        <f>J313*(K313-0.13)*L313*M313</f>
        <v>2.2931999999999997</v>
      </c>
      <c r="Q313" s="3">
        <v>13.5</v>
      </c>
      <c r="S313" s="3">
        <f>1.75/0.15</f>
        <v>11.666666666666668</v>
      </c>
      <c r="V313" s="3">
        <v>1.58</v>
      </c>
      <c r="W313" s="3">
        <v>2.23</v>
      </c>
      <c r="X313" s="3">
        <v>0.62</v>
      </c>
      <c r="Y313" s="3">
        <v>0.39500000000000002</v>
      </c>
      <c r="Z313" s="3">
        <f>(Q313*V313+R313*W313)*(L313+0.7)*M313</f>
        <v>422.33399999999995</v>
      </c>
      <c r="AA313" s="3">
        <f>X313*S313*M313*L313</f>
        <v>112.84000000000002</v>
      </c>
      <c r="AB313" s="3">
        <f>Z313+AA313</f>
        <v>535.17399999999998</v>
      </c>
    </row>
    <row r="314" spans="2:28" x14ac:dyDescent="0.3">
      <c r="B314" s="22"/>
      <c r="C314" s="23"/>
      <c r="E314" s="19"/>
      <c r="G314" s="21"/>
      <c r="N314" s="5">
        <f>SUM(N312:N313)</f>
        <v>166.005</v>
      </c>
      <c r="O314" s="5">
        <f>SUM(O312:O313)</f>
        <v>20.506499999999999</v>
      </c>
      <c r="AB314" s="5">
        <f>SUM(AB312:AB313)</f>
        <v>4387.7220000000007</v>
      </c>
    </row>
    <row r="315" spans="2:28" x14ac:dyDescent="0.3">
      <c r="B315" s="16" t="s">
        <v>175</v>
      </c>
      <c r="C315" s="17" t="s">
        <v>176</v>
      </c>
      <c r="E315" s="19"/>
      <c r="G315" s="21"/>
      <c r="I315" s="4" t="s">
        <v>124</v>
      </c>
      <c r="J315" s="3">
        <v>0.35</v>
      </c>
      <c r="K315" s="3">
        <v>0.6</v>
      </c>
      <c r="L315" s="3">
        <v>7.8</v>
      </c>
      <c r="M315" s="3">
        <v>6</v>
      </c>
      <c r="N315" s="5">
        <f>(J315+2*(K315-0.13))*L315*M315</f>
        <v>60.372</v>
      </c>
      <c r="O315" s="5">
        <f>J315*(K315-0.13)*L315*M315</f>
        <v>7.698599999999999</v>
      </c>
      <c r="P315" s="3">
        <v>4</v>
      </c>
      <c r="Q315" s="3">
        <f>(8+2/2)</f>
        <v>9</v>
      </c>
      <c r="S315" s="3">
        <f>1.85/0.15</f>
        <v>12.333333333333334</v>
      </c>
      <c r="U315" s="3">
        <v>1.04</v>
      </c>
      <c r="V315" s="3">
        <v>1.58</v>
      </c>
      <c r="W315" s="3">
        <v>2.23</v>
      </c>
      <c r="X315" s="3">
        <v>0.62</v>
      </c>
      <c r="Y315" s="3">
        <v>0.39500000000000002</v>
      </c>
      <c r="Z315" s="3">
        <f>(Q315*M315*V315+P315*M315*U315)*(L315+0.4)</f>
        <v>904.29599999999994</v>
      </c>
      <c r="AA315" s="3">
        <f>X315*S315*M315*L315</f>
        <v>357.86400000000003</v>
      </c>
      <c r="AB315" s="5">
        <f>Z315+AA315</f>
        <v>1262.1599999999999</v>
      </c>
    </row>
    <row r="316" spans="2:28" x14ac:dyDescent="0.3">
      <c r="B316" s="22" t="s">
        <v>16</v>
      </c>
      <c r="C316" s="23" t="s">
        <v>75</v>
      </c>
      <c r="E316" s="19"/>
      <c r="G316" s="21"/>
      <c r="I316" s="4" t="s">
        <v>125</v>
      </c>
      <c r="J316" s="3">
        <v>0.3</v>
      </c>
      <c r="K316" s="3">
        <v>0.5</v>
      </c>
      <c r="L316" s="3">
        <v>2.8</v>
      </c>
      <c r="M316" s="3">
        <v>8</v>
      </c>
      <c r="N316" s="3">
        <f>(J316+2*(K316-0.13))*L316*M316</f>
        <v>23.295999999999999</v>
      </c>
      <c r="O316" s="3">
        <f>J316*(K316-0.13)*L316*M316</f>
        <v>2.4863999999999997</v>
      </c>
      <c r="P316" s="3">
        <v>2</v>
      </c>
      <c r="Q316" s="7">
        <v>8</v>
      </c>
      <c r="S316" s="3">
        <f>1.55/0.15</f>
        <v>10.333333333333334</v>
      </c>
      <c r="U316" s="3">
        <v>1.04</v>
      </c>
      <c r="V316" s="3">
        <v>1.58</v>
      </c>
      <c r="W316" s="3">
        <v>2.23</v>
      </c>
      <c r="X316" s="3">
        <v>0.62</v>
      </c>
      <c r="Y316" s="3">
        <v>0.39500000000000002</v>
      </c>
      <c r="Z316" s="3">
        <f t="shared" ref="Z316:Z319" si="183">(Q316*M316*V316+P316*M316*U316)*(L316+0.4)</f>
        <v>376.83199999999999</v>
      </c>
      <c r="AA316" s="3">
        <f t="shared" ref="AA316:AA319" si="184">X316*S316*M316*L316</f>
        <v>143.50933333333333</v>
      </c>
      <c r="AB316" s="3">
        <f t="shared" ref="AB316:AB319" si="185">Z316+AA316</f>
        <v>520.3413333333333</v>
      </c>
    </row>
    <row r="317" spans="2:28" x14ac:dyDescent="0.3">
      <c r="B317" s="24">
        <v>1</v>
      </c>
      <c r="C317" s="23" t="s">
        <v>158</v>
      </c>
      <c r="D317" s="18">
        <f>O291</f>
        <v>145.20000000000002</v>
      </c>
      <c r="E317" s="19" t="s">
        <v>225</v>
      </c>
      <c r="F317" s="20">
        <f>AHSP!$H$171*1.09</f>
        <v>246776.00000000003</v>
      </c>
      <c r="G317" s="21">
        <f t="shared" ref="G317:G318" si="186">D317*F317</f>
        <v>35831875.20000001</v>
      </c>
      <c r="Q317" s="7"/>
    </row>
    <row r="318" spans="2:28" x14ac:dyDescent="0.3">
      <c r="B318" s="24">
        <v>2</v>
      </c>
      <c r="C318" s="23" t="s">
        <v>90</v>
      </c>
      <c r="D318" s="18">
        <f>O292</f>
        <v>110</v>
      </c>
      <c r="E318" s="19" t="s">
        <v>225</v>
      </c>
      <c r="F318" s="20">
        <f>AHSP!$H$171*1.09</f>
        <v>246776.00000000003</v>
      </c>
      <c r="G318" s="21">
        <f t="shared" si="186"/>
        <v>27145360.000000004</v>
      </c>
      <c r="J318" s="3">
        <v>0.3</v>
      </c>
      <c r="K318" s="3">
        <v>0.5</v>
      </c>
      <c r="L318" s="3">
        <v>14.7</v>
      </c>
      <c r="M318" s="3">
        <v>1</v>
      </c>
      <c r="N318" s="3">
        <f t="shared" ref="N318:N319" si="187">(J318+2*(K318-0.13))*L318*M318</f>
        <v>15.288</v>
      </c>
      <c r="O318" s="3">
        <f t="shared" ref="O318:O319" si="188">J318*(K318-0.13)*L318*M318</f>
        <v>1.6316999999999999</v>
      </c>
      <c r="P318" s="3">
        <v>2</v>
      </c>
      <c r="Q318" s="7">
        <v>8</v>
      </c>
      <c r="S318" s="3">
        <f t="shared" ref="S318:S319" si="189">1.55/0.15</f>
        <v>10.333333333333334</v>
      </c>
      <c r="U318" s="3">
        <v>1.04</v>
      </c>
      <c r="V318" s="3">
        <v>1.58</v>
      </c>
      <c r="W318" s="3">
        <v>2.23</v>
      </c>
      <c r="X318" s="3">
        <v>0.62</v>
      </c>
      <c r="Y318" s="3">
        <v>0.39500000000000002</v>
      </c>
      <c r="Z318" s="3">
        <f t="shared" si="183"/>
        <v>222.27199999999999</v>
      </c>
      <c r="AA318" s="3">
        <f t="shared" si="184"/>
        <v>94.177999999999997</v>
      </c>
      <c r="AB318" s="3">
        <f t="shared" si="185"/>
        <v>316.45</v>
      </c>
    </row>
    <row r="319" spans="2:28" x14ac:dyDescent="0.3">
      <c r="B319" s="22" t="s">
        <v>31</v>
      </c>
      <c r="C319" s="23" t="s">
        <v>111</v>
      </c>
      <c r="E319" s="19"/>
      <c r="G319" s="21"/>
      <c r="J319" s="3">
        <v>0.3</v>
      </c>
      <c r="K319" s="3">
        <v>0.5</v>
      </c>
      <c r="L319" s="3">
        <v>5.9</v>
      </c>
      <c r="M319" s="3">
        <v>2</v>
      </c>
      <c r="N319" s="3">
        <f t="shared" si="187"/>
        <v>12.272000000000002</v>
      </c>
      <c r="O319" s="3">
        <f t="shared" si="188"/>
        <v>1.3098000000000001</v>
      </c>
      <c r="P319" s="3">
        <v>2</v>
      </c>
      <c r="Q319" s="7">
        <v>8</v>
      </c>
      <c r="S319" s="3">
        <f t="shared" si="189"/>
        <v>10.333333333333334</v>
      </c>
      <c r="U319" s="3">
        <v>1.04</v>
      </c>
      <c r="V319" s="3">
        <v>1.58</v>
      </c>
      <c r="W319" s="3">
        <v>2.23</v>
      </c>
      <c r="X319" s="3">
        <v>0.62</v>
      </c>
      <c r="Y319" s="3">
        <v>0.39500000000000002</v>
      </c>
      <c r="Z319" s="3">
        <f t="shared" si="183"/>
        <v>185.47200000000004</v>
      </c>
      <c r="AA319" s="3">
        <f t="shared" si="184"/>
        <v>75.598666666666674</v>
      </c>
      <c r="AB319" s="3">
        <f t="shared" si="185"/>
        <v>261.07066666666674</v>
      </c>
    </row>
    <row r="320" spans="2:28" x14ac:dyDescent="0.3">
      <c r="B320" s="24">
        <v>1</v>
      </c>
      <c r="C320" s="23" t="s">
        <v>158</v>
      </c>
      <c r="D320" s="18">
        <f>AA291</f>
        <v>5776.4293880000005</v>
      </c>
      <c r="E320" s="19" t="s">
        <v>65</v>
      </c>
      <c r="F320" s="20">
        <f>AHSP!$H$67*1.09</f>
        <v>21037</v>
      </c>
      <c r="G320" s="21">
        <f t="shared" ref="G320:G321" si="190">D320*F320</f>
        <v>121518745.03535601</v>
      </c>
      <c r="N320" s="5">
        <f>SUM(N316:N319)</f>
        <v>50.856000000000009</v>
      </c>
      <c r="O320" s="5">
        <f>SUM(O316:O319)</f>
        <v>5.4279000000000002</v>
      </c>
      <c r="AB320" s="5">
        <f>SUM(AB316:AB319)</f>
        <v>1097.8620000000001</v>
      </c>
    </row>
    <row r="321" spans="2:28" x14ac:dyDescent="0.3">
      <c r="B321" s="24">
        <v>2</v>
      </c>
      <c r="C321" s="23" t="s">
        <v>90</v>
      </c>
      <c r="D321" s="18">
        <f>AA292</f>
        <v>4134.091508333333</v>
      </c>
      <c r="E321" s="19" t="s">
        <v>65</v>
      </c>
      <c r="F321" s="20">
        <f>AHSP!$H$67*1.09</f>
        <v>21037</v>
      </c>
      <c r="G321" s="21">
        <f t="shared" si="190"/>
        <v>86968883.060808331</v>
      </c>
      <c r="I321" s="8" t="s">
        <v>166</v>
      </c>
      <c r="J321" s="3">
        <v>0.3</v>
      </c>
      <c r="K321" s="3">
        <v>0.5</v>
      </c>
      <c r="L321" s="3">
        <v>5.9</v>
      </c>
      <c r="M321" s="3">
        <v>20</v>
      </c>
      <c r="N321" s="5">
        <f t="shared" ref="N321:N327" si="191">(J321+2*(K321-0.13))*L321*M321</f>
        <v>122.72000000000003</v>
      </c>
      <c r="O321" s="5">
        <f t="shared" ref="O321:O327" si="192">J321*(K321-0.13)*L321*M321</f>
        <v>13.098000000000001</v>
      </c>
      <c r="P321" s="3">
        <v>2</v>
      </c>
      <c r="Q321" s="3">
        <v>8</v>
      </c>
      <c r="S321" s="3">
        <f>1.55/0.15</f>
        <v>10.333333333333334</v>
      </c>
      <c r="U321" s="3">
        <v>1.04</v>
      </c>
      <c r="V321" s="3">
        <v>1.58</v>
      </c>
      <c r="W321" s="3">
        <v>2.23</v>
      </c>
      <c r="X321" s="3">
        <v>0.62</v>
      </c>
      <c r="Y321" s="3">
        <v>0.39500000000000002</v>
      </c>
      <c r="Z321" s="3">
        <f t="shared" ref="Z321:Z322" si="193">(Q321*M321*V321+P321*M321*U321)*(L321+0.4)</f>
        <v>1854.7200000000005</v>
      </c>
      <c r="AA321" s="3">
        <f>X321*S321*M321*L321</f>
        <v>755.98666666666679</v>
      </c>
      <c r="AB321" s="5">
        <f>Z321+AA321</f>
        <v>2610.7066666666674</v>
      </c>
    </row>
    <row r="322" spans="2:28" x14ac:dyDescent="0.3">
      <c r="B322" s="22" t="s">
        <v>34</v>
      </c>
      <c r="C322" s="23" t="s">
        <v>70</v>
      </c>
      <c r="E322" s="19"/>
      <c r="G322" s="21"/>
      <c r="I322" s="4" t="s">
        <v>145</v>
      </c>
      <c r="J322" s="3">
        <v>0.3</v>
      </c>
      <c r="K322" s="3">
        <v>0.4</v>
      </c>
      <c r="L322" s="3">
        <f>8.85+4.75</f>
        <v>13.6</v>
      </c>
      <c r="M322" s="3">
        <v>1</v>
      </c>
      <c r="N322" s="5">
        <f t="shared" si="191"/>
        <v>11.424000000000001</v>
      </c>
      <c r="O322" s="5">
        <f t="shared" si="192"/>
        <v>1.1015999999999999</v>
      </c>
      <c r="Q322" s="3">
        <v>7</v>
      </c>
      <c r="S322" s="3">
        <f>1.35/0.15</f>
        <v>9.0000000000000018</v>
      </c>
      <c r="U322" s="3">
        <v>1.04</v>
      </c>
      <c r="V322" s="3">
        <v>1.58</v>
      </c>
      <c r="W322" s="3">
        <v>2.23</v>
      </c>
      <c r="X322" s="3">
        <v>0.62</v>
      </c>
      <c r="Y322" s="3">
        <v>0.39500000000000002</v>
      </c>
      <c r="Z322" s="3">
        <f t="shared" si="193"/>
        <v>154.84</v>
      </c>
      <c r="AA322" s="3">
        <f>X322*S322*M322*L322</f>
        <v>75.888000000000005</v>
      </c>
      <c r="AB322" s="3">
        <f>Z322+AA322</f>
        <v>230.72800000000001</v>
      </c>
    </row>
    <row r="323" spans="2:28" x14ac:dyDescent="0.3">
      <c r="B323" s="24">
        <v>1</v>
      </c>
      <c r="C323" s="23" t="s">
        <v>158</v>
      </c>
      <c r="D323" s="18">
        <f>P291</f>
        <v>19.965000000000003</v>
      </c>
      <c r="E323" s="19" t="s">
        <v>224</v>
      </c>
      <c r="F323" s="20">
        <f>AHSP!$H$107</f>
        <v>1382600</v>
      </c>
      <c r="G323" s="21">
        <f t="shared" ref="G323:G324" si="194">D323*F323</f>
        <v>27603609.000000004</v>
      </c>
      <c r="I323" s="4" t="s">
        <v>172</v>
      </c>
      <c r="J323" s="3">
        <v>0.3</v>
      </c>
      <c r="K323" s="3">
        <v>0.6</v>
      </c>
      <c r="L323" s="3">
        <v>7.8</v>
      </c>
      <c r="M323" s="3">
        <v>1</v>
      </c>
      <c r="N323" s="5">
        <f t="shared" si="191"/>
        <v>9.6720000000000006</v>
      </c>
      <c r="O323" s="5">
        <f t="shared" si="192"/>
        <v>1.0997999999999999</v>
      </c>
      <c r="Q323" s="3">
        <v>10</v>
      </c>
      <c r="S323" s="3">
        <f>1.65/0.15</f>
        <v>11</v>
      </c>
      <c r="U323" s="3">
        <v>1.04</v>
      </c>
      <c r="V323" s="3">
        <v>1.58</v>
      </c>
      <c r="W323" s="3">
        <v>2.23</v>
      </c>
      <c r="X323" s="3">
        <v>0.62</v>
      </c>
      <c r="Y323" s="3">
        <v>0.39500000000000002</v>
      </c>
      <c r="Z323" s="3">
        <f>(Q323*V323+P323*U323)*L323*M323</f>
        <v>123.24000000000001</v>
      </c>
      <c r="AA323" s="3">
        <f>X323*S323*M323*L323</f>
        <v>53.195999999999998</v>
      </c>
      <c r="AB323" s="5">
        <f t="shared" ref="AB323" si="195">Z323+AA323</f>
        <v>176.43600000000001</v>
      </c>
    </row>
    <row r="324" spans="2:28" x14ac:dyDescent="0.3">
      <c r="B324" s="24">
        <v>2</v>
      </c>
      <c r="C324" s="23" t="s">
        <v>90</v>
      </c>
      <c r="D324" s="18">
        <f>P292</f>
        <v>13.75</v>
      </c>
      <c r="E324" s="19" t="s">
        <v>224</v>
      </c>
      <c r="F324" s="20">
        <f>AHSP!$H$107</f>
        <v>1382600</v>
      </c>
      <c r="G324" s="21">
        <f t="shared" si="194"/>
        <v>19010750</v>
      </c>
      <c r="I324" s="4" t="s">
        <v>171</v>
      </c>
      <c r="J324" s="3">
        <v>0.3</v>
      </c>
      <c r="K324" s="3">
        <v>0.45</v>
      </c>
      <c r="L324" s="3">
        <f>5.9+3.4</f>
        <v>9.3000000000000007</v>
      </c>
      <c r="M324" s="3">
        <v>1</v>
      </c>
      <c r="N324" s="5">
        <f t="shared" si="191"/>
        <v>8.7420000000000009</v>
      </c>
      <c r="O324" s="5">
        <f t="shared" si="192"/>
        <v>0.89280000000000004</v>
      </c>
      <c r="Q324" s="3">
        <v>7</v>
      </c>
      <c r="S324" s="3">
        <f>1.45/0.15</f>
        <v>9.6666666666666661</v>
      </c>
      <c r="U324" s="3">
        <v>1.04</v>
      </c>
      <c r="V324" s="3">
        <v>1.58</v>
      </c>
      <c r="W324" s="3">
        <v>2.23</v>
      </c>
      <c r="X324" s="3">
        <v>0.62</v>
      </c>
      <c r="Y324" s="3">
        <v>0.39500000000000002</v>
      </c>
      <c r="Z324" s="3">
        <f t="shared" ref="Z324" si="196">(Q324*M324*V324+P324*M324*U324)*(L324+0.4)</f>
        <v>107.28200000000001</v>
      </c>
      <c r="AA324" s="3">
        <f>X324*S324*M324*L324</f>
        <v>55.738</v>
      </c>
      <c r="AB324" s="3">
        <f>Z324+AA324</f>
        <v>163.02000000000001</v>
      </c>
    </row>
    <row r="325" spans="2:28" x14ac:dyDescent="0.3">
      <c r="B325" s="22"/>
      <c r="C325" s="23"/>
      <c r="E325" s="19"/>
      <c r="F325" s="25" t="s">
        <v>243</v>
      </c>
      <c r="G325" s="26">
        <f>SUM(G316:G324)</f>
        <v>318079222.29616439</v>
      </c>
      <c r="I325" s="4" t="s">
        <v>126</v>
      </c>
      <c r="J325" s="3">
        <v>0.25</v>
      </c>
      <c r="K325" s="3">
        <v>0.4</v>
      </c>
      <c r="L325" s="3">
        <v>23.55</v>
      </c>
      <c r="M325" s="3">
        <v>2</v>
      </c>
      <c r="N325" s="3">
        <f t="shared" si="191"/>
        <v>37.209000000000003</v>
      </c>
      <c r="O325" s="3">
        <f t="shared" si="192"/>
        <v>3.1792500000000001</v>
      </c>
      <c r="Q325" s="3">
        <f>5+1/2</f>
        <v>5.5</v>
      </c>
      <c r="T325" s="3">
        <f>1.25/0.15</f>
        <v>8.3333333333333339</v>
      </c>
      <c r="U325" s="3">
        <v>1.04</v>
      </c>
      <c r="V325" s="3">
        <v>1.58</v>
      </c>
      <c r="W325" s="3">
        <v>2.23</v>
      </c>
      <c r="X325" s="3">
        <v>0.62</v>
      </c>
      <c r="Y325" s="3">
        <v>0.39500000000000002</v>
      </c>
      <c r="Z325" s="3">
        <f>(Q325*V325+P325*U325)*L325*M325</f>
        <v>409.29900000000009</v>
      </c>
      <c r="AA325" s="3">
        <f>X325*T325*M325*L325</f>
        <v>243.35000000000002</v>
      </c>
      <c r="AB325" s="3">
        <f>Z325+AA325</f>
        <v>652.64900000000011</v>
      </c>
    </row>
    <row r="326" spans="2:28" x14ac:dyDescent="0.3">
      <c r="B326" s="24"/>
      <c r="C326" s="23"/>
      <c r="E326" s="19"/>
      <c r="G326" s="21"/>
      <c r="I326" s="4" t="s">
        <v>126</v>
      </c>
      <c r="J326" s="3">
        <v>0.25</v>
      </c>
      <c r="K326" s="3">
        <v>0.4</v>
      </c>
      <c r="L326" s="3">
        <v>3.1</v>
      </c>
      <c r="M326" s="3">
        <v>2</v>
      </c>
      <c r="N326" s="3">
        <f t="shared" si="191"/>
        <v>4.8980000000000006</v>
      </c>
      <c r="O326" s="3">
        <f t="shared" si="192"/>
        <v>0.41850000000000004</v>
      </c>
      <c r="Q326" s="3">
        <v>5.5</v>
      </c>
      <c r="T326" s="3">
        <f>1.25/0.15</f>
        <v>8.3333333333333339</v>
      </c>
      <c r="U326" s="3">
        <v>1.04</v>
      </c>
      <c r="V326" s="3">
        <v>1.58</v>
      </c>
      <c r="W326" s="3">
        <v>2.23</v>
      </c>
      <c r="X326" s="3">
        <v>0.62</v>
      </c>
      <c r="Y326" s="3">
        <v>0.39500000000000002</v>
      </c>
      <c r="Z326" s="3">
        <f>(Q326*V326+P326*U326)*L326*M326</f>
        <v>53.878000000000007</v>
      </c>
      <c r="AA326" s="3">
        <f>X326*T326*M326*L326</f>
        <v>32.033333333333339</v>
      </c>
      <c r="AB326" s="3">
        <f>Z326+AA326</f>
        <v>85.911333333333346</v>
      </c>
    </row>
    <row r="327" spans="2:28" x14ac:dyDescent="0.3">
      <c r="B327" s="16" t="s">
        <v>177</v>
      </c>
      <c r="C327" s="17" t="s">
        <v>178</v>
      </c>
      <c r="E327" s="19"/>
      <c r="G327" s="21"/>
      <c r="I327" s="4" t="s">
        <v>126</v>
      </c>
      <c r="J327" s="3">
        <v>0.25</v>
      </c>
      <c r="K327" s="3">
        <v>0.4</v>
      </c>
      <c r="L327" s="3">
        <v>4.4000000000000004</v>
      </c>
      <c r="M327" s="3">
        <v>1</v>
      </c>
      <c r="N327" s="3">
        <f t="shared" si="191"/>
        <v>3.4760000000000004</v>
      </c>
      <c r="O327" s="3">
        <f t="shared" si="192"/>
        <v>0.29700000000000004</v>
      </c>
      <c r="Q327" s="3">
        <v>5.5</v>
      </c>
      <c r="T327" s="3">
        <f>1.25/0.15</f>
        <v>8.3333333333333339</v>
      </c>
      <c r="U327" s="3">
        <v>1.04</v>
      </c>
      <c r="V327" s="3">
        <v>1.58</v>
      </c>
      <c r="W327" s="3">
        <v>2.23</v>
      </c>
      <c r="X327" s="3">
        <v>0.62</v>
      </c>
      <c r="Y327" s="3">
        <v>0.39500000000000002</v>
      </c>
      <c r="Z327" s="3">
        <f>(Q327*V327+P327*U327)*L327*M327</f>
        <v>38.236000000000011</v>
      </c>
      <c r="AA327" s="3">
        <f>X327*T327*M327*L327</f>
        <v>22.733333333333338</v>
      </c>
      <c r="AB327" s="3">
        <f>Z327+AA327</f>
        <v>60.969333333333353</v>
      </c>
    </row>
    <row r="328" spans="2:28" x14ac:dyDescent="0.3">
      <c r="B328" s="22" t="s">
        <v>16</v>
      </c>
      <c r="C328" s="23" t="s">
        <v>75</v>
      </c>
      <c r="E328" s="19"/>
      <c r="G328" s="21"/>
      <c r="N328" s="5">
        <f>SUM(N325:N327)</f>
        <v>45.583000000000006</v>
      </c>
      <c r="O328" s="5">
        <f>SUM(O325:O327)</f>
        <v>3.8947500000000002</v>
      </c>
      <c r="AB328" s="5">
        <f>SUM(AB325:AB327)</f>
        <v>799.5296666666668</v>
      </c>
    </row>
    <row r="329" spans="2:28" x14ac:dyDescent="0.3">
      <c r="B329" s="24">
        <v>1</v>
      </c>
      <c r="C329" s="23" t="s">
        <v>116</v>
      </c>
      <c r="D329" s="18">
        <f>N310</f>
        <v>262.83600000000001</v>
      </c>
      <c r="E329" s="19" t="s">
        <v>225</v>
      </c>
      <c r="F329" s="20">
        <f>AHSP!$H$193*1.09</f>
        <v>260074.00000000003</v>
      </c>
      <c r="G329" s="21">
        <f t="shared" ref="G329:G338" si="197">D329*F329</f>
        <v>68356809.864000008</v>
      </c>
    </row>
    <row r="330" spans="2:28" x14ac:dyDescent="0.3">
      <c r="B330" s="24">
        <v>2</v>
      </c>
      <c r="C330" s="23" t="s">
        <v>168</v>
      </c>
      <c r="D330" s="18">
        <f>N311</f>
        <v>152.76</v>
      </c>
      <c r="E330" s="19" t="s">
        <v>225</v>
      </c>
      <c r="F330" s="20">
        <f>AHSP!$H$193*1.09</f>
        <v>260074.00000000003</v>
      </c>
      <c r="G330" s="21">
        <f t="shared" si="197"/>
        <v>39728904.240000002</v>
      </c>
    </row>
    <row r="331" spans="2:28" x14ac:dyDescent="0.3">
      <c r="B331" s="24">
        <v>3</v>
      </c>
      <c r="C331" s="23" t="s">
        <v>118</v>
      </c>
      <c r="D331" s="18">
        <f>N315</f>
        <v>60.372</v>
      </c>
      <c r="E331" s="19" t="s">
        <v>225</v>
      </c>
      <c r="F331" s="20">
        <f>AHSP!$H$193*1.09</f>
        <v>260074.00000000003</v>
      </c>
      <c r="G331" s="21">
        <f t="shared" si="197"/>
        <v>15701187.528000001</v>
      </c>
    </row>
    <row r="332" spans="2:28" x14ac:dyDescent="0.3">
      <c r="B332" s="24">
        <v>4</v>
      </c>
      <c r="C332" s="23" t="s">
        <v>117</v>
      </c>
      <c r="D332" s="18">
        <f>N314</f>
        <v>166.005</v>
      </c>
      <c r="E332" s="19" t="s">
        <v>225</v>
      </c>
      <c r="F332" s="20">
        <f>AHSP!$H$193*1.09</f>
        <v>260074.00000000003</v>
      </c>
      <c r="G332" s="21">
        <f t="shared" si="197"/>
        <v>43173584.370000005</v>
      </c>
    </row>
    <row r="333" spans="2:28" x14ac:dyDescent="0.3">
      <c r="B333" s="24">
        <v>5</v>
      </c>
      <c r="C333" s="23" t="s">
        <v>119</v>
      </c>
      <c r="D333" s="18">
        <f>N316</f>
        <v>23.295999999999999</v>
      </c>
      <c r="E333" s="19" t="s">
        <v>225</v>
      </c>
      <c r="F333" s="20">
        <f>AHSP!$H$193*1.09</f>
        <v>260074.00000000003</v>
      </c>
      <c r="G333" s="21">
        <f t="shared" si="197"/>
        <v>6058683.9040000001</v>
      </c>
    </row>
    <row r="334" spans="2:28" x14ac:dyDescent="0.3">
      <c r="B334" s="24">
        <v>6</v>
      </c>
      <c r="C334" s="23" t="s">
        <v>167</v>
      </c>
      <c r="D334" s="18">
        <f>N321</f>
        <v>122.72000000000003</v>
      </c>
      <c r="E334" s="19" t="s">
        <v>225</v>
      </c>
      <c r="F334" s="20">
        <f>AHSP!$H$193*1.09</f>
        <v>260074.00000000003</v>
      </c>
      <c r="G334" s="21">
        <f t="shared" si="197"/>
        <v>31916281.280000012</v>
      </c>
    </row>
    <row r="335" spans="2:28" x14ac:dyDescent="0.3">
      <c r="B335" s="24">
        <v>7</v>
      </c>
      <c r="C335" s="23" t="s">
        <v>147</v>
      </c>
      <c r="D335" s="18">
        <f>N322</f>
        <v>11.424000000000001</v>
      </c>
      <c r="E335" s="19" t="s">
        <v>225</v>
      </c>
      <c r="F335" s="20">
        <f>AHSP!$H$193*1.09</f>
        <v>260074.00000000003</v>
      </c>
      <c r="G335" s="21">
        <f t="shared" si="197"/>
        <v>2971085.3760000006</v>
      </c>
    </row>
    <row r="336" spans="2:28" x14ac:dyDescent="0.3">
      <c r="B336" s="24">
        <v>8</v>
      </c>
      <c r="C336" s="23" t="s">
        <v>173</v>
      </c>
      <c r="D336" s="18">
        <f>N323</f>
        <v>9.6720000000000006</v>
      </c>
      <c r="E336" s="19" t="s">
        <v>225</v>
      </c>
      <c r="F336" s="20">
        <f>AHSP!$H$193*1.09</f>
        <v>260074.00000000003</v>
      </c>
      <c r="G336" s="21">
        <f t="shared" si="197"/>
        <v>2515435.7280000006</v>
      </c>
      <c r="M336" s="5"/>
    </row>
    <row r="337" spans="2:28" x14ac:dyDescent="0.3">
      <c r="B337" s="24">
        <v>9</v>
      </c>
      <c r="C337" s="23" t="s">
        <v>170</v>
      </c>
      <c r="D337" s="18">
        <f>N324</f>
        <v>8.7420000000000009</v>
      </c>
      <c r="E337" s="19" t="s">
        <v>225</v>
      </c>
      <c r="F337" s="20">
        <f>AHSP!$H$193*1.09</f>
        <v>260074.00000000003</v>
      </c>
      <c r="G337" s="21">
        <f t="shared" si="197"/>
        <v>2273566.9080000003</v>
      </c>
      <c r="S337" s="5"/>
    </row>
    <row r="338" spans="2:28" x14ac:dyDescent="0.3">
      <c r="B338" s="24">
        <v>10</v>
      </c>
      <c r="C338" s="23" t="s">
        <v>120</v>
      </c>
      <c r="D338" s="18">
        <f>N328</f>
        <v>45.583000000000006</v>
      </c>
      <c r="E338" s="19" t="s">
        <v>225</v>
      </c>
      <c r="F338" s="20">
        <f>AHSP!$H$193*1.09</f>
        <v>260074.00000000003</v>
      </c>
      <c r="G338" s="21">
        <f t="shared" si="197"/>
        <v>11854953.142000003</v>
      </c>
      <c r="X338" s="3" t="s">
        <v>97</v>
      </c>
      <c r="Y338" s="3">
        <f>1.35/0.125</f>
        <v>10.8</v>
      </c>
      <c r="Z338" s="3">
        <f>0.25*2/0.2</f>
        <v>2.5</v>
      </c>
      <c r="AA338" s="3">
        <f>0.25*2/0.3</f>
        <v>1.6666666666666667</v>
      </c>
    </row>
    <row r="339" spans="2:28" x14ac:dyDescent="0.3">
      <c r="B339" s="22" t="s">
        <v>31</v>
      </c>
      <c r="C339" s="23" t="s">
        <v>111</v>
      </c>
      <c r="E339" s="19"/>
      <c r="G339" s="21"/>
      <c r="M339" s="5"/>
    </row>
    <row r="340" spans="2:28" x14ac:dyDescent="0.3">
      <c r="B340" s="24">
        <v>1</v>
      </c>
      <c r="C340" s="23" t="s">
        <v>116</v>
      </c>
      <c r="D340" s="18">
        <f>AB310</f>
        <v>6837.2240000000002</v>
      </c>
      <c r="E340" s="19" t="s">
        <v>65</v>
      </c>
      <c r="F340" s="20">
        <f>AHSP!$H$67*1.09</f>
        <v>21037</v>
      </c>
      <c r="G340" s="21">
        <f t="shared" ref="G340:G349" si="198">D340*F340</f>
        <v>143834681.28800002</v>
      </c>
      <c r="I340" s="3" t="s">
        <v>91</v>
      </c>
      <c r="K340" s="3" t="s">
        <v>21</v>
      </c>
      <c r="L340" s="3" t="s">
        <v>7</v>
      </c>
      <c r="M340" s="3" t="s">
        <v>8</v>
      </c>
      <c r="N340" s="3" t="s">
        <v>71</v>
      </c>
      <c r="O340" s="3" t="s">
        <v>103</v>
      </c>
      <c r="P340" s="3" t="s">
        <v>30</v>
      </c>
      <c r="Q340" s="3" t="s">
        <v>71</v>
      </c>
      <c r="R340" s="3" t="s">
        <v>49</v>
      </c>
      <c r="S340" s="3" t="s">
        <v>48</v>
      </c>
      <c r="T340" s="3" t="s">
        <v>51</v>
      </c>
      <c r="U340" s="3" t="s">
        <v>50</v>
      </c>
      <c r="V340" s="3" t="s">
        <v>104</v>
      </c>
      <c r="W340" s="3" t="s">
        <v>105</v>
      </c>
      <c r="X340" s="3" t="s">
        <v>106</v>
      </c>
      <c r="Y340" s="3" t="s">
        <v>107</v>
      </c>
      <c r="Z340" s="3" t="s">
        <v>110</v>
      </c>
      <c r="AA340" s="3" t="s">
        <v>30</v>
      </c>
    </row>
    <row r="341" spans="2:28" x14ac:dyDescent="0.3">
      <c r="B341" s="24">
        <v>2</v>
      </c>
      <c r="C341" s="23" t="s">
        <v>168</v>
      </c>
      <c r="D341" s="18">
        <f>AB311</f>
        <v>3471.4880000000003</v>
      </c>
      <c r="E341" s="19" t="s">
        <v>65</v>
      </c>
      <c r="F341" s="20">
        <f>AHSP!$H$67*1.09</f>
        <v>21037</v>
      </c>
      <c r="G341" s="21">
        <f t="shared" si="198"/>
        <v>73029693.056000009</v>
      </c>
    </row>
    <row r="342" spans="2:28" x14ac:dyDescent="0.3">
      <c r="B342" s="24">
        <v>3</v>
      </c>
      <c r="C342" s="23" t="s">
        <v>118</v>
      </c>
      <c r="D342" s="18">
        <f>AB315</f>
        <v>1262.1599999999999</v>
      </c>
      <c r="E342" s="19" t="s">
        <v>65</v>
      </c>
      <c r="F342" s="20">
        <f>AHSP!$H$67*1.09</f>
        <v>21037</v>
      </c>
      <c r="G342" s="21">
        <f t="shared" si="198"/>
        <v>26552059.919999998</v>
      </c>
      <c r="J342" s="3" t="s">
        <v>97</v>
      </c>
      <c r="K342" s="3">
        <v>4</v>
      </c>
      <c r="L342" s="3">
        <v>0.4</v>
      </c>
      <c r="M342" s="3">
        <v>0.4</v>
      </c>
      <c r="N342" s="3">
        <v>2.5</v>
      </c>
      <c r="O342" s="3">
        <f>K342*(L342+M342)*2*N342</f>
        <v>16</v>
      </c>
      <c r="P342" s="3">
        <f>K342*L342*M342*N342</f>
        <v>1.6000000000000003</v>
      </c>
      <c r="Q342" s="3">
        <v>3.7</v>
      </c>
      <c r="S342" s="3">
        <v>16</v>
      </c>
      <c r="T342" s="3">
        <f>Y338+Z338</f>
        <v>13.3</v>
      </c>
      <c r="U342" s="3">
        <f>AA338</f>
        <v>1.6666666666666667</v>
      </c>
      <c r="V342" s="3">
        <v>1.58</v>
      </c>
      <c r="W342" s="3">
        <v>2.23</v>
      </c>
      <c r="X342" s="3">
        <v>0.62</v>
      </c>
      <c r="Y342" s="3">
        <v>0.39500000000000002</v>
      </c>
      <c r="Z342" s="3">
        <f>S342*(Q342+0.7)+W342*Q342*(T342*X342+U342*Y342)</f>
        <v>143.86965433333336</v>
      </c>
      <c r="AA342" s="3">
        <f>Z342*K342</f>
        <v>575.47861733333343</v>
      </c>
    </row>
    <row r="343" spans="2:28" x14ac:dyDescent="0.3">
      <c r="B343" s="24">
        <v>4</v>
      </c>
      <c r="C343" s="23" t="s">
        <v>117</v>
      </c>
      <c r="D343" s="18">
        <f>AB314</f>
        <v>4387.7220000000007</v>
      </c>
      <c r="E343" s="19" t="s">
        <v>65</v>
      </c>
      <c r="F343" s="20">
        <f>AHSP!$H$67*1.09</f>
        <v>21037</v>
      </c>
      <c r="G343" s="21">
        <f t="shared" si="198"/>
        <v>92304507.714000016</v>
      </c>
    </row>
    <row r="344" spans="2:28" x14ac:dyDescent="0.3">
      <c r="B344" s="24">
        <v>5</v>
      </c>
      <c r="C344" s="23" t="s">
        <v>119</v>
      </c>
      <c r="D344" s="18">
        <f>AB316</f>
        <v>520.3413333333333</v>
      </c>
      <c r="E344" s="19" t="s">
        <v>65</v>
      </c>
      <c r="F344" s="20">
        <f>AHSP!$H$67*1.09</f>
        <v>21037</v>
      </c>
      <c r="G344" s="21">
        <f t="shared" si="198"/>
        <v>10946420.629333332</v>
      </c>
    </row>
    <row r="345" spans="2:28" x14ac:dyDescent="0.3">
      <c r="B345" s="24">
        <v>6</v>
      </c>
      <c r="C345" s="23" t="s">
        <v>167</v>
      </c>
      <c r="D345" s="18">
        <f>AB321</f>
        <v>2610.7066666666674</v>
      </c>
      <c r="E345" s="19" t="s">
        <v>65</v>
      </c>
      <c r="F345" s="20">
        <f>AHSP!$H$67*1.09</f>
        <v>21037</v>
      </c>
      <c r="G345" s="21">
        <f t="shared" si="198"/>
        <v>54921436.146666683</v>
      </c>
      <c r="J345" s="3" t="s">
        <v>8</v>
      </c>
      <c r="K345" s="3" t="s">
        <v>71</v>
      </c>
      <c r="L345" s="3" t="s">
        <v>7</v>
      </c>
      <c r="M345" s="3" t="s">
        <v>21</v>
      </c>
      <c r="N345" s="3" t="s">
        <v>128</v>
      </c>
      <c r="O345" s="3" t="s">
        <v>80</v>
      </c>
      <c r="P345" s="3" t="s">
        <v>52</v>
      </c>
      <c r="Q345" s="3" t="s">
        <v>49</v>
      </c>
      <c r="R345" s="3" t="s">
        <v>48</v>
      </c>
      <c r="S345" s="3" t="s">
        <v>51</v>
      </c>
      <c r="T345" s="3" t="s">
        <v>50</v>
      </c>
      <c r="U345" s="3" t="s">
        <v>131</v>
      </c>
      <c r="V345" s="3" t="s">
        <v>104</v>
      </c>
      <c r="W345" s="3" t="s">
        <v>105</v>
      </c>
      <c r="X345" s="3" t="s">
        <v>106</v>
      </c>
      <c r="Y345" s="3" t="s">
        <v>107</v>
      </c>
      <c r="Z345" s="3" t="s">
        <v>132</v>
      </c>
      <c r="AA345" s="3" t="s">
        <v>129</v>
      </c>
      <c r="AB345" s="3" t="s">
        <v>130</v>
      </c>
    </row>
    <row r="346" spans="2:28" x14ac:dyDescent="0.3">
      <c r="B346" s="24">
        <v>7</v>
      </c>
      <c r="C346" s="23" t="s">
        <v>147</v>
      </c>
      <c r="D346" s="18">
        <f>AB322</f>
        <v>230.72800000000001</v>
      </c>
      <c r="E346" s="19" t="s">
        <v>65</v>
      </c>
      <c r="F346" s="20">
        <f>AHSP!$H$67*1.09</f>
        <v>21037</v>
      </c>
      <c r="G346" s="21">
        <f t="shared" si="198"/>
        <v>4853824.9359999998</v>
      </c>
      <c r="I346" s="4" t="s">
        <v>171</v>
      </c>
      <c r="J346" s="3">
        <v>0.3</v>
      </c>
      <c r="K346" s="3">
        <v>0.45</v>
      </c>
      <c r="L346" s="3">
        <f>(3.65+4.25)</f>
        <v>7.9</v>
      </c>
      <c r="M346" s="3">
        <v>2</v>
      </c>
      <c r="N346" s="3">
        <f>(J346+2*(K346-0.12))*(L346)*M346</f>
        <v>15.167999999999999</v>
      </c>
      <c r="O346" s="5">
        <f>J346*(K346-0.12)*L346*M346</f>
        <v>1.5642</v>
      </c>
      <c r="Q346" s="3">
        <v>7</v>
      </c>
      <c r="S346" s="3">
        <f>1.45/0.15</f>
        <v>9.6666666666666661</v>
      </c>
      <c r="U346" s="3">
        <v>1.04</v>
      </c>
      <c r="V346" s="3">
        <v>1.58</v>
      </c>
      <c r="W346" s="3">
        <v>2.23</v>
      </c>
      <c r="X346" s="3">
        <v>0.62</v>
      </c>
      <c r="Y346" s="3">
        <v>0.39500000000000002</v>
      </c>
      <c r="Z346" s="3">
        <f>(Q346*M346*V346+P346*M346*U346)*(L346+0.8)</f>
        <v>192.44400000000005</v>
      </c>
      <c r="AA346" s="3">
        <f>X346*S346*M346*L346</f>
        <v>94.694666666666663</v>
      </c>
      <c r="AB346" s="3">
        <f>Z346+AA346</f>
        <v>287.13866666666672</v>
      </c>
    </row>
    <row r="347" spans="2:28" x14ac:dyDescent="0.3">
      <c r="B347" s="24">
        <v>8</v>
      </c>
      <c r="C347" s="23" t="s">
        <v>173</v>
      </c>
      <c r="D347" s="18">
        <f>AB323</f>
        <v>176.43600000000001</v>
      </c>
      <c r="E347" s="19" t="s">
        <v>65</v>
      </c>
      <c r="F347" s="20">
        <f>AHSP!$H$67*1.09</f>
        <v>21037</v>
      </c>
      <c r="G347" s="21">
        <f t="shared" si="198"/>
        <v>3711684.1320000002</v>
      </c>
      <c r="I347" s="4" t="s">
        <v>126</v>
      </c>
      <c r="J347" s="3">
        <v>0.25</v>
      </c>
      <c r="K347" s="3">
        <v>0.4</v>
      </c>
      <c r="L347" s="3">
        <f>3.4+2.2</f>
        <v>5.6</v>
      </c>
      <c r="M347" s="3">
        <v>2</v>
      </c>
      <c r="N347" s="3">
        <f>(J347+2*(K347-0.12))*(L347)*M347</f>
        <v>9.0719999999999992</v>
      </c>
      <c r="O347" s="5">
        <f>J347*(K347-0.12)*L347*M347</f>
        <v>0.78400000000000003</v>
      </c>
      <c r="Q347" s="3">
        <f>5+1/2</f>
        <v>5.5</v>
      </c>
      <c r="T347" s="3">
        <f>1.25/0.15</f>
        <v>8.3333333333333339</v>
      </c>
      <c r="U347" s="3">
        <v>1.04</v>
      </c>
      <c r="V347" s="3">
        <v>1.58</v>
      </c>
      <c r="W347" s="3">
        <v>2.23</v>
      </c>
      <c r="X347" s="3">
        <v>0.62</v>
      </c>
      <c r="Y347" s="3">
        <v>0.39500000000000002</v>
      </c>
      <c r="Z347" s="3">
        <f>(Q347*M347*V347+P347*M347*U347)*(L347+0.8)</f>
        <v>111.23200000000001</v>
      </c>
      <c r="AA347" s="3">
        <f>X347*T347*M347*L347</f>
        <v>57.866666666666667</v>
      </c>
      <c r="AB347" s="3">
        <f>Z347+AA347</f>
        <v>169.09866666666667</v>
      </c>
    </row>
    <row r="348" spans="2:28" x14ac:dyDescent="0.3">
      <c r="B348" s="24">
        <v>9</v>
      </c>
      <c r="C348" s="23" t="s">
        <v>170</v>
      </c>
      <c r="D348" s="18">
        <f>AB324</f>
        <v>163.02000000000001</v>
      </c>
      <c r="E348" s="19" t="s">
        <v>65</v>
      </c>
      <c r="F348" s="20">
        <f>AHSP!$H$67*1.09</f>
        <v>21037</v>
      </c>
      <c r="G348" s="21">
        <f t="shared" si="198"/>
        <v>3429451.74</v>
      </c>
    </row>
    <row r="349" spans="2:28" x14ac:dyDescent="0.3">
      <c r="B349" s="24">
        <v>10</v>
      </c>
      <c r="C349" s="23" t="s">
        <v>120</v>
      </c>
      <c r="D349" s="18">
        <f>AB328</f>
        <v>799.5296666666668</v>
      </c>
      <c r="E349" s="19" t="s">
        <v>65</v>
      </c>
      <c r="F349" s="20">
        <f>AHSP!$H$67*1.09</f>
        <v>21037</v>
      </c>
      <c r="G349" s="21">
        <f t="shared" si="198"/>
        <v>16819705.59766667</v>
      </c>
    </row>
    <row r="350" spans="2:28" x14ac:dyDescent="0.3">
      <c r="B350" s="22" t="s">
        <v>34</v>
      </c>
      <c r="C350" s="23" t="s">
        <v>70</v>
      </c>
      <c r="E350" s="19"/>
      <c r="G350" s="21"/>
      <c r="J350" s="3" t="s">
        <v>7</v>
      </c>
      <c r="K350" s="3" t="s">
        <v>8</v>
      </c>
      <c r="L350" s="3" t="s">
        <v>134</v>
      </c>
      <c r="Q350" s="3" t="s">
        <v>103</v>
      </c>
    </row>
    <row r="351" spans="2:28" x14ac:dyDescent="0.3">
      <c r="B351" s="24">
        <v>1</v>
      </c>
      <c r="C351" s="23" t="s">
        <v>116</v>
      </c>
      <c r="D351" s="18">
        <f>O310</f>
        <v>41.277600000000007</v>
      </c>
      <c r="E351" s="19" t="s">
        <v>224</v>
      </c>
      <c r="F351" s="20">
        <f>AHSP!$H$107</f>
        <v>1382600</v>
      </c>
      <c r="G351" s="21">
        <f t="shared" ref="G351:G360" si="199">D351*F351</f>
        <v>57070409.760000013</v>
      </c>
      <c r="I351" s="3" t="s">
        <v>133</v>
      </c>
      <c r="J351" s="3">
        <v>3.85</v>
      </c>
      <c r="K351" s="3">
        <v>2.4</v>
      </c>
      <c r="L351" s="3">
        <v>0.12</v>
      </c>
      <c r="Q351" s="3">
        <f>J351*K351</f>
        <v>9.24</v>
      </c>
    </row>
    <row r="352" spans="2:28" x14ac:dyDescent="0.3">
      <c r="B352" s="24">
        <v>2</v>
      </c>
      <c r="C352" s="23" t="s">
        <v>168</v>
      </c>
      <c r="D352" s="18">
        <f>O311</f>
        <v>21.431999999999999</v>
      </c>
      <c r="E352" s="19" t="s">
        <v>224</v>
      </c>
      <c r="F352" s="20">
        <f>AHSP!$H$107</f>
        <v>1382600</v>
      </c>
      <c r="G352" s="21">
        <f t="shared" si="199"/>
        <v>29631883.199999999</v>
      </c>
      <c r="J352" s="3">
        <v>4.45</v>
      </c>
      <c r="K352" s="3">
        <v>3.85</v>
      </c>
      <c r="L352" s="3">
        <v>0.12</v>
      </c>
      <c r="Q352" s="3">
        <f>J352*K352</f>
        <v>17.1325</v>
      </c>
    </row>
    <row r="353" spans="2:17" x14ac:dyDescent="0.3">
      <c r="B353" s="24">
        <v>3</v>
      </c>
      <c r="C353" s="23" t="s">
        <v>118</v>
      </c>
      <c r="D353" s="18">
        <f>O315</f>
        <v>7.698599999999999</v>
      </c>
      <c r="E353" s="19" t="s">
        <v>224</v>
      </c>
      <c r="F353" s="20">
        <f>AHSP!$H$107</f>
        <v>1382600</v>
      </c>
      <c r="G353" s="21">
        <f t="shared" si="199"/>
        <v>10644084.359999999</v>
      </c>
      <c r="L353" s="3">
        <f>K351*J351</f>
        <v>9.24</v>
      </c>
      <c r="Q353" s="5">
        <f>SUM(Q351:Q352)</f>
        <v>26.372500000000002</v>
      </c>
    </row>
    <row r="354" spans="2:17" x14ac:dyDescent="0.3">
      <c r="B354" s="24">
        <v>4</v>
      </c>
      <c r="C354" s="23" t="s">
        <v>117</v>
      </c>
      <c r="D354" s="18">
        <f>O314</f>
        <v>20.506499999999999</v>
      </c>
      <c r="E354" s="19" t="s">
        <v>224</v>
      </c>
      <c r="F354" s="20">
        <f>AHSP!$H$107</f>
        <v>1382600</v>
      </c>
      <c r="G354" s="21">
        <f t="shared" si="199"/>
        <v>28352286.899999999</v>
      </c>
      <c r="K354" s="3" t="s">
        <v>106</v>
      </c>
    </row>
    <row r="355" spans="2:17" x14ac:dyDescent="0.3">
      <c r="B355" s="24">
        <v>5</v>
      </c>
      <c r="C355" s="23" t="s">
        <v>119</v>
      </c>
      <c r="D355" s="18">
        <f>O320</f>
        <v>5.4279000000000002</v>
      </c>
      <c r="E355" s="19" t="s">
        <v>224</v>
      </c>
      <c r="F355" s="20">
        <f>AHSP!$H$107</f>
        <v>1382600</v>
      </c>
      <c r="G355" s="21">
        <f t="shared" si="199"/>
        <v>7504614.54</v>
      </c>
      <c r="I355" s="3" t="s">
        <v>137</v>
      </c>
      <c r="J355" s="3">
        <f>Q353/0.25*3*1.1</f>
        <v>348.11700000000008</v>
      </c>
      <c r="K355" s="3">
        <v>0.62</v>
      </c>
      <c r="L355" s="5">
        <f>K355*J355*2</f>
        <v>431.6650800000001</v>
      </c>
    </row>
    <row r="356" spans="2:17" x14ac:dyDescent="0.3">
      <c r="B356" s="24">
        <v>6</v>
      </c>
      <c r="C356" s="23" t="s">
        <v>167</v>
      </c>
      <c r="D356" s="18">
        <f>O321</f>
        <v>13.098000000000001</v>
      </c>
      <c r="E356" s="19" t="s">
        <v>224</v>
      </c>
      <c r="F356" s="20">
        <f>AHSP!$H$107</f>
        <v>1382600</v>
      </c>
      <c r="G356" s="21">
        <f t="shared" si="199"/>
        <v>18109294.800000001</v>
      </c>
      <c r="I356" s="3" t="s">
        <v>80</v>
      </c>
      <c r="J356" s="5">
        <f>Q353*L351</f>
        <v>3.1647000000000003</v>
      </c>
    </row>
    <row r="357" spans="2:17" x14ac:dyDescent="0.3">
      <c r="B357" s="24">
        <v>7</v>
      </c>
      <c r="C357" s="23" t="s">
        <v>147</v>
      </c>
      <c r="D357" s="18">
        <f>O322</f>
        <v>1.1015999999999999</v>
      </c>
      <c r="E357" s="19" t="s">
        <v>224</v>
      </c>
      <c r="F357" s="20">
        <f>AHSP!$H$107</f>
        <v>1382600</v>
      </c>
      <c r="G357" s="21">
        <f t="shared" si="199"/>
        <v>1523072.16</v>
      </c>
      <c r="K357" s="3" t="s">
        <v>197</v>
      </c>
      <c r="L357" s="3" t="s">
        <v>29</v>
      </c>
      <c r="M357" s="3" t="s">
        <v>198</v>
      </c>
    </row>
    <row r="358" spans="2:17" x14ac:dyDescent="0.3">
      <c r="B358" s="24">
        <v>8</v>
      </c>
      <c r="C358" s="23" t="s">
        <v>173</v>
      </c>
      <c r="D358" s="18">
        <f>O323</f>
        <v>1.0997999999999999</v>
      </c>
      <c r="E358" s="19" t="s">
        <v>224</v>
      </c>
      <c r="F358" s="20">
        <f>AHSP!$H$107</f>
        <v>1382600</v>
      </c>
      <c r="G358" s="21">
        <f t="shared" si="199"/>
        <v>1520583.4799999997</v>
      </c>
      <c r="I358" s="3" t="s">
        <v>196</v>
      </c>
      <c r="K358" s="3">
        <v>3</v>
      </c>
      <c r="L358" s="3">
        <v>38</v>
      </c>
      <c r="M358" s="3">
        <v>25.7</v>
      </c>
      <c r="N358" s="3">
        <f>K358*L358*M358</f>
        <v>2929.7999999999997</v>
      </c>
    </row>
    <row r="359" spans="2:17" x14ac:dyDescent="0.3">
      <c r="B359" s="24">
        <v>9</v>
      </c>
      <c r="C359" s="23" t="s">
        <v>170</v>
      </c>
      <c r="D359" s="18">
        <f>O324</f>
        <v>0.89280000000000004</v>
      </c>
      <c r="E359" s="19" t="s">
        <v>224</v>
      </c>
      <c r="F359" s="20">
        <f>AHSP!$H$107</f>
        <v>1382600</v>
      </c>
      <c r="G359" s="21">
        <f t="shared" si="199"/>
        <v>1234385.28</v>
      </c>
      <c r="I359" s="3" t="s">
        <v>200</v>
      </c>
      <c r="K359" s="3">
        <f>2*(16.2+10+30.6)</f>
        <v>113.6</v>
      </c>
      <c r="L359" s="3">
        <v>1</v>
      </c>
      <c r="M359" s="3">
        <v>25.7</v>
      </c>
      <c r="N359" s="3">
        <f>K359*L359*M359</f>
        <v>2919.52</v>
      </c>
    </row>
    <row r="360" spans="2:17" x14ac:dyDescent="0.3">
      <c r="B360" s="24">
        <v>10</v>
      </c>
      <c r="C360" s="23" t="s">
        <v>120</v>
      </c>
      <c r="D360" s="18">
        <f>O328</f>
        <v>3.8947500000000002</v>
      </c>
      <c r="E360" s="19" t="s">
        <v>224</v>
      </c>
      <c r="F360" s="20">
        <f>AHSP!$H$107</f>
        <v>1382600</v>
      </c>
      <c r="G360" s="21">
        <f t="shared" si="199"/>
        <v>5384881.3500000006</v>
      </c>
      <c r="I360" s="3" t="s">
        <v>201</v>
      </c>
      <c r="K360" s="3">
        <v>7.5</v>
      </c>
      <c r="L360" s="3">
        <v>16</v>
      </c>
      <c r="M360" s="3">
        <v>25.7</v>
      </c>
      <c r="N360" s="3">
        <f t="shared" ref="N360:N361" si="200">K360*L360*M360</f>
        <v>3084</v>
      </c>
    </row>
    <row r="361" spans="2:17" x14ac:dyDescent="0.3">
      <c r="B361" s="22"/>
      <c r="C361" s="23"/>
      <c r="E361" s="19"/>
      <c r="F361" s="25" t="s">
        <v>244</v>
      </c>
      <c r="G361" s="26">
        <f>SUM(G328:G360)</f>
        <v>815929453.32966661</v>
      </c>
      <c r="K361" s="3">
        <v>5.8</v>
      </c>
      <c r="L361" s="3">
        <v>14</v>
      </c>
      <c r="M361" s="3">
        <v>25.7</v>
      </c>
      <c r="N361" s="3">
        <f t="shared" si="200"/>
        <v>2086.84</v>
      </c>
    </row>
    <row r="362" spans="2:17" x14ac:dyDescent="0.3">
      <c r="B362" s="24"/>
      <c r="C362" s="23"/>
      <c r="E362" s="19"/>
      <c r="G362" s="21"/>
      <c r="N362" s="3">
        <f>SUM(N360:N361)</f>
        <v>5170.84</v>
      </c>
    </row>
    <row r="363" spans="2:17" x14ac:dyDescent="0.3">
      <c r="B363" s="16" t="s">
        <v>184</v>
      </c>
      <c r="C363" s="17" t="s">
        <v>185</v>
      </c>
      <c r="E363" s="19"/>
      <c r="G363" s="21"/>
      <c r="I363" s="3" t="s">
        <v>202</v>
      </c>
      <c r="K363" s="3">
        <v>10.6</v>
      </c>
      <c r="L363" s="3">
        <v>8</v>
      </c>
      <c r="M363" s="3">
        <v>25.7</v>
      </c>
      <c r="N363" s="3">
        <f t="shared" ref="N363:N365" si="201">K363*L363*M363</f>
        <v>2179.3599999999997</v>
      </c>
    </row>
    <row r="364" spans="2:17" x14ac:dyDescent="0.3">
      <c r="B364" s="22">
        <v>1</v>
      </c>
      <c r="C364" s="23" t="s">
        <v>75</v>
      </c>
      <c r="D364" s="18">
        <f>S282</f>
        <v>1122.2593750000001</v>
      </c>
      <c r="E364" s="19" t="s">
        <v>225</v>
      </c>
      <c r="F364" s="20">
        <f>AHSP!$H$215</f>
        <v>241200</v>
      </c>
      <c r="G364" s="21">
        <f t="shared" ref="G364:G367" si="202">D364*F364</f>
        <v>270688961.25</v>
      </c>
      <c r="I364" s="3" t="s">
        <v>203</v>
      </c>
      <c r="K364" s="3">
        <v>6.4</v>
      </c>
      <c r="L364" s="3">
        <v>2</v>
      </c>
      <c r="M364" s="3">
        <v>25.7</v>
      </c>
      <c r="N364" s="3">
        <f t="shared" si="201"/>
        <v>328.96000000000004</v>
      </c>
    </row>
    <row r="365" spans="2:17" x14ac:dyDescent="0.3">
      <c r="B365" s="22">
        <v>2</v>
      </c>
      <c r="C365" s="23" t="s">
        <v>138</v>
      </c>
      <c r="D365" s="18">
        <f>D364</f>
        <v>1122.2593750000001</v>
      </c>
      <c r="E365" s="19" t="s">
        <v>225</v>
      </c>
      <c r="G365" s="21">
        <f t="shared" si="202"/>
        <v>0</v>
      </c>
      <c r="K365" s="3">
        <v>34.5</v>
      </c>
      <c r="L365" s="3">
        <v>1</v>
      </c>
      <c r="M365" s="3">
        <v>25.7</v>
      </c>
      <c r="N365" s="3">
        <f t="shared" si="201"/>
        <v>886.65</v>
      </c>
    </row>
    <row r="366" spans="2:17" x14ac:dyDescent="0.3">
      <c r="B366" s="22">
        <v>3</v>
      </c>
      <c r="C366" s="23" t="s">
        <v>136</v>
      </c>
      <c r="D366" s="18">
        <f>N284</f>
        <v>18369.141450000003</v>
      </c>
      <c r="E366" s="19" t="s">
        <v>65</v>
      </c>
      <c r="F366" s="20">
        <f>AHSP!$H$88</f>
        <v>18700</v>
      </c>
      <c r="G366" s="21">
        <f t="shared" si="202"/>
        <v>343502945.11500007</v>
      </c>
      <c r="N366" s="3">
        <f>SUM(N364:N365)</f>
        <v>1215.6100000000001</v>
      </c>
    </row>
    <row r="367" spans="2:17" x14ac:dyDescent="0.3">
      <c r="B367" s="22">
        <v>4</v>
      </c>
      <c r="C367" s="23" t="s">
        <v>70</v>
      </c>
      <c r="D367" s="18">
        <f>L285</f>
        <v>151.50501562500003</v>
      </c>
      <c r="E367" s="19" t="s">
        <v>224</v>
      </c>
      <c r="F367" s="20">
        <f>AHSP!$H$107</f>
        <v>1382600</v>
      </c>
      <c r="G367" s="21">
        <f t="shared" si="202"/>
        <v>209470834.60312504</v>
      </c>
      <c r="I367" s="3" t="s">
        <v>204</v>
      </c>
      <c r="K367" s="3">
        <v>3.5</v>
      </c>
      <c r="L367" s="3">
        <v>8</v>
      </c>
      <c r="M367" s="3">
        <v>25.7</v>
      </c>
      <c r="N367" s="3">
        <f t="shared" ref="N367:N368" si="203">K367*L367*M367</f>
        <v>719.6</v>
      </c>
    </row>
    <row r="368" spans="2:17" x14ac:dyDescent="0.3">
      <c r="B368" s="22"/>
      <c r="C368" s="23"/>
      <c r="E368" s="19"/>
      <c r="F368" s="25" t="s">
        <v>245</v>
      </c>
      <c r="G368" s="26">
        <f>SUM(G364:G367)</f>
        <v>823662740.9681251</v>
      </c>
      <c r="K368" s="3">
        <v>1.5</v>
      </c>
      <c r="L368" s="3">
        <v>8</v>
      </c>
      <c r="M368" s="3">
        <v>25.7</v>
      </c>
      <c r="N368" s="3">
        <f t="shared" si="203"/>
        <v>308.39999999999998</v>
      </c>
    </row>
    <row r="369" spans="2:14" x14ac:dyDescent="0.3">
      <c r="B369" s="22"/>
      <c r="C369" s="23"/>
      <c r="E369" s="19"/>
      <c r="G369" s="21"/>
      <c r="N369" s="3">
        <f>SUM(N367:N368)</f>
        <v>1028</v>
      </c>
    </row>
    <row r="370" spans="2:14" x14ac:dyDescent="0.3">
      <c r="B370" s="16" t="s">
        <v>186</v>
      </c>
      <c r="C370" s="17" t="s">
        <v>187</v>
      </c>
      <c r="E370" s="19"/>
      <c r="G370" s="21"/>
      <c r="I370" s="3" t="s">
        <v>212</v>
      </c>
      <c r="K370" s="3">
        <f>2*(25.6+28.2+30.8+34.4)+4*(8.6*6+13.7*7)</f>
        <v>828</v>
      </c>
      <c r="L370" s="3">
        <v>1</v>
      </c>
    </row>
    <row r="371" spans="2:14" x14ac:dyDescent="0.3">
      <c r="B371" s="22" t="s">
        <v>16</v>
      </c>
      <c r="C371" s="23" t="s">
        <v>75</v>
      </c>
      <c r="E371" s="19"/>
      <c r="G371" s="21"/>
      <c r="K371" s="3" t="s">
        <v>7</v>
      </c>
      <c r="L371" s="3" t="s">
        <v>134</v>
      </c>
      <c r="M371" s="3" t="s">
        <v>21</v>
      </c>
    </row>
    <row r="372" spans="2:14" x14ac:dyDescent="0.3">
      <c r="B372" s="24">
        <v>1</v>
      </c>
      <c r="C372" s="23" t="s">
        <v>101</v>
      </c>
      <c r="D372" s="18">
        <f>O342</f>
        <v>16</v>
      </c>
      <c r="E372" s="19" t="s">
        <v>225</v>
      </c>
      <c r="F372" s="20">
        <f>AHSP!$H$171*1.09</f>
        <v>246776.00000000003</v>
      </c>
      <c r="G372" s="21">
        <f>D372*F372</f>
        <v>3948416.0000000005</v>
      </c>
      <c r="I372" s="3" t="s">
        <v>217</v>
      </c>
      <c r="K372" s="3">
        <v>15.2</v>
      </c>
      <c r="L372" s="3">
        <v>7.8</v>
      </c>
      <c r="M372" s="3">
        <v>4</v>
      </c>
      <c r="N372" s="3">
        <f>K372*L372/2*M372</f>
        <v>237.11999999999998</v>
      </c>
    </row>
    <row r="373" spans="2:14" x14ac:dyDescent="0.3">
      <c r="B373" s="22" t="s">
        <v>31</v>
      </c>
      <c r="C373" s="23" t="s">
        <v>111</v>
      </c>
      <c r="E373" s="19"/>
      <c r="G373" s="21"/>
      <c r="K373" s="3">
        <v>13.8</v>
      </c>
      <c r="L373" s="3">
        <v>7.8</v>
      </c>
      <c r="M373" s="3">
        <v>4</v>
      </c>
      <c r="N373" s="3">
        <f>K373*L373*M373</f>
        <v>430.56</v>
      </c>
    </row>
    <row r="374" spans="2:14" x14ac:dyDescent="0.3">
      <c r="B374" s="24">
        <v>1</v>
      </c>
      <c r="C374" s="23" t="s">
        <v>101</v>
      </c>
      <c r="D374" s="18">
        <f>AA342</f>
        <v>575.47861733333343</v>
      </c>
      <c r="E374" s="19" t="s">
        <v>65</v>
      </c>
      <c r="F374" s="20">
        <f>AHSP!$H$67*1.09</f>
        <v>21037</v>
      </c>
      <c r="G374" s="21">
        <f>D374*F374</f>
        <v>12106343.672841335</v>
      </c>
      <c r="K374" s="3">
        <v>30</v>
      </c>
      <c r="L374" s="3">
        <v>6</v>
      </c>
      <c r="M374" s="3">
        <v>2</v>
      </c>
      <c r="N374" s="3">
        <f>K374*L374*M374</f>
        <v>360</v>
      </c>
    </row>
    <row r="375" spans="2:14" x14ac:dyDescent="0.3">
      <c r="B375" s="22" t="s">
        <v>34</v>
      </c>
      <c r="C375" s="23" t="s">
        <v>70</v>
      </c>
      <c r="E375" s="19"/>
      <c r="G375" s="21"/>
      <c r="N375" s="3">
        <f>SUM(N372:N374)</f>
        <v>1027.6799999999998</v>
      </c>
    </row>
    <row r="376" spans="2:14" x14ac:dyDescent="0.3">
      <c r="B376" s="24">
        <v>1</v>
      </c>
      <c r="C376" s="23" t="s">
        <v>101</v>
      </c>
      <c r="D376" s="18">
        <f>P342</f>
        <v>1.6000000000000003</v>
      </c>
      <c r="E376" s="19" t="s">
        <v>224</v>
      </c>
      <c r="F376" s="20">
        <f>AHSP!$H$107</f>
        <v>1382600</v>
      </c>
      <c r="G376" s="21">
        <f>D376*F376</f>
        <v>2212160.0000000005</v>
      </c>
    </row>
    <row r="377" spans="2:14" x14ac:dyDescent="0.3">
      <c r="B377" s="22"/>
      <c r="C377" s="23"/>
      <c r="E377" s="19"/>
      <c r="F377" s="25" t="s">
        <v>246</v>
      </c>
      <c r="G377" s="26">
        <f>SUM(G371:G376)</f>
        <v>18266919.672841337</v>
      </c>
    </row>
    <row r="378" spans="2:14" x14ac:dyDescent="0.3">
      <c r="B378" s="24"/>
      <c r="C378" s="23"/>
      <c r="E378" s="19"/>
      <c r="G378" s="21"/>
    </row>
    <row r="379" spans="2:14" x14ac:dyDescent="0.3">
      <c r="B379" s="16" t="s">
        <v>190</v>
      </c>
      <c r="C379" s="17" t="s">
        <v>187</v>
      </c>
      <c r="E379" s="19"/>
      <c r="G379" s="21"/>
    </row>
    <row r="380" spans="2:14" x14ac:dyDescent="0.3">
      <c r="B380" s="22" t="s">
        <v>16</v>
      </c>
      <c r="C380" s="23" t="s">
        <v>75</v>
      </c>
      <c r="E380" s="19"/>
      <c r="G380" s="21"/>
    </row>
    <row r="381" spans="2:14" x14ac:dyDescent="0.3">
      <c r="B381" s="24">
        <v>1</v>
      </c>
      <c r="C381" s="23" t="s">
        <v>188</v>
      </c>
      <c r="D381" s="18">
        <f>N346</f>
        <v>15.167999999999999</v>
      </c>
      <c r="E381" s="19" t="s">
        <v>225</v>
      </c>
      <c r="F381" s="20">
        <f>AHSP!$H$193*1.09</f>
        <v>260074.00000000003</v>
      </c>
      <c r="G381" s="21">
        <f t="shared" ref="G381:G382" si="204">D381*F381</f>
        <v>3944802.432</v>
      </c>
    </row>
    <row r="382" spans="2:14" x14ac:dyDescent="0.3">
      <c r="B382" s="24">
        <v>2</v>
      </c>
      <c r="C382" s="23" t="s">
        <v>189</v>
      </c>
      <c r="D382" s="18">
        <f>N347</f>
        <v>9.0719999999999992</v>
      </c>
      <c r="E382" s="19" t="s">
        <v>225</v>
      </c>
      <c r="F382" s="20">
        <f>AHSP!$H$193*1.09</f>
        <v>260074.00000000003</v>
      </c>
      <c r="G382" s="21">
        <f t="shared" si="204"/>
        <v>2359391.3280000002</v>
      </c>
    </row>
    <row r="383" spans="2:14" x14ac:dyDescent="0.3">
      <c r="B383" s="22" t="s">
        <v>31</v>
      </c>
      <c r="C383" s="23" t="s">
        <v>111</v>
      </c>
      <c r="E383" s="19"/>
      <c r="G383" s="21"/>
    </row>
    <row r="384" spans="2:14" x14ac:dyDescent="0.3">
      <c r="B384" s="24">
        <v>1</v>
      </c>
      <c r="C384" s="23" t="s">
        <v>188</v>
      </c>
      <c r="D384" s="18">
        <f>AB346</f>
        <v>287.13866666666672</v>
      </c>
      <c r="E384" s="19" t="s">
        <v>65</v>
      </c>
      <c r="F384" s="20">
        <f>AHSP!$H$67*1.09</f>
        <v>21037</v>
      </c>
      <c r="G384" s="21">
        <f t="shared" ref="G384:G385" si="205">D384*F384</f>
        <v>6040536.1306666676</v>
      </c>
    </row>
    <row r="385" spans="2:7" x14ac:dyDescent="0.3">
      <c r="B385" s="24">
        <v>2</v>
      </c>
      <c r="C385" s="23" t="s">
        <v>189</v>
      </c>
      <c r="D385" s="18">
        <f>AB347</f>
        <v>169.09866666666667</v>
      </c>
      <c r="E385" s="19" t="s">
        <v>65</v>
      </c>
      <c r="F385" s="20">
        <f>AHSP!$H$67*1.09</f>
        <v>21037</v>
      </c>
      <c r="G385" s="21">
        <f t="shared" si="205"/>
        <v>3557328.6506666667</v>
      </c>
    </row>
    <row r="386" spans="2:7" x14ac:dyDescent="0.3">
      <c r="B386" s="22" t="s">
        <v>34</v>
      </c>
      <c r="C386" s="23" t="s">
        <v>70</v>
      </c>
      <c r="E386" s="19"/>
      <c r="G386" s="21"/>
    </row>
    <row r="387" spans="2:7" x14ac:dyDescent="0.3">
      <c r="B387" s="24">
        <v>1</v>
      </c>
      <c r="C387" s="23" t="s">
        <v>188</v>
      </c>
      <c r="D387" s="18">
        <f>O346</f>
        <v>1.5642</v>
      </c>
      <c r="E387" s="19" t="s">
        <v>224</v>
      </c>
      <c r="F387" s="20">
        <f>AHSP!$H$107</f>
        <v>1382600</v>
      </c>
      <c r="G387" s="21">
        <f t="shared" ref="G387:G388" si="206">D387*F387</f>
        <v>2162662.92</v>
      </c>
    </row>
    <row r="388" spans="2:7" x14ac:dyDescent="0.3">
      <c r="B388" s="24">
        <v>2</v>
      </c>
      <c r="C388" s="23" t="s">
        <v>189</v>
      </c>
      <c r="D388" s="18">
        <f>O347</f>
        <v>0.78400000000000003</v>
      </c>
      <c r="E388" s="19" t="s">
        <v>224</v>
      </c>
      <c r="F388" s="20">
        <f>AHSP!$H$107</f>
        <v>1382600</v>
      </c>
      <c r="G388" s="21">
        <f t="shared" si="206"/>
        <v>1083958.4000000001</v>
      </c>
    </row>
    <row r="389" spans="2:7" x14ac:dyDescent="0.3">
      <c r="B389" s="22"/>
      <c r="C389" s="23"/>
      <c r="E389" s="19"/>
      <c r="F389" s="25" t="s">
        <v>247</v>
      </c>
      <c r="G389" s="26">
        <f>SUM(G380:G388)</f>
        <v>19148679.861333333</v>
      </c>
    </row>
    <row r="390" spans="2:7" x14ac:dyDescent="0.3">
      <c r="B390" s="24"/>
      <c r="C390" s="23"/>
      <c r="E390" s="19"/>
      <c r="G390" s="21"/>
    </row>
    <row r="391" spans="2:7" x14ac:dyDescent="0.3">
      <c r="B391" s="16" t="s">
        <v>191</v>
      </c>
      <c r="C391" s="17" t="s">
        <v>192</v>
      </c>
      <c r="E391" s="19"/>
      <c r="G391" s="21"/>
    </row>
    <row r="392" spans="2:7" x14ac:dyDescent="0.3">
      <c r="B392" s="22">
        <v>1</v>
      </c>
      <c r="C392" s="23" t="s">
        <v>75</v>
      </c>
      <c r="D392" s="18">
        <f>Q353</f>
        <v>26.372500000000002</v>
      </c>
      <c r="E392" s="19" t="s">
        <v>225</v>
      </c>
      <c r="F392" s="20">
        <f>AHSP!$H$215</f>
        <v>241200</v>
      </c>
      <c r="G392" s="21">
        <f t="shared" ref="G392:G395" si="207">D392*F392</f>
        <v>6361047.0000000009</v>
      </c>
    </row>
    <row r="393" spans="2:7" x14ac:dyDescent="0.3">
      <c r="B393" s="22">
        <v>2</v>
      </c>
      <c r="C393" s="23" t="s">
        <v>138</v>
      </c>
      <c r="D393" s="18">
        <f>D392</f>
        <v>26.372500000000002</v>
      </c>
      <c r="E393" s="19" t="s">
        <v>225</v>
      </c>
      <c r="F393" s="20">
        <v>1000000</v>
      </c>
      <c r="G393" s="21">
        <f t="shared" si="207"/>
        <v>26372500.000000004</v>
      </c>
    </row>
    <row r="394" spans="2:7" x14ac:dyDescent="0.3">
      <c r="B394" s="22">
        <v>3</v>
      </c>
      <c r="C394" s="23" t="s">
        <v>136</v>
      </c>
      <c r="D394" s="18">
        <f>L355</f>
        <v>431.6650800000001</v>
      </c>
      <c r="E394" s="19" t="s">
        <v>65</v>
      </c>
      <c r="F394" s="20">
        <f>AHSP!$H$88</f>
        <v>18700</v>
      </c>
      <c r="G394" s="21">
        <f t="shared" si="207"/>
        <v>8072136.9960000021</v>
      </c>
    </row>
    <row r="395" spans="2:7" x14ac:dyDescent="0.3">
      <c r="B395" s="22">
        <v>4</v>
      </c>
      <c r="C395" s="23" t="s">
        <v>70</v>
      </c>
      <c r="D395" s="18">
        <f>J356</f>
        <v>3.1647000000000003</v>
      </c>
      <c r="E395" s="19" t="s">
        <v>224</v>
      </c>
      <c r="F395" s="20">
        <f>AHSP!$H$107</f>
        <v>1382600</v>
      </c>
      <c r="G395" s="21">
        <f t="shared" si="207"/>
        <v>4375514.2200000007</v>
      </c>
    </row>
    <row r="396" spans="2:7" x14ac:dyDescent="0.3">
      <c r="B396" s="22"/>
      <c r="C396" s="23"/>
      <c r="E396" s="19"/>
      <c r="F396" s="25" t="s">
        <v>248</v>
      </c>
      <c r="G396" s="26">
        <f>SUM(G392:G395)</f>
        <v>45181198.216000006</v>
      </c>
    </row>
    <row r="397" spans="2:7" x14ac:dyDescent="0.3">
      <c r="B397" s="22"/>
      <c r="C397" s="23"/>
      <c r="E397" s="19"/>
      <c r="G397" s="21"/>
    </row>
    <row r="398" spans="2:7" x14ac:dyDescent="0.3">
      <c r="B398" s="16" t="s">
        <v>193</v>
      </c>
      <c r="C398" s="17" t="s">
        <v>194</v>
      </c>
      <c r="E398" s="19"/>
      <c r="G398" s="21"/>
    </row>
    <row r="399" spans="2:7" x14ac:dyDescent="0.3">
      <c r="B399" s="22">
        <v>1</v>
      </c>
      <c r="C399" s="23" t="s">
        <v>195</v>
      </c>
      <c r="D399" s="18">
        <f>N358</f>
        <v>2929.7999999999997</v>
      </c>
      <c r="E399" s="19" t="s">
        <v>65</v>
      </c>
      <c r="F399" s="20">
        <f>AHSP!$H$237</f>
        <v>34000</v>
      </c>
      <c r="G399" s="21">
        <f t="shared" ref="G399:G409" si="208">D399*F399</f>
        <v>99613199.999999985</v>
      </c>
    </row>
    <row r="400" spans="2:7" x14ac:dyDescent="0.3">
      <c r="B400" s="22">
        <v>2</v>
      </c>
      <c r="C400" s="23" t="s">
        <v>199</v>
      </c>
      <c r="D400" s="18">
        <f>N359</f>
        <v>2919.52</v>
      </c>
      <c r="E400" s="19" t="s">
        <v>65</v>
      </c>
      <c r="F400" s="20">
        <f>AHSP!$H$237</f>
        <v>34000</v>
      </c>
      <c r="G400" s="21">
        <f t="shared" si="208"/>
        <v>99263680</v>
      </c>
    </row>
    <row r="401" spans="2:7" x14ac:dyDescent="0.3">
      <c r="B401" s="22">
        <v>3</v>
      </c>
      <c r="C401" s="23" t="s">
        <v>226</v>
      </c>
      <c r="D401" s="18">
        <f>N362</f>
        <v>5170.84</v>
      </c>
      <c r="E401" s="19" t="s">
        <v>65</v>
      </c>
      <c r="F401" s="20">
        <f>AHSP!$H$237</f>
        <v>34000</v>
      </c>
      <c r="G401" s="21">
        <f t="shared" si="208"/>
        <v>175808560</v>
      </c>
    </row>
    <row r="402" spans="2:7" x14ac:dyDescent="0.3">
      <c r="B402" s="22">
        <v>4</v>
      </c>
      <c r="C402" s="23" t="s">
        <v>205</v>
      </c>
      <c r="D402" s="18">
        <f>N363</f>
        <v>2179.3599999999997</v>
      </c>
      <c r="E402" s="19" t="s">
        <v>65</v>
      </c>
      <c r="F402" s="20">
        <f>AHSP!$H$237</f>
        <v>34000</v>
      </c>
      <c r="G402" s="21">
        <f t="shared" si="208"/>
        <v>74098239.999999985</v>
      </c>
    </row>
    <row r="403" spans="2:7" x14ac:dyDescent="0.3">
      <c r="B403" s="22">
        <v>5</v>
      </c>
      <c r="C403" s="23" t="s">
        <v>206</v>
      </c>
      <c r="D403" s="18">
        <f>N366</f>
        <v>1215.6100000000001</v>
      </c>
      <c r="E403" s="19" t="s">
        <v>65</v>
      </c>
      <c r="F403" s="20">
        <f>AHSP!$H$237</f>
        <v>34000</v>
      </c>
      <c r="G403" s="21">
        <f t="shared" si="208"/>
        <v>41330740.000000007</v>
      </c>
    </row>
    <row r="404" spans="2:7" x14ac:dyDescent="0.3">
      <c r="B404" s="22">
        <v>6</v>
      </c>
      <c r="C404" s="23" t="s">
        <v>207</v>
      </c>
      <c r="D404" s="18">
        <f>N369</f>
        <v>1028</v>
      </c>
      <c r="E404" s="19" t="s">
        <v>65</v>
      </c>
      <c r="F404" s="20">
        <f>AHSP!$H$237</f>
        <v>34000</v>
      </c>
      <c r="G404" s="21">
        <f t="shared" si="208"/>
        <v>34952000</v>
      </c>
    </row>
    <row r="405" spans="2:7" x14ac:dyDescent="0.3">
      <c r="B405" s="22">
        <v>7</v>
      </c>
      <c r="C405" s="23" t="s">
        <v>208</v>
      </c>
      <c r="D405" s="18">
        <v>38</v>
      </c>
      <c r="E405" s="19" t="s">
        <v>209</v>
      </c>
      <c r="F405" s="20">
        <v>150000</v>
      </c>
      <c r="G405" s="21">
        <f t="shared" si="208"/>
        <v>5700000</v>
      </c>
    </row>
    <row r="406" spans="2:7" x14ac:dyDescent="0.3">
      <c r="B406" s="22">
        <v>8</v>
      </c>
      <c r="C406" s="23" t="s">
        <v>210</v>
      </c>
      <c r="D406" s="18">
        <v>1</v>
      </c>
      <c r="E406" s="19" t="s">
        <v>211</v>
      </c>
      <c r="G406" s="21">
        <f t="shared" si="208"/>
        <v>0</v>
      </c>
    </row>
    <row r="407" spans="2:7" x14ac:dyDescent="0.3">
      <c r="B407" s="22">
        <v>9</v>
      </c>
      <c r="C407" s="23" t="s">
        <v>213</v>
      </c>
      <c r="D407" s="18">
        <v>828</v>
      </c>
      <c r="E407" s="19" t="s">
        <v>216</v>
      </c>
      <c r="G407" s="21">
        <f t="shared" si="208"/>
        <v>0</v>
      </c>
    </row>
    <row r="408" spans="2:7" x14ac:dyDescent="0.3">
      <c r="B408" s="22">
        <v>10</v>
      </c>
      <c r="C408" s="23" t="s">
        <v>214</v>
      </c>
      <c r="D408" s="18">
        <f>N375</f>
        <v>1027.6799999999998</v>
      </c>
      <c r="E408" s="19" t="s">
        <v>225</v>
      </c>
      <c r="F408" s="20">
        <v>105000</v>
      </c>
      <c r="G408" s="21">
        <f t="shared" si="208"/>
        <v>107906399.99999999</v>
      </c>
    </row>
    <row r="409" spans="2:7" x14ac:dyDescent="0.3">
      <c r="B409" s="22">
        <v>12</v>
      </c>
      <c r="C409" s="23" t="s">
        <v>215</v>
      </c>
      <c r="D409" s="18">
        <f>D408</f>
        <v>1027.6799999999998</v>
      </c>
      <c r="E409" s="19" t="s">
        <v>225</v>
      </c>
      <c r="F409" s="31"/>
      <c r="G409" s="32">
        <f t="shared" si="208"/>
        <v>0</v>
      </c>
    </row>
    <row r="410" spans="2:7" x14ac:dyDescent="0.3">
      <c r="B410" s="33"/>
      <c r="C410" s="34"/>
      <c r="D410" s="35"/>
      <c r="E410" s="36"/>
      <c r="F410" s="25" t="s">
        <v>249</v>
      </c>
      <c r="G410" s="26">
        <f>SUM(G399:G409)</f>
        <v>638672820</v>
      </c>
    </row>
    <row r="411" spans="2:7" x14ac:dyDescent="0.3">
      <c r="B411" s="37"/>
      <c r="C411" s="38"/>
      <c r="D411" s="39"/>
      <c r="E411" s="37"/>
      <c r="F411" s="40"/>
      <c r="G411" s="40"/>
    </row>
    <row r="412" spans="2:7" x14ac:dyDescent="0.3">
      <c r="B412" s="41"/>
      <c r="C412" s="42"/>
      <c r="D412" s="43"/>
      <c r="E412" s="44"/>
      <c r="F412" s="45"/>
      <c r="G412" s="46"/>
    </row>
    <row r="413" spans="2:7" x14ac:dyDescent="0.3">
      <c r="B413" s="52"/>
      <c r="C413" s="53"/>
      <c r="D413" s="213" t="s">
        <v>250</v>
      </c>
      <c r="E413" s="213"/>
      <c r="F413" s="213"/>
      <c r="G413" s="54">
        <f>G410+G396+G389+G377+G368+G361+G361+G325+G313+G306+G270+G249+G242+G209+G188+G181+G148+G127+G120+G87+G60+G54+G24+G21</f>
        <v>14381422289.362045</v>
      </c>
    </row>
    <row r="414" spans="2:7" x14ac:dyDescent="0.3">
      <c r="B414" s="33"/>
      <c r="C414" s="47"/>
      <c r="D414" s="35"/>
      <c r="E414" s="48"/>
      <c r="F414" s="31"/>
      <c r="G414" s="49"/>
    </row>
  </sheetData>
  <mergeCells count="1">
    <mergeCell ref="D413:F4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6F70-8533-41DD-AF59-DCDF94DE6DCD}">
  <dimension ref="B3:I256"/>
  <sheetViews>
    <sheetView topLeftCell="A16" workbookViewId="0">
      <selection activeCell="K248" sqref="K248"/>
    </sheetView>
  </sheetViews>
  <sheetFormatPr defaultRowHeight="14.4" x14ac:dyDescent="0.3"/>
  <cols>
    <col min="2" max="2" width="9" bestFit="1" customWidth="1"/>
    <col min="3" max="3" width="23.5546875" customWidth="1"/>
    <col min="5" max="5" width="9" bestFit="1" customWidth="1"/>
    <col min="6" max="6" width="9.109375" style="81" bestFit="1" customWidth="1"/>
    <col min="7" max="8" width="11.6640625" style="81" bestFit="1" customWidth="1"/>
    <col min="9" max="9" width="9.88671875" style="81" bestFit="1" customWidth="1"/>
  </cols>
  <sheetData>
    <row r="3" spans="2:9" ht="15" thickBot="1" x14ac:dyDescent="0.35">
      <c r="B3" s="164">
        <v>1</v>
      </c>
      <c r="C3" s="56" t="s">
        <v>251</v>
      </c>
      <c r="D3" s="57"/>
      <c r="E3" s="58"/>
      <c r="F3" s="76"/>
      <c r="G3" s="76"/>
      <c r="H3" s="76"/>
      <c r="I3" s="77">
        <f>ROUNDDOWN(G15,-2)</f>
        <v>52800</v>
      </c>
    </row>
    <row r="4" spans="2:9" ht="42" thickTop="1" x14ac:dyDescent="0.3">
      <c r="B4" s="59" t="s">
        <v>252</v>
      </c>
      <c r="C4" s="60" t="s">
        <v>253</v>
      </c>
      <c r="D4" s="60" t="s">
        <v>254</v>
      </c>
      <c r="E4" s="60" t="s">
        <v>255</v>
      </c>
      <c r="F4" s="78" t="s">
        <v>256</v>
      </c>
      <c r="G4" s="79" t="s">
        <v>257</v>
      </c>
      <c r="H4" s="80"/>
    </row>
    <row r="5" spans="2:9" x14ac:dyDescent="0.3">
      <c r="B5" s="61" t="s">
        <v>16</v>
      </c>
      <c r="C5" s="62" t="s">
        <v>258</v>
      </c>
      <c r="D5" s="63"/>
      <c r="E5" s="63"/>
      <c r="F5" s="82"/>
      <c r="G5" s="83"/>
      <c r="H5" s="77"/>
    </row>
    <row r="6" spans="2:9" x14ac:dyDescent="0.3">
      <c r="B6" s="64">
        <v>1</v>
      </c>
      <c r="C6" s="62" t="s">
        <v>259</v>
      </c>
      <c r="D6" s="65" t="s">
        <v>260</v>
      </c>
      <c r="E6" s="66">
        <v>0.4</v>
      </c>
      <c r="F6" s="84">
        <f>VLOOKUP(C6,upahbahan,3,FALSE)</f>
        <v>100000</v>
      </c>
      <c r="G6" s="85">
        <f>E6*F6</f>
        <v>40000</v>
      </c>
      <c r="H6" s="77"/>
    </row>
    <row r="7" spans="2:9" x14ac:dyDescent="0.3">
      <c r="B7" s="64">
        <v>2</v>
      </c>
      <c r="C7" s="62" t="s">
        <v>261</v>
      </c>
      <c r="D7" s="65" t="s">
        <v>260</v>
      </c>
      <c r="E7" s="66">
        <v>0.04</v>
      </c>
      <c r="F7" s="84">
        <f>VLOOKUP(C7,upahbahan,3,FALSE)</f>
        <v>200000</v>
      </c>
      <c r="G7" s="85">
        <f>E7*F7</f>
        <v>8000</v>
      </c>
      <c r="H7" s="77"/>
    </row>
    <row r="8" spans="2:9" x14ac:dyDescent="0.3">
      <c r="B8" s="67" t="s">
        <v>262</v>
      </c>
      <c r="C8" s="68"/>
      <c r="D8" s="68"/>
      <c r="E8" s="68"/>
      <c r="F8" s="86"/>
      <c r="G8" s="85">
        <f>SUM(G6:G7)</f>
        <v>48000</v>
      </c>
      <c r="H8" s="77"/>
    </row>
    <row r="9" spans="2:9" x14ac:dyDescent="0.3">
      <c r="B9" s="61" t="s">
        <v>31</v>
      </c>
      <c r="C9" s="62" t="s">
        <v>263</v>
      </c>
      <c r="D9" s="63"/>
      <c r="E9" s="63"/>
      <c r="F9" s="82"/>
      <c r="G9" s="83"/>
      <c r="H9" s="77"/>
    </row>
    <row r="10" spans="2:9" x14ac:dyDescent="0.3">
      <c r="B10" s="67" t="s">
        <v>264</v>
      </c>
      <c r="C10" s="68"/>
      <c r="D10" s="68"/>
      <c r="E10" s="68"/>
      <c r="F10" s="86"/>
      <c r="G10" s="87">
        <v>0</v>
      </c>
      <c r="H10" s="77"/>
    </row>
    <row r="11" spans="2:9" x14ac:dyDescent="0.3">
      <c r="B11" s="61" t="s">
        <v>34</v>
      </c>
      <c r="C11" s="62" t="s">
        <v>265</v>
      </c>
      <c r="D11" s="63"/>
      <c r="E11" s="63"/>
      <c r="F11" s="82"/>
      <c r="G11" s="83"/>
      <c r="H11" s="77"/>
    </row>
    <row r="12" spans="2:9" x14ac:dyDescent="0.3">
      <c r="B12" s="67" t="s">
        <v>266</v>
      </c>
      <c r="C12" s="68"/>
      <c r="D12" s="68"/>
      <c r="E12" s="68"/>
      <c r="F12" s="86"/>
      <c r="G12" s="87">
        <v>0</v>
      </c>
      <c r="H12" s="77"/>
    </row>
    <row r="13" spans="2:9" x14ac:dyDescent="0.3">
      <c r="B13" s="69" t="s">
        <v>9</v>
      </c>
      <c r="C13" s="70" t="s">
        <v>267</v>
      </c>
      <c r="D13" s="71"/>
      <c r="E13" s="71"/>
      <c r="F13" s="88"/>
      <c r="G13" s="85">
        <f>G8+G10+G12</f>
        <v>48000</v>
      </c>
      <c r="H13" s="77"/>
    </row>
    <row r="14" spans="2:9" x14ac:dyDescent="0.3">
      <c r="B14" s="69" t="s">
        <v>268</v>
      </c>
      <c r="C14" s="70" t="s">
        <v>269</v>
      </c>
      <c r="D14" s="71"/>
      <c r="E14" s="72"/>
      <c r="F14" s="89">
        <v>0.1</v>
      </c>
      <c r="G14" s="85">
        <f>G13*F14</f>
        <v>4800</v>
      </c>
      <c r="H14" s="77"/>
    </row>
    <row r="15" spans="2:9" ht="15" thickBot="1" x14ac:dyDescent="0.35">
      <c r="B15" s="73" t="s">
        <v>270</v>
      </c>
      <c r="C15" s="74" t="s">
        <v>271</v>
      </c>
      <c r="D15" s="75"/>
      <c r="E15" s="75"/>
      <c r="F15" s="90"/>
      <c r="G15" s="91">
        <f>SUM(G13:G14)</f>
        <v>52800</v>
      </c>
      <c r="H15" s="77"/>
    </row>
    <row r="16" spans="2:9" ht="15" thickTop="1" x14ac:dyDescent="0.3"/>
    <row r="18" spans="2:9" ht="15" thickBot="1" x14ac:dyDescent="0.35">
      <c r="B18" s="92">
        <v>2</v>
      </c>
      <c r="C18" s="93" t="s">
        <v>272</v>
      </c>
      <c r="D18" s="94"/>
      <c r="E18" s="95"/>
      <c r="F18" s="112"/>
      <c r="G18" s="112"/>
      <c r="H18" s="112"/>
      <c r="I18" s="113">
        <f>ROUNDDOWN(G29,-2)</f>
        <v>24500</v>
      </c>
    </row>
    <row r="19" spans="2:9" ht="42" thickTop="1" x14ac:dyDescent="0.3">
      <c r="B19" s="96" t="s">
        <v>252</v>
      </c>
      <c r="C19" s="97" t="s">
        <v>253</v>
      </c>
      <c r="D19" s="97" t="s">
        <v>254</v>
      </c>
      <c r="E19" s="97" t="s">
        <v>255</v>
      </c>
      <c r="F19" s="114" t="s">
        <v>256</v>
      </c>
      <c r="G19" s="115" t="s">
        <v>257</v>
      </c>
      <c r="H19" s="116"/>
    </row>
    <row r="20" spans="2:9" x14ac:dyDescent="0.3">
      <c r="B20" s="98" t="s">
        <v>16</v>
      </c>
      <c r="C20" s="99" t="s">
        <v>258</v>
      </c>
      <c r="D20" s="100"/>
      <c r="E20" s="100"/>
      <c r="F20" s="117"/>
      <c r="G20" s="118"/>
      <c r="H20" s="113"/>
    </row>
    <row r="21" spans="2:9" x14ac:dyDescent="0.3">
      <c r="B21" s="101" t="s">
        <v>262</v>
      </c>
      <c r="C21" s="102"/>
      <c r="D21" s="102"/>
      <c r="E21" s="102"/>
      <c r="F21" s="119"/>
      <c r="G21" s="120">
        <f>SUM(G20)</f>
        <v>0</v>
      </c>
      <c r="H21" s="113"/>
    </row>
    <row r="22" spans="2:9" x14ac:dyDescent="0.3">
      <c r="B22" s="98" t="s">
        <v>31</v>
      </c>
      <c r="C22" s="99" t="s">
        <v>263</v>
      </c>
      <c r="D22" s="100"/>
      <c r="E22" s="100"/>
      <c r="F22" s="117"/>
      <c r="G22" s="118"/>
      <c r="H22" s="113"/>
    </row>
    <row r="23" spans="2:9" x14ac:dyDescent="0.3">
      <c r="B23" s="101" t="s">
        <v>264</v>
      </c>
      <c r="C23" s="102"/>
      <c r="D23" s="102"/>
      <c r="E23" s="102"/>
      <c r="F23" s="119"/>
      <c r="G23" s="120">
        <f>SUM(G22)</f>
        <v>0</v>
      </c>
      <c r="H23" s="113"/>
    </row>
    <row r="24" spans="2:9" x14ac:dyDescent="0.3">
      <c r="B24" s="98" t="s">
        <v>34</v>
      </c>
      <c r="C24" s="99" t="s">
        <v>265</v>
      </c>
      <c r="D24" s="100"/>
      <c r="E24" s="100"/>
      <c r="F24" s="117"/>
      <c r="G24" s="118"/>
      <c r="H24" s="113"/>
    </row>
    <row r="25" spans="2:9" x14ac:dyDescent="0.3">
      <c r="B25" s="98">
        <v>1</v>
      </c>
      <c r="C25" s="99" t="s">
        <v>273</v>
      </c>
      <c r="D25" s="99" t="s">
        <v>274</v>
      </c>
      <c r="E25" s="103">
        <v>7.6999999999999999E-2</v>
      </c>
      <c r="F25" s="121">
        <f>VLOOKUP(C25,upahbahan,3,FALSE)</f>
        <v>290000</v>
      </c>
      <c r="G25" s="122">
        <f>E25*F25</f>
        <v>22330</v>
      </c>
      <c r="H25" s="123"/>
    </row>
    <row r="26" spans="2:9" x14ac:dyDescent="0.3">
      <c r="B26" s="101" t="s">
        <v>266</v>
      </c>
      <c r="C26" s="102"/>
      <c r="D26" s="102"/>
      <c r="E26" s="102"/>
      <c r="F26" s="119"/>
      <c r="G26" s="124">
        <f>SUM(G25)</f>
        <v>22330</v>
      </c>
      <c r="H26" s="113"/>
    </row>
    <row r="27" spans="2:9" x14ac:dyDescent="0.3">
      <c r="B27" s="105" t="s">
        <v>9</v>
      </c>
      <c r="C27" s="106" t="s">
        <v>267</v>
      </c>
      <c r="D27" s="107"/>
      <c r="E27" s="107"/>
      <c r="F27" s="125"/>
      <c r="G27" s="120">
        <f>G21+G23+G26</f>
        <v>22330</v>
      </c>
      <c r="H27" s="113"/>
    </row>
    <row r="28" spans="2:9" x14ac:dyDescent="0.3">
      <c r="B28" s="105" t="s">
        <v>268</v>
      </c>
      <c r="C28" s="106" t="s">
        <v>275</v>
      </c>
      <c r="D28" s="107"/>
      <c r="E28" s="108"/>
      <c r="F28" s="126">
        <v>0.1</v>
      </c>
      <c r="G28" s="120">
        <f>G27*F28</f>
        <v>2233</v>
      </c>
      <c r="H28" s="113"/>
    </row>
    <row r="29" spans="2:9" ht="15" thickBot="1" x14ac:dyDescent="0.35">
      <c r="B29" s="109" t="s">
        <v>270</v>
      </c>
      <c r="C29" s="110" t="s">
        <v>271</v>
      </c>
      <c r="D29" s="111"/>
      <c r="E29" s="111"/>
      <c r="F29" s="127"/>
      <c r="G29" s="128">
        <f>SUM(G27:G28)</f>
        <v>24563</v>
      </c>
      <c r="H29" s="113"/>
    </row>
    <row r="30" spans="2:9" ht="15" thickTop="1" x14ac:dyDescent="0.3"/>
    <row r="32" spans="2:9" ht="15" thickBot="1" x14ac:dyDescent="0.35">
      <c r="B32" s="129">
        <v>3</v>
      </c>
      <c r="C32" s="130" t="s">
        <v>276</v>
      </c>
      <c r="D32" s="130"/>
      <c r="E32" s="130"/>
      <c r="F32" s="144"/>
      <c r="G32" s="144"/>
      <c r="H32" s="144"/>
      <c r="I32" s="145">
        <f>ROUNDDOWN(G44,-2)</f>
        <v>29900</v>
      </c>
    </row>
    <row r="33" spans="2:8" ht="42" thickTop="1" x14ac:dyDescent="0.3">
      <c r="B33" s="96" t="s">
        <v>252</v>
      </c>
      <c r="C33" s="97" t="s">
        <v>253</v>
      </c>
      <c r="D33" s="97" t="s">
        <v>254</v>
      </c>
      <c r="E33" s="97" t="s">
        <v>255</v>
      </c>
      <c r="F33" s="114" t="s">
        <v>256</v>
      </c>
      <c r="G33" s="115" t="s">
        <v>257</v>
      </c>
      <c r="H33" s="146"/>
    </row>
    <row r="34" spans="2:8" x14ac:dyDescent="0.3">
      <c r="B34" s="131" t="s">
        <v>16</v>
      </c>
      <c r="C34" s="132" t="s">
        <v>258</v>
      </c>
      <c r="D34" s="133"/>
      <c r="E34" s="133"/>
      <c r="F34" s="147"/>
      <c r="G34" s="148"/>
      <c r="H34" s="145"/>
    </row>
    <row r="35" spans="2:8" x14ac:dyDescent="0.3">
      <c r="B35" s="134">
        <v>1</v>
      </c>
      <c r="C35" s="132" t="s">
        <v>259</v>
      </c>
      <c r="D35" s="135" t="s">
        <v>277</v>
      </c>
      <c r="E35" s="136">
        <v>0.23630000000000001</v>
      </c>
      <c r="F35" s="149">
        <f>VLOOKUP(C35,upahbahan,3,FALSE)</f>
        <v>100000</v>
      </c>
      <c r="G35" s="189">
        <f>F35*E35</f>
        <v>23630</v>
      </c>
      <c r="H35" s="145"/>
    </row>
    <row r="36" spans="2:8" x14ac:dyDescent="0.3">
      <c r="B36" s="134">
        <v>2</v>
      </c>
      <c r="C36" s="132" t="s">
        <v>261</v>
      </c>
      <c r="D36" s="135" t="s">
        <v>277</v>
      </c>
      <c r="E36" s="136">
        <v>1.7999999999999999E-2</v>
      </c>
      <c r="F36" s="149">
        <f>VLOOKUP(C36,upahbahan,3,FALSE)</f>
        <v>200000</v>
      </c>
      <c r="G36" s="189">
        <f>F36*E36</f>
        <v>3599.9999999999995</v>
      </c>
      <c r="H36" s="145"/>
    </row>
    <row r="37" spans="2:8" x14ac:dyDescent="0.3">
      <c r="B37" s="101" t="s">
        <v>262</v>
      </c>
      <c r="C37" s="102"/>
      <c r="D37" s="102"/>
      <c r="E37" s="102"/>
      <c r="F37" s="119"/>
      <c r="G37" s="150">
        <f>SUM(G35:G36)</f>
        <v>27230</v>
      </c>
      <c r="H37" s="145"/>
    </row>
    <row r="38" spans="2:8" x14ac:dyDescent="0.3">
      <c r="B38" s="131" t="s">
        <v>31</v>
      </c>
      <c r="C38" s="132" t="s">
        <v>263</v>
      </c>
      <c r="D38" s="133"/>
      <c r="E38" s="133"/>
      <c r="F38" s="147"/>
      <c r="G38" s="148"/>
      <c r="H38" s="145"/>
    </row>
    <row r="39" spans="2:8" x14ac:dyDescent="0.3">
      <c r="B39" s="101" t="s">
        <v>264</v>
      </c>
      <c r="C39" s="102"/>
      <c r="D39" s="102"/>
      <c r="E39" s="102"/>
      <c r="F39" s="119"/>
      <c r="G39" s="150">
        <f>SUM(G38)</f>
        <v>0</v>
      </c>
      <c r="H39" s="145"/>
    </row>
    <row r="40" spans="2:8" x14ac:dyDescent="0.3">
      <c r="B40" s="131" t="s">
        <v>34</v>
      </c>
      <c r="C40" s="132" t="s">
        <v>265</v>
      </c>
      <c r="D40" s="100"/>
      <c r="E40" s="100"/>
      <c r="F40" s="117"/>
      <c r="G40" s="148"/>
      <c r="H40" s="145"/>
    </row>
    <row r="41" spans="2:8" x14ac:dyDescent="0.3">
      <c r="B41" s="101" t="s">
        <v>266</v>
      </c>
      <c r="C41" s="102"/>
      <c r="D41" s="102"/>
      <c r="E41" s="102"/>
      <c r="F41" s="119"/>
      <c r="G41" s="151">
        <f>SUM(G40)</f>
        <v>0</v>
      </c>
      <c r="H41" s="145"/>
    </row>
    <row r="42" spans="2:8" x14ac:dyDescent="0.3">
      <c r="B42" s="137" t="s">
        <v>9</v>
      </c>
      <c r="C42" s="138" t="s">
        <v>267</v>
      </c>
      <c r="D42" s="139"/>
      <c r="E42" s="139"/>
      <c r="F42" s="152"/>
      <c r="G42" s="150">
        <f>G37+G39+G41</f>
        <v>27230</v>
      </c>
      <c r="H42" s="145"/>
    </row>
    <row r="43" spans="2:8" x14ac:dyDescent="0.3">
      <c r="B43" s="137" t="s">
        <v>268</v>
      </c>
      <c r="C43" s="138" t="s">
        <v>275</v>
      </c>
      <c r="D43" s="139"/>
      <c r="E43" s="140"/>
      <c r="F43" s="153">
        <v>0.1</v>
      </c>
      <c r="G43" s="150">
        <f>G42*F43</f>
        <v>2723</v>
      </c>
      <c r="H43" s="145"/>
    </row>
    <row r="44" spans="2:8" ht="15" thickBot="1" x14ac:dyDescent="0.35">
      <c r="B44" s="141" t="s">
        <v>270</v>
      </c>
      <c r="C44" s="142" t="s">
        <v>271</v>
      </c>
      <c r="D44" s="143"/>
      <c r="E44" s="143"/>
      <c r="F44" s="154"/>
      <c r="G44" s="155">
        <f>SUM(G42:G43)</f>
        <v>29953</v>
      </c>
      <c r="H44" s="145"/>
    </row>
    <row r="45" spans="2:8" ht="15" thickTop="1" x14ac:dyDescent="0.3"/>
    <row r="47" spans="2:8" ht="15" thickBot="1" x14ac:dyDescent="0.35">
      <c r="B47" s="92">
        <v>4</v>
      </c>
      <c r="C47" s="104" t="s">
        <v>278</v>
      </c>
      <c r="D47" s="104"/>
      <c r="E47" s="104"/>
      <c r="F47" s="123"/>
      <c r="G47" s="123"/>
      <c r="H47" s="113">
        <f>ROUNDDOWN(G64,-2)</f>
        <v>272100</v>
      </c>
    </row>
    <row r="48" spans="2:8" ht="42" thickTop="1" x14ac:dyDescent="0.3">
      <c r="B48" s="96" t="s">
        <v>252</v>
      </c>
      <c r="C48" s="97" t="s">
        <v>253</v>
      </c>
      <c r="D48" s="97" t="s">
        <v>254</v>
      </c>
      <c r="E48" s="97" t="s">
        <v>255</v>
      </c>
      <c r="F48" s="114" t="s">
        <v>256</v>
      </c>
      <c r="G48" s="115" t="s">
        <v>257</v>
      </c>
      <c r="H48" s="171"/>
    </row>
    <row r="49" spans="2:8" x14ac:dyDescent="0.3">
      <c r="B49" s="98" t="s">
        <v>16</v>
      </c>
      <c r="C49" s="99" t="s">
        <v>258</v>
      </c>
      <c r="D49" s="100"/>
      <c r="E49" s="100"/>
      <c r="F49" s="117"/>
      <c r="G49" s="118"/>
      <c r="H49" s="113"/>
    </row>
    <row r="50" spans="2:8" x14ac:dyDescent="0.3">
      <c r="B50" s="165">
        <v>1</v>
      </c>
      <c r="C50" s="99" t="s">
        <v>259</v>
      </c>
      <c r="D50" s="166" t="s">
        <v>260</v>
      </c>
      <c r="E50" s="167">
        <v>0.52</v>
      </c>
      <c r="F50" s="172">
        <f>VLOOKUP(C50,upahbahan,3,FALSE)</f>
        <v>100000</v>
      </c>
      <c r="G50" s="120">
        <f>E50*F50</f>
        <v>52000</v>
      </c>
      <c r="H50" s="113"/>
    </row>
    <row r="51" spans="2:8" x14ac:dyDescent="0.3">
      <c r="B51" s="165">
        <v>2</v>
      </c>
      <c r="C51" s="99" t="s">
        <v>279</v>
      </c>
      <c r="D51" s="166" t="s">
        <v>260</v>
      </c>
      <c r="E51" s="167">
        <v>0.26</v>
      </c>
      <c r="F51" s="172">
        <f>VLOOKUP(C51,upahbahan,3,FALSE)</f>
        <v>145000</v>
      </c>
      <c r="G51" s="120">
        <f>E51*F51</f>
        <v>37700</v>
      </c>
      <c r="H51" s="113"/>
    </row>
    <row r="52" spans="2:8" x14ac:dyDescent="0.3">
      <c r="B52" s="165">
        <v>3</v>
      </c>
      <c r="C52" s="99" t="s">
        <v>280</v>
      </c>
      <c r="D52" s="166" t="s">
        <v>260</v>
      </c>
      <c r="E52" s="167">
        <v>2.5999999999999999E-2</v>
      </c>
      <c r="F52" s="172">
        <f>VLOOKUP(C52,upahbahan,3,FALSE)</f>
        <v>175000</v>
      </c>
      <c r="G52" s="120">
        <f>E52*F52</f>
        <v>4550</v>
      </c>
      <c r="H52" s="113"/>
    </row>
    <row r="53" spans="2:8" x14ac:dyDescent="0.3">
      <c r="B53" s="165">
        <v>4</v>
      </c>
      <c r="C53" s="99" t="s">
        <v>261</v>
      </c>
      <c r="D53" s="166" t="s">
        <v>260</v>
      </c>
      <c r="E53" s="167">
        <v>8.9999999999999993E-3</v>
      </c>
      <c r="F53" s="172">
        <f>VLOOKUP(C53,upahbahan,3,FALSE)</f>
        <v>200000</v>
      </c>
      <c r="G53" s="120">
        <f>E53*F53</f>
        <v>1799.9999999999998</v>
      </c>
      <c r="H53" s="113"/>
    </row>
    <row r="54" spans="2:8" x14ac:dyDescent="0.3">
      <c r="B54" s="101" t="s">
        <v>262</v>
      </c>
      <c r="C54" s="102"/>
      <c r="D54" s="102"/>
      <c r="E54" s="168"/>
      <c r="F54" s="119"/>
      <c r="G54" s="120">
        <f>SUM(G50:G53)</f>
        <v>96050</v>
      </c>
      <c r="H54" s="113"/>
    </row>
    <row r="55" spans="2:8" x14ac:dyDescent="0.3">
      <c r="B55" s="98" t="s">
        <v>31</v>
      </c>
      <c r="C55" s="99" t="s">
        <v>263</v>
      </c>
      <c r="D55" s="100"/>
      <c r="E55" s="100"/>
      <c r="F55" s="117"/>
      <c r="G55" s="118"/>
      <c r="H55" s="113"/>
    </row>
    <row r="56" spans="2:8" x14ac:dyDescent="0.3">
      <c r="B56" s="169" t="s">
        <v>281</v>
      </c>
      <c r="C56" s="170" t="s">
        <v>282</v>
      </c>
      <c r="D56" s="166" t="s">
        <v>37</v>
      </c>
      <c r="E56" s="167">
        <v>1.7999999999999999E-2</v>
      </c>
      <c r="F56" s="172">
        <f>VLOOKUP(C56,upahbahan,3,FALSE)</f>
        <v>8000000</v>
      </c>
      <c r="G56" s="120">
        <f>E56*F56</f>
        <v>144000</v>
      </c>
      <c r="H56" s="113"/>
    </row>
    <row r="57" spans="2:8" x14ac:dyDescent="0.3">
      <c r="B57" s="169" t="s">
        <v>283</v>
      </c>
      <c r="C57" s="170" t="s">
        <v>284</v>
      </c>
      <c r="D57" s="166" t="s">
        <v>65</v>
      </c>
      <c r="E57" s="167">
        <v>0.3</v>
      </c>
      <c r="F57" s="172">
        <f>VLOOKUP(C57,upahbahan,3,FALSE)</f>
        <v>19000</v>
      </c>
      <c r="G57" s="120">
        <f>E57*F57</f>
        <v>5700</v>
      </c>
      <c r="H57" s="113"/>
    </row>
    <row r="58" spans="2:8" x14ac:dyDescent="0.3">
      <c r="B58" s="169" t="s">
        <v>285</v>
      </c>
      <c r="C58" s="170" t="s">
        <v>286</v>
      </c>
      <c r="D58" s="166" t="s">
        <v>287</v>
      </c>
      <c r="E58" s="167">
        <v>0.1</v>
      </c>
      <c r="F58" s="172">
        <f>VLOOKUP(C58,upahbahan,3,FALSE)</f>
        <v>16800</v>
      </c>
      <c r="G58" s="120">
        <f>E58*F58</f>
        <v>1680</v>
      </c>
      <c r="H58" s="113"/>
    </row>
    <row r="59" spans="2:8" x14ac:dyDescent="0.3">
      <c r="B59" s="101" t="s">
        <v>264</v>
      </c>
      <c r="C59" s="102"/>
      <c r="D59" s="102"/>
      <c r="E59" s="102"/>
      <c r="F59" s="119"/>
      <c r="G59" s="120">
        <f>SUM(G56:G58)</f>
        <v>151380</v>
      </c>
      <c r="H59" s="113"/>
    </row>
    <row r="60" spans="2:8" x14ac:dyDescent="0.3">
      <c r="B60" s="98" t="s">
        <v>34</v>
      </c>
      <c r="C60" s="99" t="s">
        <v>265</v>
      </c>
      <c r="D60" s="100"/>
      <c r="E60" s="100"/>
      <c r="F60" s="117"/>
      <c r="G60" s="118"/>
      <c r="H60" s="113"/>
    </row>
    <row r="61" spans="2:8" x14ac:dyDescent="0.3">
      <c r="B61" s="101" t="s">
        <v>266</v>
      </c>
      <c r="C61" s="102"/>
      <c r="D61" s="102"/>
      <c r="E61" s="102"/>
      <c r="F61" s="119"/>
      <c r="G61" s="124">
        <v>0</v>
      </c>
      <c r="H61" s="113"/>
    </row>
    <row r="62" spans="2:8" x14ac:dyDescent="0.3">
      <c r="B62" s="105" t="s">
        <v>9</v>
      </c>
      <c r="C62" s="106" t="s">
        <v>267</v>
      </c>
      <c r="D62" s="107"/>
      <c r="E62" s="107"/>
      <c r="F62" s="125"/>
      <c r="G62" s="120">
        <f>G61+G59+G54</f>
        <v>247430</v>
      </c>
      <c r="H62" s="113"/>
    </row>
    <row r="63" spans="2:8" x14ac:dyDescent="0.3">
      <c r="B63" s="105" t="s">
        <v>268</v>
      </c>
      <c r="C63" s="106" t="s">
        <v>275</v>
      </c>
      <c r="D63" s="107"/>
      <c r="E63" s="108"/>
      <c r="F63" s="126">
        <v>0.1</v>
      </c>
      <c r="G63" s="120">
        <f>G62*F63</f>
        <v>24743</v>
      </c>
      <c r="H63" s="113"/>
    </row>
    <row r="64" spans="2:8" ht="15" thickBot="1" x14ac:dyDescent="0.35">
      <c r="B64" s="109" t="s">
        <v>270</v>
      </c>
      <c r="C64" s="110" t="s">
        <v>271</v>
      </c>
      <c r="D64" s="111"/>
      <c r="E64" s="111"/>
      <c r="F64" s="127"/>
      <c r="G64" s="128">
        <f>SUM(G62:G63)</f>
        <v>272173</v>
      </c>
      <c r="H64" s="113"/>
    </row>
    <row r="65" spans="2:8" ht="15" thickTop="1" x14ac:dyDescent="0.3"/>
    <row r="67" spans="2:8" ht="15" thickBot="1" x14ac:dyDescent="0.35">
      <c r="B67" s="92">
        <v>5</v>
      </c>
      <c r="C67" s="173" t="s">
        <v>288</v>
      </c>
      <c r="D67" s="174"/>
      <c r="E67" s="174"/>
      <c r="F67" s="179"/>
      <c r="G67" s="179"/>
      <c r="H67" s="113">
        <f>ROUNDDOWN(G85,-2)</f>
        <v>19300</v>
      </c>
    </row>
    <row r="68" spans="2:8" ht="42" thickTop="1" x14ac:dyDescent="0.3">
      <c r="B68" s="96" t="s">
        <v>252</v>
      </c>
      <c r="C68" s="97" t="s">
        <v>253</v>
      </c>
      <c r="D68" s="97" t="s">
        <v>254</v>
      </c>
      <c r="E68" s="97" t="s">
        <v>255</v>
      </c>
      <c r="F68" s="114" t="s">
        <v>256</v>
      </c>
      <c r="G68" s="115" t="s">
        <v>257</v>
      </c>
      <c r="H68" s="171"/>
    </row>
    <row r="69" spans="2:8" x14ac:dyDescent="0.3">
      <c r="B69" s="98" t="s">
        <v>16</v>
      </c>
      <c r="C69" s="99" t="s">
        <v>258</v>
      </c>
      <c r="D69" s="100"/>
      <c r="E69" s="100"/>
      <c r="F69" s="117"/>
      <c r="G69" s="118"/>
      <c r="H69" s="113"/>
    </row>
    <row r="70" spans="2:8" x14ac:dyDescent="0.3">
      <c r="B70" s="165">
        <v>1</v>
      </c>
      <c r="C70" s="99" t="s">
        <v>259</v>
      </c>
      <c r="D70" s="166" t="s">
        <v>260</v>
      </c>
      <c r="E70" s="175">
        <v>8.0000000000000004E-4</v>
      </c>
      <c r="F70" s="172">
        <f>VLOOKUP(C70,upahbahan,3,FALSE)</f>
        <v>100000</v>
      </c>
      <c r="G70" s="120">
        <f>E70*F70</f>
        <v>80</v>
      </c>
      <c r="H70" s="113"/>
    </row>
    <row r="71" spans="2:8" x14ac:dyDescent="0.3">
      <c r="B71" s="165">
        <v>2</v>
      </c>
      <c r="C71" s="99" t="str">
        <f>C33</f>
        <v>Uraian</v>
      </c>
      <c r="D71" s="166" t="s">
        <v>260</v>
      </c>
      <c r="E71" s="175">
        <v>4.0000000000000002E-4</v>
      </c>
      <c r="F71" s="172">
        <v>200000</v>
      </c>
      <c r="G71" s="120">
        <f>E71*F71</f>
        <v>80</v>
      </c>
      <c r="H71" s="113"/>
    </row>
    <row r="72" spans="2:8" x14ac:dyDescent="0.3">
      <c r="B72" s="165">
        <v>3</v>
      </c>
      <c r="C72" s="99" t="s">
        <v>280</v>
      </c>
      <c r="D72" s="166" t="s">
        <v>260</v>
      </c>
      <c r="E72" s="175">
        <v>4.0000000000000003E-5</v>
      </c>
      <c r="F72" s="172">
        <f>VLOOKUP(C72,upahbahan,3,FALSE)</f>
        <v>175000</v>
      </c>
      <c r="G72" s="120">
        <f>E72*F72</f>
        <v>7.0000000000000009</v>
      </c>
      <c r="H72" s="113"/>
    </row>
    <row r="73" spans="2:8" x14ac:dyDescent="0.3">
      <c r="B73" s="165">
        <v>4</v>
      </c>
      <c r="C73" s="99" t="s">
        <v>261</v>
      </c>
      <c r="D73" s="166" t="s">
        <v>260</v>
      </c>
      <c r="E73" s="175">
        <v>8.0000000000000007E-5</v>
      </c>
      <c r="F73" s="172">
        <f>VLOOKUP(C73,upahbahan,3,FALSE)</f>
        <v>200000</v>
      </c>
      <c r="G73" s="120">
        <f>E73*F73</f>
        <v>16</v>
      </c>
      <c r="H73" s="113"/>
    </row>
    <row r="74" spans="2:8" x14ac:dyDescent="0.3">
      <c r="B74" s="101" t="s">
        <v>262</v>
      </c>
      <c r="C74" s="102"/>
      <c r="D74" s="102"/>
      <c r="E74" s="168"/>
      <c r="F74" s="119"/>
      <c r="G74" s="120">
        <f>SUM(G70:G73)</f>
        <v>183</v>
      </c>
      <c r="H74" s="113"/>
    </row>
    <row r="75" spans="2:8" x14ac:dyDescent="0.3">
      <c r="B75" s="98" t="s">
        <v>31</v>
      </c>
      <c r="C75" s="99" t="s">
        <v>263</v>
      </c>
      <c r="D75" s="100"/>
      <c r="E75" s="100"/>
      <c r="F75" s="117"/>
      <c r="G75" s="118"/>
      <c r="H75" s="113"/>
    </row>
    <row r="76" spans="2:8" ht="27.6" x14ac:dyDescent="0.3">
      <c r="B76" s="165">
        <v>1</v>
      </c>
      <c r="C76" s="99" t="s">
        <v>289</v>
      </c>
      <c r="D76" s="166" t="s">
        <v>65</v>
      </c>
      <c r="E76" s="167">
        <v>1.02</v>
      </c>
      <c r="F76" s="172">
        <f>VLOOKUP(C76,upahbahan,3,FALSE)</f>
        <v>16500</v>
      </c>
      <c r="G76" s="120">
        <f>E76*F76</f>
        <v>16830</v>
      </c>
      <c r="H76" s="113"/>
    </row>
    <row r="77" spans="2:8" x14ac:dyDescent="0.3">
      <c r="B77" s="165">
        <v>2</v>
      </c>
      <c r="C77" s="99" t="s">
        <v>290</v>
      </c>
      <c r="D77" s="166" t="s">
        <v>65</v>
      </c>
      <c r="E77" s="167">
        <v>1.4999999999999999E-2</v>
      </c>
      <c r="F77" s="172">
        <f>VLOOKUP(C77,upahbahan,3,FALSE)</f>
        <v>18800</v>
      </c>
      <c r="G77" s="120">
        <f>E77*F77</f>
        <v>282</v>
      </c>
      <c r="H77" s="113"/>
    </row>
    <row r="78" spans="2:8" x14ac:dyDescent="0.3">
      <c r="B78" s="101" t="s">
        <v>264</v>
      </c>
      <c r="C78" s="102"/>
      <c r="D78" s="102"/>
      <c r="E78" s="102"/>
      <c r="F78" s="119"/>
      <c r="G78" s="120">
        <f>SUM(G76:G77)</f>
        <v>17112</v>
      </c>
      <c r="H78" s="113"/>
    </row>
    <row r="79" spans="2:8" x14ac:dyDescent="0.3">
      <c r="B79" s="98" t="s">
        <v>34</v>
      </c>
      <c r="C79" s="99" t="s">
        <v>265</v>
      </c>
      <c r="D79" s="100"/>
      <c r="E79" s="100"/>
      <c r="F79" s="117"/>
      <c r="G79" s="118"/>
      <c r="H79" s="113"/>
    </row>
    <row r="80" spans="2:8" x14ac:dyDescent="0.3">
      <c r="B80" s="176" t="s">
        <v>281</v>
      </c>
      <c r="C80" s="99" t="s">
        <v>291</v>
      </c>
      <c r="D80" s="177" t="s">
        <v>292</v>
      </c>
      <c r="E80" s="178">
        <v>2.0000000000000001E-4</v>
      </c>
      <c r="F80" s="172">
        <f>VLOOKUP(C80,upahbahan,3,FALSE)</f>
        <v>800000</v>
      </c>
      <c r="G80" s="120">
        <f>E80*F80</f>
        <v>160</v>
      </c>
      <c r="H80" s="113"/>
    </row>
    <row r="81" spans="2:8" x14ac:dyDescent="0.3">
      <c r="B81" s="176" t="s">
        <v>283</v>
      </c>
      <c r="C81" s="99" t="s">
        <v>293</v>
      </c>
      <c r="D81" s="177" t="s">
        <v>292</v>
      </c>
      <c r="E81" s="178">
        <v>2.0000000000000001E-4</v>
      </c>
      <c r="F81" s="172">
        <f>VLOOKUP(C81,upahbahan,3,FALSE)</f>
        <v>850000</v>
      </c>
      <c r="G81" s="120">
        <f>E81*F81</f>
        <v>170</v>
      </c>
      <c r="H81" s="113"/>
    </row>
    <row r="82" spans="2:8" x14ac:dyDescent="0.3">
      <c r="B82" s="101" t="s">
        <v>266</v>
      </c>
      <c r="C82" s="102"/>
      <c r="D82" s="102"/>
      <c r="E82" s="102"/>
      <c r="F82" s="119"/>
      <c r="G82" s="120">
        <f>SUM(G80:G81)</f>
        <v>330</v>
      </c>
      <c r="H82" s="113"/>
    </row>
    <row r="83" spans="2:8" x14ac:dyDescent="0.3">
      <c r="B83" s="105" t="s">
        <v>9</v>
      </c>
      <c r="C83" s="106" t="s">
        <v>267</v>
      </c>
      <c r="D83" s="107"/>
      <c r="E83" s="107"/>
      <c r="F83" s="125"/>
      <c r="G83" s="120">
        <f>G82+G78+G74</f>
        <v>17625</v>
      </c>
      <c r="H83" s="113"/>
    </row>
    <row r="84" spans="2:8" x14ac:dyDescent="0.3">
      <c r="B84" s="105" t="s">
        <v>268</v>
      </c>
      <c r="C84" s="106" t="s">
        <v>275</v>
      </c>
      <c r="D84" s="107"/>
      <c r="E84" s="108"/>
      <c r="F84" s="126">
        <v>0.1</v>
      </c>
      <c r="G84" s="120">
        <f>G83*F84</f>
        <v>1762.5</v>
      </c>
      <c r="H84" s="113"/>
    </row>
    <row r="85" spans="2:8" ht="15" thickBot="1" x14ac:dyDescent="0.35">
      <c r="B85" s="109" t="s">
        <v>270</v>
      </c>
      <c r="C85" s="110" t="s">
        <v>271</v>
      </c>
      <c r="D85" s="111"/>
      <c r="E85" s="111"/>
      <c r="F85" s="127"/>
      <c r="G85" s="128">
        <f>SUM(G83:G84)</f>
        <v>19387.5</v>
      </c>
      <c r="H85" s="113"/>
    </row>
    <row r="86" spans="2:8" ht="15" thickTop="1" x14ac:dyDescent="0.3"/>
    <row r="88" spans="2:8" ht="15" thickBot="1" x14ac:dyDescent="0.35">
      <c r="B88" s="92" t="s">
        <v>322</v>
      </c>
      <c r="C88" s="104" t="s">
        <v>319</v>
      </c>
      <c r="D88" s="183"/>
      <c r="E88" s="183"/>
      <c r="F88" s="190"/>
      <c r="G88" s="190"/>
      <c r="H88" s="113">
        <f>ROUNDDOWN(G104,-2)</f>
        <v>18700</v>
      </c>
    </row>
    <row r="89" spans="2:8" ht="42" thickTop="1" x14ac:dyDescent="0.3">
      <c r="B89" s="96" t="s">
        <v>252</v>
      </c>
      <c r="C89" s="97" t="s">
        <v>253</v>
      </c>
      <c r="D89" s="97" t="s">
        <v>254</v>
      </c>
      <c r="E89" s="97" t="s">
        <v>255</v>
      </c>
      <c r="F89" s="114" t="s">
        <v>256</v>
      </c>
      <c r="G89" s="115" t="s">
        <v>257</v>
      </c>
      <c r="H89" s="171"/>
    </row>
    <row r="90" spans="2:8" x14ac:dyDescent="0.3">
      <c r="B90" s="98" t="s">
        <v>16</v>
      </c>
      <c r="C90" s="99" t="s">
        <v>258</v>
      </c>
      <c r="D90" s="100"/>
      <c r="E90" s="100"/>
      <c r="F90" s="117"/>
      <c r="G90" s="118"/>
      <c r="H90" s="113"/>
    </row>
    <row r="91" spans="2:8" x14ac:dyDescent="0.3">
      <c r="B91" s="165">
        <v>1</v>
      </c>
      <c r="C91" s="99" t="s">
        <v>259</v>
      </c>
      <c r="D91" s="166" t="s">
        <v>260</v>
      </c>
      <c r="E91" s="185">
        <v>7.0000000000000001E-3</v>
      </c>
      <c r="F91" s="172">
        <f>VLOOKUP(C91,upahbahan,3,FALSE)</f>
        <v>100000</v>
      </c>
      <c r="G91" s="120">
        <f>E91*F91</f>
        <v>700</v>
      </c>
      <c r="H91" s="113"/>
    </row>
    <row r="92" spans="2:8" x14ac:dyDescent="0.3">
      <c r="B92" s="165">
        <v>2</v>
      </c>
      <c r="C92" s="99" t="s">
        <v>320</v>
      </c>
      <c r="D92" s="166" t="s">
        <v>260</v>
      </c>
      <c r="E92" s="185">
        <v>7.0000000000000001E-3</v>
      </c>
      <c r="F92" s="172">
        <f>VLOOKUP(C92,upahbahan,3,FALSE)</f>
        <v>145000</v>
      </c>
      <c r="G92" s="120">
        <f>E92*F92</f>
        <v>1015</v>
      </c>
      <c r="H92" s="113"/>
    </row>
    <row r="93" spans="2:8" x14ac:dyDescent="0.3">
      <c r="B93" s="165">
        <v>3</v>
      </c>
      <c r="C93" s="99" t="s">
        <v>280</v>
      </c>
      <c r="D93" s="166" t="s">
        <v>260</v>
      </c>
      <c r="E93" s="185">
        <v>6.9999999999999999E-4</v>
      </c>
      <c r="F93" s="172">
        <f>VLOOKUP(C93,upahbahan,3,FALSE)</f>
        <v>175000</v>
      </c>
      <c r="G93" s="120">
        <f>E93*F93</f>
        <v>122.5</v>
      </c>
      <c r="H93" s="113"/>
    </row>
    <row r="94" spans="2:8" x14ac:dyDescent="0.3">
      <c r="B94" s="165">
        <v>4</v>
      </c>
      <c r="C94" s="99" t="s">
        <v>261</v>
      </c>
      <c r="D94" s="166" t="s">
        <v>260</v>
      </c>
      <c r="E94" s="185">
        <v>6.9999999999999999E-4</v>
      </c>
      <c r="F94" s="172">
        <f>VLOOKUP(C94,upahbahan,3,FALSE)</f>
        <v>200000</v>
      </c>
      <c r="G94" s="120">
        <f>E94*F94</f>
        <v>140</v>
      </c>
      <c r="H94" s="113"/>
    </row>
    <row r="95" spans="2:8" x14ac:dyDescent="0.3">
      <c r="B95" s="101" t="s">
        <v>262</v>
      </c>
      <c r="C95" s="102"/>
      <c r="D95" s="102"/>
      <c r="E95" s="168"/>
      <c r="F95" s="119"/>
      <c r="G95" s="120">
        <f>SUM(G91:G94)</f>
        <v>1977.5</v>
      </c>
      <c r="H95" s="113"/>
    </row>
    <row r="96" spans="2:8" x14ac:dyDescent="0.3">
      <c r="B96" s="186" t="s">
        <v>31</v>
      </c>
      <c r="C96" s="99" t="s">
        <v>263</v>
      </c>
      <c r="D96" s="100"/>
      <c r="E96" s="100"/>
      <c r="F96" s="117"/>
      <c r="G96" s="118"/>
      <c r="H96" s="113"/>
    </row>
    <row r="97" spans="2:8" ht="27.6" x14ac:dyDescent="0.3">
      <c r="B97" s="165">
        <v>1</v>
      </c>
      <c r="C97" s="99" t="s">
        <v>321</v>
      </c>
      <c r="D97" s="166" t="s">
        <v>65</v>
      </c>
      <c r="E97" s="167">
        <v>1.02</v>
      </c>
      <c r="F97" s="172">
        <f>VLOOKUP(C97,upahbahan,3,FALSE)</f>
        <v>14500</v>
      </c>
      <c r="G97" s="120">
        <f>E97*F97</f>
        <v>14790</v>
      </c>
      <c r="H97" s="113"/>
    </row>
    <row r="98" spans="2:8" x14ac:dyDescent="0.3">
      <c r="B98" s="165">
        <v>2</v>
      </c>
      <c r="C98" s="99" t="s">
        <v>290</v>
      </c>
      <c r="D98" s="166" t="s">
        <v>65</v>
      </c>
      <c r="E98" s="167">
        <v>1.4999999999999999E-2</v>
      </c>
      <c r="F98" s="172">
        <f>VLOOKUP(C98,upahbahan,3,FALSE)</f>
        <v>18800</v>
      </c>
      <c r="G98" s="120">
        <f>E98*F98</f>
        <v>282</v>
      </c>
      <c r="H98" s="113"/>
    </row>
    <row r="99" spans="2:8" x14ac:dyDescent="0.3">
      <c r="B99" s="101" t="s">
        <v>264</v>
      </c>
      <c r="C99" s="102"/>
      <c r="D99" s="102"/>
      <c r="E99" s="102"/>
      <c r="F99" s="119"/>
      <c r="G99" s="120">
        <f>SUM(G97:G98)</f>
        <v>15072</v>
      </c>
      <c r="H99" s="113"/>
    </row>
    <row r="100" spans="2:8" x14ac:dyDescent="0.3">
      <c r="B100" s="186" t="s">
        <v>34</v>
      </c>
      <c r="C100" s="99" t="s">
        <v>265</v>
      </c>
      <c r="D100" s="100"/>
      <c r="E100" s="100"/>
      <c r="F100" s="117"/>
      <c r="G100" s="118"/>
      <c r="H100" s="113"/>
    </row>
    <row r="101" spans="2:8" x14ac:dyDescent="0.3">
      <c r="B101" s="101" t="s">
        <v>266</v>
      </c>
      <c r="C101" s="102"/>
      <c r="D101" s="102"/>
      <c r="E101" s="102"/>
      <c r="F101" s="119"/>
      <c r="G101" s="124">
        <v>0</v>
      </c>
      <c r="H101" s="113"/>
    </row>
    <row r="102" spans="2:8" x14ac:dyDescent="0.3">
      <c r="B102" s="105" t="s">
        <v>9</v>
      </c>
      <c r="C102" s="106" t="s">
        <v>267</v>
      </c>
      <c r="D102" s="107"/>
      <c r="E102" s="107"/>
      <c r="F102" s="125"/>
      <c r="G102" s="120">
        <f>G101+G99+G95</f>
        <v>17049.5</v>
      </c>
      <c r="H102" s="113"/>
    </row>
    <row r="103" spans="2:8" x14ac:dyDescent="0.3">
      <c r="B103" s="105" t="s">
        <v>268</v>
      </c>
      <c r="C103" s="106" t="s">
        <v>275</v>
      </c>
      <c r="D103" s="107"/>
      <c r="E103" s="108"/>
      <c r="F103" s="126">
        <v>0.1</v>
      </c>
      <c r="G103" s="120">
        <f>G102*F103</f>
        <v>1704.95</v>
      </c>
      <c r="H103" s="113"/>
    </row>
    <row r="104" spans="2:8" ht="15" thickBot="1" x14ac:dyDescent="0.35">
      <c r="B104" s="109" t="s">
        <v>270</v>
      </c>
      <c r="C104" s="110" t="s">
        <v>271</v>
      </c>
      <c r="D104" s="111"/>
      <c r="E104" s="111"/>
      <c r="F104" s="127"/>
      <c r="G104" s="128">
        <f>SUM(G102:G103)</f>
        <v>18754.45</v>
      </c>
      <c r="H104" s="113"/>
    </row>
    <row r="105" spans="2:8" ht="15" thickTop="1" x14ac:dyDescent="0.3">
      <c r="B105" s="187"/>
      <c r="C105" s="188"/>
      <c r="D105" s="188"/>
      <c r="E105" s="188"/>
      <c r="F105" s="191"/>
      <c r="G105" s="192"/>
      <c r="H105" s="113"/>
    </row>
    <row r="106" spans="2:8" x14ac:dyDescent="0.3">
      <c r="B106" s="187"/>
      <c r="C106" s="188"/>
      <c r="D106" s="188"/>
      <c r="E106" s="188"/>
      <c r="F106" s="191"/>
      <c r="G106" s="192"/>
      <c r="H106" s="113"/>
    </row>
    <row r="107" spans="2:8" ht="15" thickBot="1" x14ac:dyDescent="0.35">
      <c r="B107" s="92">
        <v>6</v>
      </c>
      <c r="C107" s="173" t="s">
        <v>294</v>
      </c>
      <c r="D107" s="174"/>
      <c r="E107" s="174"/>
      <c r="F107" s="179"/>
      <c r="G107" s="179"/>
      <c r="H107" s="113">
        <f>ROUNDDOWN(G126,-2)</f>
        <v>1382600</v>
      </c>
    </row>
    <row r="108" spans="2:8" ht="42" thickTop="1" x14ac:dyDescent="0.3">
      <c r="B108" s="96" t="s">
        <v>252</v>
      </c>
      <c r="C108" s="97" t="s">
        <v>253</v>
      </c>
      <c r="D108" s="97" t="s">
        <v>254</v>
      </c>
      <c r="E108" s="97" t="s">
        <v>255</v>
      </c>
      <c r="F108" s="114" t="s">
        <v>256</v>
      </c>
      <c r="G108" s="115" t="s">
        <v>257</v>
      </c>
      <c r="H108" s="171"/>
    </row>
    <row r="109" spans="2:8" x14ac:dyDescent="0.3">
      <c r="B109" s="98" t="s">
        <v>16</v>
      </c>
      <c r="C109" s="99" t="s">
        <v>258</v>
      </c>
      <c r="D109" s="100"/>
      <c r="E109" s="100"/>
      <c r="F109" s="117"/>
      <c r="G109" s="118"/>
      <c r="H109" s="113"/>
    </row>
    <row r="110" spans="2:8" x14ac:dyDescent="0.3">
      <c r="B110" s="169" t="s">
        <v>281</v>
      </c>
      <c r="C110" s="99" t="s">
        <v>259</v>
      </c>
      <c r="D110" s="166" t="s">
        <v>260</v>
      </c>
      <c r="E110" s="167">
        <v>1</v>
      </c>
      <c r="F110" s="172">
        <f>VLOOKUP(C110,upahbahan,3,FALSE)</f>
        <v>100000</v>
      </c>
      <c r="G110" s="120">
        <f>E110*F110</f>
        <v>100000</v>
      </c>
      <c r="H110" s="113"/>
    </row>
    <row r="111" spans="2:8" x14ac:dyDescent="0.3">
      <c r="B111" s="169" t="s">
        <v>283</v>
      </c>
      <c r="C111" s="99" t="s">
        <v>295</v>
      </c>
      <c r="D111" s="166" t="s">
        <v>260</v>
      </c>
      <c r="E111" s="167">
        <v>0.25</v>
      </c>
      <c r="F111" s="172">
        <f>VLOOKUP(C111,upahbahan,3,FALSE)</f>
        <v>145000</v>
      </c>
      <c r="G111" s="120">
        <f>E111*F111</f>
        <v>36250</v>
      </c>
      <c r="H111" s="113"/>
    </row>
    <row r="112" spans="2:8" x14ac:dyDescent="0.3">
      <c r="B112" s="169" t="s">
        <v>285</v>
      </c>
      <c r="C112" s="99" t="s">
        <v>296</v>
      </c>
      <c r="D112" s="166" t="s">
        <v>260</v>
      </c>
      <c r="E112" s="167">
        <v>2.5000000000000001E-2</v>
      </c>
      <c r="F112" s="172">
        <f>VLOOKUP(C112,upahbahan,3,FALSE)</f>
        <v>175000</v>
      </c>
      <c r="G112" s="120">
        <f>E112*F112</f>
        <v>4375</v>
      </c>
      <c r="H112" s="113"/>
    </row>
    <row r="113" spans="2:8" x14ac:dyDescent="0.3">
      <c r="B113" s="169" t="s">
        <v>297</v>
      </c>
      <c r="C113" s="99" t="s">
        <v>261</v>
      </c>
      <c r="D113" s="166" t="s">
        <v>260</v>
      </c>
      <c r="E113" s="167">
        <v>0.1</v>
      </c>
      <c r="F113" s="172">
        <f>VLOOKUP(C113,upahbahan,3,FALSE)</f>
        <v>200000</v>
      </c>
      <c r="G113" s="120">
        <f>E113*F113</f>
        <v>20000</v>
      </c>
      <c r="H113" s="113"/>
    </row>
    <row r="114" spans="2:8" x14ac:dyDescent="0.3">
      <c r="B114" s="101" t="s">
        <v>262</v>
      </c>
      <c r="C114" s="102"/>
      <c r="D114" s="102"/>
      <c r="E114" s="168"/>
      <c r="F114" s="119"/>
      <c r="G114" s="120">
        <f>SUM(G110:G113)</f>
        <v>160625</v>
      </c>
      <c r="H114" s="113"/>
    </row>
    <row r="115" spans="2:8" x14ac:dyDescent="0.3">
      <c r="B115" s="98" t="s">
        <v>31</v>
      </c>
      <c r="C115" s="99" t="s">
        <v>263</v>
      </c>
      <c r="D115" s="100"/>
      <c r="E115" s="100"/>
      <c r="F115" s="117"/>
      <c r="G115" s="118"/>
      <c r="H115" s="113"/>
    </row>
    <row r="116" spans="2:8" x14ac:dyDescent="0.3">
      <c r="B116" s="176" t="s">
        <v>281</v>
      </c>
      <c r="C116" s="99" t="s">
        <v>298</v>
      </c>
      <c r="D116" s="177" t="s">
        <v>65</v>
      </c>
      <c r="E116" s="180">
        <v>407</v>
      </c>
      <c r="F116" s="172">
        <f>VLOOKUP(C116,upahbahan,3,FALSE)</f>
        <v>1300</v>
      </c>
      <c r="G116" s="120">
        <f>E116*F116</f>
        <v>529100</v>
      </c>
      <c r="H116" s="113"/>
    </row>
    <row r="117" spans="2:8" x14ac:dyDescent="0.3">
      <c r="B117" s="176" t="s">
        <v>283</v>
      </c>
      <c r="C117" s="99" t="s">
        <v>299</v>
      </c>
      <c r="D117" s="177" t="s">
        <v>65</v>
      </c>
      <c r="E117" s="180">
        <v>731</v>
      </c>
      <c r="F117" s="172">
        <f>VLOOKUP(C117,upahbahan,3,FALSE)</f>
        <v>300</v>
      </c>
      <c r="G117" s="120">
        <f>E117*F117</f>
        <v>219300</v>
      </c>
      <c r="H117" s="113"/>
    </row>
    <row r="118" spans="2:8" x14ac:dyDescent="0.3">
      <c r="B118" s="176" t="s">
        <v>285</v>
      </c>
      <c r="C118" s="99" t="s">
        <v>300</v>
      </c>
      <c r="D118" s="177" t="s">
        <v>65</v>
      </c>
      <c r="E118" s="180">
        <v>1009</v>
      </c>
      <c r="F118" s="172">
        <f>VLOOKUP(C118,upahbahan,3,FALSE)/1350</f>
        <v>260.96296296296299</v>
      </c>
      <c r="G118" s="120">
        <f>E118*F118</f>
        <v>263311.62962962966</v>
      </c>
      <c r="H118" s="113"/>
    </row>
    <row r="119" spans="2:8" x14ac:dyDescent="0.3">
      <c r="B119" s="176" t="s">
        <v>297</v>
      </c>
      <c r="C119" s="99" t="s">
        <v>301</v>
      </c>
      <c r="D119" s="177" t="s">
        <v>302</v>
      </c>
      <c r="E119" s="180">
        <v>202</v>
      </c>
      <c r="F119" s="172">
        <f>VLOOKUP(C119,upahbahan,3,FALSE)</f>
        <v>200</v>
      </c>
      <c r="G119" s="120">
        <f>E119*F119</f>
        <v>40400</v>
      </c>
      <c r="H119" s="113"/>
    </row>
    <row r="120" spans="2:8" x14ac:dyDescent="0.3">
      <c r="B120" s="101" t="s">
        <v>264</v>
      </c>
      <c r="C120" s="102"/>
      <c r="D120" s="102"/>
      <c r="E120" s="102"/>
      <c r="F120" s="119"/>
      <c r="G120" s="120">
        <f>SUM(G116:G119)</f>
        <v>1052111.6296296297</v>
      </c>
      <c r="H120" s="113"/>
    </row>
    <row r="121" spans="2:8" x14ac:dyDescent="0.3">
      <c r="B121" s="98" t="s">
        <v>34</v>
      </c>
      <c r="C121" s="99" t="s">
        <v>265</v>
      </c>
      <c r="D121" s="100"/>
      <c r="E121" s="100"/>
      <c r="F121" s="117"/>
      <c r="G121" s="118"/>
      <c r="H121" s="113"/>
    </row>
    <row r="122" spans="2:8" x14ac:dyDescent="0.3">
      <c r="B122" s="98">
        <v>1</v>
      </c>
      <c r="C122" s="99" t="s">
        <v>303</v>
      </c>
      <c r="D122" s="177" t="s">
        <v>292</v>
      </c>
      <c r="E122" s="181">
        <v>0.14749999999999999</v>
      </c>
      <c r="F122" s="172">
        <f>VLOOKUP(C122,upahbahan,3,FALSE)</f>
        <v>300000</v>
      </c>
      <c r="G122" s="120">
        <f>E122*F122</f>
        <v>44250</v>
      </c>
      <c r="H122" s="113"/>
    </row>
    <row r="123" spans="2:8" x14ac:dyDescent="0.3">
      <c r="B123" s="101" t="s">
        <v>266</v>
      </c>
      <c r="C123" s="102"/>
      <c r="D123" s="102"/>
      <c r="E123" s="102"/>
      <c r="F123" s="119"/>
      <c r="G123" s="120">
        <f>SUM(G122)</f>
        <v>44250</v>
      </c>
      <c r="H123" s="113"/>
    </row>
    <row r="124" spans="2:8" x14ac:dyDescent="0.3">
      <c r="B124" s="105" t="s">
        <v>9</v>
      </c>
      <c r="C124" s="106" t="s">
        <v>267</v>
      </c>
      <c r="D124" s="107"/>
      <c r="E124" s="107"/>
      <c r="F124" s="125"/>
      <c r="G124" s="120">
        <f>G123+G120+G114</f>
        <v>1256986.6296296297</v>
      </c>
      <c r="H124" s="113"/>
    </row>
    <row r="125" spans="2:8" x14ac:dyDescent="0.3">
      <c r="B125" s="105" t="s">
        <v>268</v>
      </c>
      <c r="C125" s="106" t="s">
        <v>275</v>
      </c>
      <c r="D125" s="107"/>
      <c r="E125" s="108"/>
      <c r="F125" s="126">
        <v>0.1</v>
      </c>
      <c r="G125" s="120">
        <f>G124*F125</f>
        <v>125698.66296296298</v>
      </c>
      <c r="H125" s="113"/>
    </row>
    <row r="126" spans="2:8" ht="15" thickBot="1" x14ac:dyDescent="0.35">
      <c r="B126" s="109" t="s">
        <v>270</v>
      </c>
      <c r="C126" s="110" t="s">
        <v>271</v>
      </c>
      <c r="D126" s="111"/>
      <c r="E126" s="111"/>
      <c r="F126" s="127"/>
      <c r="G126" s="128">
        <f>SUM(G124:G125)</f>
        <v>1382685.2925925925</v>
      </c>
      <c r="H126" s="113"/>
    </row>
    <row r="127" spans="2:8" ht="15" thickTop="1" x14ac:dyDescent="0.3"/>
    <row r="129" spans="2:8" ht="15" thickBot="1" x14ac:dyDescent="0.35">
      <c r="B129" s="92">
        <v>7</v>
      </c>
      <c r="C129" s="104" t="s">
        <v>304</v>
      </c>
      <c r="D129" s="104"/>
      <c r="E129" s="104"/>
      <c r="F129" s="123"/>
      <c r="G129" s="123"/>
      <c r="H129" s="113">
        <f>ROUNDDOWN(G149,-2)</f>
        <v>284400</v>
      </c>
    </row>
    <row r="130" spans="2:8" ht="42" thickTop="1" x14ac:dyDescent="0.3">
      <c r="B130" s="96" t="s">
        <v>252</v>
      </c>
      <c r="C130" s="97" t="s">
        <v>253</v>
      </c>
      <c r="D130" s="97" t="s">
        <v>254</v>
      </c>
      <c r="E130" s="97" t="s">
        <v>255</v>
      </c>
      <c r="F130" s="114" t="s">
        <v>256</v>
      </c>
      <c r="G130" s="115" t="s">
        <v>257</v>
      </c>
      <c r="H130" s="171"/>
    </row>
    <row r="131" spans="2:8" x14ac:dyDescent="0.3">
      <c r="B131" s="98" t="s">
        <v>16</v>
      </c>
      <c r="C131" s="99" t="s">
        <v>258</v>
      </c>
      <c r="D131" s="100"/>
      <c r="E131" s="100"/>
      <c r="F131" s="117"/>
      <c r="G131" s="118"/>
      <c r="H131" s="113"/>
    </row>
    <row r="132" spans="2:8" x14ac:dyDescent="0.3">
      <c r="B132" s="165">
        <v>1</v>
      </c>
      <c r="C132" s="99" t="s">
        <v>259</v>
      </c>
      <c r="D132" s="166" t="s">
        <v>260</v>
      </c>
      <c r="E132" s="167">
        <v>0.66</v>
      </c>
      <c r="F132" s="172">
        <f>VLOOKUP(C132,upahbahan,3,FALSE)</f>
        <v>100000</v>
      </c>
      <c r="G132" s="120">
        <f>E132*F132</f>
        <v>66000</v>
      </c>
      <c r="H132" s="113"/>
    </row>
    <row r="133" spans="2:8" x14ac:dyDescent="0.3">
      <c r="B133" s="165">
        <v>2</v>
      </c>
      <c r="C133" s="99" t="s">
        <v>279</v>
      </c>
      <c r="D133" s="166" t="s">
        <v>260</v>
      </c>
      <c r="E133" s="167">
        <v>0.33</v>
      </c>
      <c r="F133" s="172">
        <f>VLOOKUP(C133,upahbahan,3,FALSE)</f>
        <v>145000</v>
      </c>
      <c r="G133" s="120">
        <f>E133*F133</f>
        <v>47850</v>
      </c>
      <c r="H133" s="113"/>
    </row>
    <row r="134" spans="2:8" x14ac:dyDescent="0.3">
      <c r="B134" s="165">
        <v>3</v>
      </c>
      <c r="C134" s="99" t="s">
        <v>280</v>
      </c>
      <c r="D134" s="166" t="s">
        <v>260</v>
      </c>
      <c r="E134" s="167">
        <v>3.3000000000000002E-2</v>
      </c>
      <c r="F134" s="172">
        <f>VLOOKUP(C134,upahbahan,3,FALSE)</f>
        <v>175000</v>
      </c>
      <c r="G134" s="120">
        <f>E134*F134</f>
        <v>5775</v>
      </c>
      <c r="H134" s="113"/>
    </row>
    <row r="135" spans="2:8" x14ac:dyDescent="0.3">
      <c r="B135" s="165">
        <v>4</v>
      </c>
      <c r="C135" s="99" t="s">
        <v>261</v>
      </c>
      <c r="D135" s="166" t="s">
        <v>260</v>
      </c>
      <c r="E135" s="167">
        <v>1.0999999999999999E-2</v>
      </c>
      <c r="F135" s="172">
        <f>VLOOKUP(C135,upahbahan,3,FALSE)</f>
        <v>200000</v>
      </c>
      <c r="G135" s="120">
        <f>E135*F135</f>
        <v>2200</v>
      </c>
      <c r="H135" s="113"/>
    </row>
    <row r="136" spans="2:8" x14ac:dyDescent="0.3">
      <c r="B136" s="101" t="s">
        <v>262</v>
      </c>
      <c r="C136" s="102"/>
      <c r="D136" s="102"/>
      <c r="E136" s="168"/>
      <c r="F136" s="119"/>
      <c r="G136" s="120">
        <f>SUM(G132:G135)</f>
        <v>121825</v>
      </c>
      <c r="H136" s="113"/>
    </row>
    <row r="137" spans="2:8" x14ac:dyDescent="0.3">
      <c r="B137" s="98" t="s">
        <v>31</v>
      </c>
      <c r="C137" s="99" t="s">
        <v>263</v>
      </c>
      <c r="D137" s="100"/>
      <c r="E137" s="100"/>
      <c r="F137" s="117"/>
      <c r="G137" s="118"/>
      <c r="H137" s="113"/>
    </row>
    <row r="138" spans="2:8" x14ac:dyDescent="0.3">
      <c r="B138" s="169" t="s">
        <v>281</v>
      </c>
      <c r="C138" s="170" t="s">
        <v>284</v>
      </c>
      <c r="D138" s="166" t="s">
        <v>65</v>
      </c>
      <c r="E138" s="175">
        <v>0.4</v>
      </c>
      <c r="F138" s="172">
        <f t="shared" ref="F138:F143" si="0">VLOOKUP(C138,upahbahan,3,FALSE)</f>
        <v>19000</v>
      </c>
      <c r="G138" s="120">
        <f t="shared" ref="G138:G143" si="1">E138*F138</f>
        <v>7600</v>
      </c>
      <c r="H138" s="113"/>
    </row>
    <row r="139" spans="2:8" x14ac:dyDescent="0.3">
      <c r="B139" s="169" t="s">
        <v>283</v>
      </c>
      <c r="C139" s="170" t="s">
        <v>305</v>
      </c>
      <c r="D139" s="166" t="s">
        <v>302</v>
      </c>
      <c r="E139" s="175">
        <v>0.2</v>
      </c>
      <c r="F139" s="172">
        <f t="shared" si="0"/>
        <v>16800</v>
      </c>
      <c r="G139" s="120">
        <f t="shared" si="1"/>
        <v>3360</v>
      </c>
      <c r="H139" s="113"/>
    </row>
    <row r="140" spans="2:8" x14ac:dyDescent="0.3">
      <c r="B140" s="169" t="s">
        <v>285</v>
      </c>
      <c r="C140" s="170" t="s">
        <v>306</v>
      </c>
      <c r="D140" s="166" t="s">
        <v>287</v>
      </c>
      <c r="E140" s="175">
        <v>6.0000000000000001E-3</v>
      </c>
      <c r="F140" s="172">
        <f t="shared" si="0"/>
        <v>11950000</v>
      </c>
      <c r="G140" s="120">
        <f t="shared" si="1"/>
        <v>71700</v>
      </c>
      <c r="H140" s="113"/>
    </row>
    <row r="141" spans="2:8" x14ac:dyDescent="0.3">
      <c r="B141" s="169" t="s">
        <v>297</v>
      </c>
      <c r="C141" s="170" t="s">
        <v>307</v>
      </c>
      <c r="D141" s="166" t="s">
        <v>308</v>
      </c>
      <c r="E141" s="175">
        <v>0.127</v>
      </c>
      <c r="F141" s="172">
        <f t="shared" si="0"/>
        <v>167300</v>
      </c>
      <c r="G141" s="120">
        <f t="shared" si="1"/>
        <v>21247.1</v>
      </c>
      <c r="H141" s="113"/>
    </row>
    <row r="142" spans="2:8" x14ac:dyDescent="0.3">
      <c r="B142" s="169" t="s">
        <v>309</v>
      </c>
      <c r="C142" s="170" t="s">
        <v>310</v>
      </c>
      <c r="D142" s="166" t="s">
        <v>311</v>
      </c>
      <c r="E142" s="175">
        <v>0.97499999999999998</v>
      </c>
      <c r="F142" s="172">
        <f t="shared" si="0"/>
        <v>5000</v>
      </c>
      <c r="G142" s="120">
        <f t="shared" si="1"/>
        <v>4875</v>
      </c>
      <c r="H142" s="113"/>
    </row>
    <row r="143" spans="2:8" x14ac:dyDescent="0.3">
      <c r="B143" s="169" t="s">
        <v>312</v>
      </c>
      <c r="C143" s="170" t="s">
        <v>313</v>
      </c>
      <c r="D143" s="166" t="s">
        <v>37</v>
      </c>
      <c r="E143" s="175">
        <v>4</v>
      </c>
      <c r="F143" s="172">
        <f t="shared" si="0"/>
        <v>7000</v>
      </c>
      <c r="G143" s="120">
        <f t="shared" si="1"/>
        <v>28000</v>
      </c>
      <c r="H143" s="113"/>
    </row>
    <row r="144" spans="2:8" x14ac:dyDescent="0.3">
      <c r="B144" s="101" t="s">
        <v>264</v>
      </c>
      <c r="C144" s="102"/>
      <c r="D144" s="102"/>
      <c r="E144" s="102"/>
      <c r="F144" s="119"/>
      <c r="G144" s="120">
        <f>SUM(G138:G143)</f>
        <v>136782.1</v>
      </c>
      <c r="H144" s="113"/>
    </row>
    <row r="145" spans="2:8" x14ac:dyDescent="0.3">
      <c r="B145" s="98" t="s">
        <v>34</v>
      </c>
      <c r="C145" s="99" t="s">
        <v>265</v>
      </c>
      <c r="D145" s="100"/>
      <c r="E145" s="100"/>
      <c r="F145" s="117"/>
      <c r="G145" s="118"/>
      <c r="H145" s="113"/>
    </row>
    <row r="146" spans="2:8" x14ac:dyDescent="0.3">
      <c r="B146" s="101" t="s">
        <v>266</v>
      </c>
      <c r="C146" s="102"/>
      <c r="D146" s="102"/>
      <c r="E146" s="102"/>
      <c r="F146" s="119"/>
      <c r="G146" s="124">
        <v>0</v>
      </c>
      <c r="H146" s="113"/>
    </row>
    <row r="147" spans="2:8" x14ac:dyDescent="0.3">
      <c r="B147" s="105" t="s">
        <v>9</v>
      </c>
      <c r="C147" s="106" t="s">
        <v>267</v>
      </c>
      <c r="D147" s="107"/>
      <c r="E147" s="107"/>
      <c r="F147" s="125"/>
      <c r="G147" s="120">
        <f>G146+G144+G136</f>
        <v>258607.1</v>
      </c>
      <c r="H147" s="113"/>
    </row>
    <row r="148" spans="2:8" x14ac:dyDescent="0.3">
      <c r="B148" s="105" t="s">
        <v>268</v>
      </c>
      <c r="C148" s="106" t="s">
        <v>275</v>
      </c>
      <c r="D148" s="107"/>
      <c r="E148" s="108"/>
      <c r="F148" s="126">
        <v>0.1</v>
      </c>
      <c r="G148" s="120">
        <f>G147*F148</f>
        <v>25860.710000000003</v>
      </c>
      <c r="H148" s="113"/>
    </row>
    <row r="149" spans="2:8" ht="15" thickBot="1" x14ac:dyDescent="0.35">
      <c r="B149" s="109" t="s">
        <v>270</v>
      </c>
      <c r="C149" s="110" t="s">
        <v>271</v>
      </c>
      <c r="D149" s="111"/>
      <c r="E149" s="111"/>
      <c r="F149" s="127"/>
      <c r="G149" s="128">
        <f>SUM(G147:G148)</f>
        <v>284467.81</v>
      </c>
      <c r="H149" s="113"/>
    </row>
    <row r="150" spans="2:8" ht="15" thickTop="1" x14ac:dyDescent="0.3"/>
    <row r="152" spans="2:8" ht="15" thickBot="1" x14ac:dyDescent="0.35">
      <c r="B152" s="92">
        <v>8</v>
      </c>
      <c r="C152" s="173" t="s">
        <v>314</v>
      </c>
      <c r="D152" s="174"/>
      <c r="E152" s="174"/>
      <c r="F152" s="179"/>
      <c r="G152" s="179"/>
      <c r="H152" s="113">
        <f>ROUNDDOWN(G168,-2)</f>
        <v>13800</v>
      </c>
    </row>
    <row r="153" spans="2:8" ht="42" thickTop="1" x14ac:dyDescent="0.3">
      <c r="B153" s="96" t="s">
        <v>252</v>
      </c>
      <c r="C153" s="97" t="s">
        <v>253</v>
      </c>
      <c r="D153" s="97" t="s">
        <v>254</v>
      </c>
      <c r="E153" s="97" t="s">
        <v>255</v>
      </c>
      <c r="F153" s="114" t="s">
        <v>256</v>
      </c>
      <c r="G153" s="115" t="s">
        <v>257</v>
      </c>
      <c r="H153" s="171"/>
    </row>
    <row r="154" spans="2:8" x14ac:dyDescent="0.3">
      <c r="B154" s="98" t="s">
        <v>16</v>
      </c>
      <c r="C154" s="99" t="s">
        <v>258</v>
      </c>
      <c r="D154" s="100"/>
      <c r="E154" s="100"/>
      <c r="F154" s="117"/>
      <c r="G154" s="118"/>
      <c r="H154" s="113"/>
    </row>
    <row r="155" spans="2:8" x14ac:dyDescent="0.3">
      <c r="B155" s="165">
        <v>1</v>
      </c>
      <c r="C155" s="99" t="s">
        <v>259</v>
      </c>
      <c r="D155" s="166" t="s">
        <v>260</v>
      </c>
      <c r="E155" s="175">
        <v>2.5000000000000001E-3</v>
      </c>
      <c r="F155" s="172">
        <f>VLOOKUP(C155,upahbahan,3,FALSE)</f>
        <v>100000</v>
      </c>
      <c r="G155" s="120">
        <f>E155*F155</f>
        <v>250</v>
      </c>
      <c r="H155" s="113"/>
    </row>
    <row r="156" spans="2:8" x14ac:dyDescent="0.3">
      <c r="B156" s="165">
        <v>2</v>
      </c>
      <c r="C156" s="99" t="str">
        <f>C116</f>
        <v>Semen Portland (PC)</v>
      </c>
      <c r="D156" s="166" t="s">
        <v>260</v>
      </c>
      <c r="E156" s="175">
        <v>2.5000000000000001E-3</v>
      </c>
      <c r="F156" s="172">
        <v>145000</v>
      </c>
      <c r="G156" s="120">
        <f>E156*F156</f>
        <v>362.5</v>
      </c>
      <c r="H156" s="113"/>
    </row>
    <row r="157" spans="2:8" x14ac:dyDescent="0.3">
      <c r="B157" s="165">
        <v>3</v>
      </c>
      <c r="C157" s="99" t="s">
        <v>280</v>
      </c>
      <c r="D157" s="166" t="s">
        <v>260</v>
      </c>
      <c r="E157" s="175">
        <v>2.5000000000000001E-4</v>
      </c>
      <c r="F157" s="172">
        <f>VLOOKUP(C157,upahbahan,3,FALSE)</f>
        <v>175000</v>
      </c>
      <c r="G157" s="120">
        <f>E157*F157</f>
        <v>43.75</v>
      </c>
      <c r="H157" s="113"/>
    </row>
    <row r="158" spans="2:8" x14ac:dyDescent="0.3">
      <c r="B158" s="165">
        <v>4</v>
      </c>
      <c r="C158" s="99" t="s">
        <v>261</v>
      </c>
      <c r="D158" s="166" t="s">
        <v>260</v>
      </c>
      <c r="E158" s="175">
        <v>2.5000000000000001E-4</v>
      </c>
      <c r="F158" s="172">
        <f>VLOOKUP(C158,upahbahan,3,FALSE)</f>
        <v>200000</v>
      </c>
      <c r="G158" s="120">
        <f>E158*F158</f>
        <v>50</v>
      </c>
      <c r="H158" s="113"/>
    </row>
    <row r="159" spans="2:8" x14ac:dyDescent="0.3">
      <c r="B159" s="101" t="s">
        <v>262</v>
      </c>
      <c r="C159" s="102"/>
      <c r="D159" s="102"/>
      <c r="E159" s="168"/>
      <c r="F159" s="119"/>
      <c r="G159" s="120">
        <f>SUM(G155:G158)</f>
        <v>706.25</v>
      </c>
      <c r="H159" s="113"/>
    </row>
    <row r="160" spans="2:8" x14ac:dyDescent="0.3">
      <c r="B160" s="98" t="s">
        <v>31</v>
      </c>
      <c r="C160" s="99" t="s">
        <v>263</v>
      </c>
      <c r="D160" s="100"/>
      <c r="E160" s="100"/>
      <c r="F160" s="117"/>
      <c r="G160" s="118"/>
      <c r="H160" s="113"/>
    </row>
    <row r="161" spans="2:8" x14ac:dyDescent="0.3">
      <c r="B161" s="165">
        <v>1</v>
      </c>
      <c r="C161" s="99" t="s">
        <v>315</v>
      </c>
      <c r="D161" s="166" t="s">
        <v>65</v>
      </c>
      <c r="E161" s="167">
        <v>1.02</v>
      </c>
      <c r="F161" s="172">
        <f>VLOOKUP(C161,upahbahan,3,FALSE)</f>
        <v>11522</v>
      </c>
      <c r="G161" s="120">
        <f>E161*F161</f>
        <v>11752.44</v>
      </c>
      <c r="H161" s="113"/>
    </row>
    <row r="162" spans="2:8" x14ac:dyDescent="0.3">
      <c r="B162" s="165">
        <v>2</v>
      </c>
      <c r="C162" s="99" t="s">
        <v>290</v>
      </c>
      <c r="D162" s="166" t="s">
        <v>65</v>
      </c>
      <c r="E162" s="167">
        <v>5.0000000000000001E-3</v>
      </c>
      <c r="F162" s="172">
        <f>VLOOKUP(C162,upahbahan,3,FALSE)</f>
        <v>18800</v>
      </c>
      <c r="G162" s="120">
        <f>E162*F162</f>
        <v>94</v>
      </c>
      <c r="H162" s="113"/>
    </row>
    <row r="163" spans="2:8" x14ac:dyDescent="0.3">
      <c r="B163" s="101" t="s">
        <v>264</v>
      </c>
      <c r="C163" s="102"/>
      <c r="D163" s="102"/>
      <c r="E163" s="102"/>
      <c r="F163" s="119"/>
      <c r="G163" s="120">
        <f>SUM(G161:G162)</f>
        <v>11846.44</v>
      </c>
      <c r="H163" s="113"/>
    </row>
    <row r="164" spans="2:8" x14ac:dyDescent="0.3">
      <c r="B164" s="98" t="s">
        <v>34</v>
      </c>
      <c r="C164" s="99" t="s">
        <v>265</v>
      </c>
      <c r="D164" s="100"/>
      <c r="E164" s="100"/>
      <c r="F164" s="117"/>
      <c r="G164" s="118"/>
      <c r="H164" s="113"/>
    </row>
    <row r="165" spans="2:8" x14ac:dyDescent="0.3">
      <c r="B165" s="101" t="s">
        <v>266</v>
      </c>
      <c r="C165" s="102"/>
      <c r="D165" s="102"/>
      <c r="E165" s="102"/>
      <c r="F165" s="119"/>
      <c r="G165" s="124">
        <v>0</v>
      </c>
      <c r="H165" s="113"/>
    </row>
    <row r="166" spans="2:8" x14ac:dyDescent="0.3">
      <c r="B166" s="105" t="s">
        <v>9</v>
      </c>
      <c r="C166" s="106" t="s">
        <v>267</v>
      </c>
      <c r="D166" s="107"/>
      <c r="E166" s="107"/>
      <c r="F166" s="125"/>
      <c r="G166" s="120">
        <f>G165+G163+G159</f>
        <v>12552.69</v>
      </c>
      <c r="H166" s="113"/>
    </row>
    <row r="167" spans="2:8" x14ac:dyDescent="0.3">
      <c r="B167" s="105" t="s">
        <v>268</v>
      </c>
      <c r="C167" s="106" t="s">
        <v>275</v>
      </c>
      <c r="D167" s="107"/>
      <c r="E167" s="108"/>
      <c r="F167" s="126">
        <v>0.1</v>
      </c>
      <c r="G167" s="120">
        <f>G166*F167</f>
        <v>1255.2690000000002</v>
      </c>
      <c r="H167" s="113"/>
    </row>
    <row r="168" spans="2:8" ht="15" thickBot="1" x14ac:dyDescent="0.35">
      <c r="B168" s="109" t="s">
        <v>270</v>
      </c>
      <c r="C168" s="110" t="s">
        <v>271</v>
      </c>
      <c r="D168" s="111"/>
      <c r="E168" s="111"/>
      <c r="F168" s="127"/>
      <c r="G168" s="128">
        <f>SUM(G166:G167)</f>
        <v>13807.959000000001</v>
      </c>
      <c r="H168" s="113"/>
    </row>
    <row r="169" spans="2:8" ht="15" thickTop="1" x14ac:dyDescent="0.3"/>
    <row r="171" spans="2:8" ht="15" thickBot="1" x14ac:dyDescent="0.35">
      <c r="B171" s="92">
        <v>9</v>
      </c>
      <c r="C171" s="104" t="s">
        <v>316</v>
      </c>
      <c r="D171" s="104"/>
      <c r="E171" s="104"/>
      <c r="F171" s="123"/>
      <c r="G171" s="123"/>
      <c r="H171" s="113">
        <f>ROUNDDOWN(G190,-2)</f>
        <v>226400</v>
      </c>
    </row>
    <row r="172" spans="2:8" ht="42" thickTop="1" x14ac:dyDescent="0.3">
      <c r="B172" s="96" t="s">
        <v>252</v>
      </c>
      <c r="C172" s="97" t="s">
        <v>253</v>
      </c>
      <c r="D172" s="97" t="s">
        <v>254</v>
      </c>
      <c r="E172" s="97" t="s">
        <v>255</v>
      </c>
      <c r="F172" s="114" t="s">
        <v>256</v>
      </c>
      <c r="G172" s="115" t="s">
        <v>257</v>
      </c>
      <c r="H172" s="171"/>
    </row>
    <row r="173" spans="2:8" x14ac:dyDescent="0.3">
      <c r="B173" s="98" t="s">
        <v>16</v>
      </c>
      <c r="C173" s="99" t="s">
        <v>258</v>
      </c>
      <c r="D173" s="100"/>
      <c r="E173" s="100"/>
      <c r="F173" s="117"/>
      <c r="G173" s="118"/>
      <c r="H173" s="113"/>
    </row>
    <row r="174" spans="2:8" x14ac:dyDescent="0.3">
      <c r="B174" s="165">
        <v>1</v>
      </c>
      <c r="C174" s="99" t="s">
        <v>259</v>
      </c>
      <c r="D174" s="166" t="s">
        <v>260</v>
      </c>
      <c r="E174" s="167">
        <v>0.66</v>
      </c>
      <c r="F174" s="172">
        <f>VLOOKUP(C174,upahbahan,3,FALSE)</f>
        <v>100000</v>
      </c>
      <c r="G174" s="120">
        <f>E174*F174</f>
        <v>66000</v>
      </c>
      <c r="H174" s="113"/>
    </row>
    <row r="175" spans="2:8" x14ac:dyDescent="0.3">
      <c r="B175" s="165">
        <v>2</v>
      </c>
      <c r="C175" s="99" t="s">
        <v>279</v>
      </c>
      <c r="D175" s="166" t="s">
        <v>260</v>
      </c>
      <c r="E175" s="167">
        <v>0.33</v>
      </c>
      <c r="F175" s="172">
        <f>VLOOKUP(C175,upahbahan,3,FALSE)</f>
        <v>145000</v>
      </c>
      <c r="G175" s="120">
        <f>E175*F175</f>
        <v>47850</v>
      </c>
      <c r="H175" s="113"/>
    </row>
    <row r="176" spans="2:8" x14ac:dyDescent="0.3">
      <c r="B176" s="165">
        <v>3</v>
      </c>
      <c r="C176" s="99" t="s">
        <v>280</v>
      </c>
      <c r="D176" s="166" t="s">
        <v>260</v>
      </c>
      <c r="E176" s="167">
        <v>3.3000000000000002E-2</v>
      </c>
      <c r="F176" s="172">
        <f>VLOOKUP(C176,upahbahan,3,FALSE)</f>
        <v>175000</v>
      </c>
      <c r="G176" s="120">
        <f>E176*F176</f>
        <v>5775</v>
      </c>
      <c r="H176" s="113"/>
    </row>
    <row r="177" spans="2:8" x14ac:dyDescent="0.3">
      <c r="B177" s="165">
        <v>4</v>
      </c>
      <c r="C177" s="99" t="s">
        <v>261</v>
      </c>
      <c r="D177" s="166" t="s">
        <v>260</v>
      </c>
      <c r="E177" s="167">
        <v>1.0999999999999999E-2</v>
      </c>
      <c r="F177" s="172">
        <f>VLOOKUP(C177,upahbahan,3,FALSE)</f>
        <v>200000</v>
      </c>
      <c r="G177" s="120">
        <f>E177*F177</f>
        <v>2200</v>
      </c>
      <c r="H177" s="113"/>
    </row>
    <row r="178" spans="2:8" x14ac:dyDescent="0.3">
      <c r="B178" s="101" t="s">
        <v>262</v>
      </c>
      <c r="C178" s="102"/>
      <c r="D178" s="102"/>
      <c r="E178" s="168"/>
      <c r="F178" s="119"/>
      <c r="G178" s="120">
        <f>SUM(G174:G177)</f>
        <v>121825</v>
      </c>
      <c r="H178" s="113"/>
    </row>
    <row r="179" spans="2:8" x14ac:dyDescent="0.3">
      <c r="B179" s="98" t="s">
        <v>31</v>
      </c>
      <c r="C179" s="99" t="s">
        <v>263</v>
      </c>
      <c r="D179" s="100"/>
      <c r="E179" s="100"/>
      <c r="F179" s="117"/>
      <c r="G179" s="118"/>
      <c r="H179" s="113"/>
    </row>
    <row r="180" spans="2:8" x14ac:dyDescent="0.3">
      <c r="B180" s="169" t="s">
        <v>281</v>
      </c>
      <c r="C180" s="170" t="s">
        <v>317</v>
      </c>
      <c r="D180" s="166" t="s">
        <v>65</v>
      </c>
      <c r="E180" s="175">
        <v>0.4</v>
      </c>
      <c r="F180" s="172">
        <f>VLOOKUP(C180,upahbahan,3,FALSE)</f>
        <v>1500</v>
      </c>
      <c r="G180" s="120">
        <f>E180*F180</f>
        <v>600</v>
      </c>
      <c r="H180" s="113"/>
    </row>
    <row r="181" spans="2:8" x14ac:dyDescent="0.3">
      <c r="B181" s="169" t="s">
        <v>283</v>
      </c>
      <c r="C181" s="170" t="s">
        <v>305</v>
      </c>
      <c r="D181" s="166" t="s">
        <v>302</v>
      </c>
      <c r="E181" s="175">
        <v>0.2</v>
      </c>
      <c r="F181" s="172">
        <f>VLOOKUP(C181,upahbahan,3,FALSE)</f>
        <v>16800</v>
      </c>
      <c r="G181" s="120">
        <f>E181*F181</f>
        <v>3360</v>
      </c>
      <c r="H181" s="113"/>
    </row>
    <row r="182" spans="2:8" x14ac:dyDescent="0.3">
      <c r="B182" s="169" t="s">
        <v>285</v>
      </c>
      <c r="C182" s="170" t="s">
        <v>306</v>
      </c>
      <c r="D182" s="166" t="s">
        <v>287</v>
      </c>
      <c r="E182" s="175">
        <v>4.6499999999999996E-3</v>
      </c>
      <c r="F182" s="172">
        <f>VLOOKUP(C182,upahbahan,3,FALSE)</f>
        <v>11950000</v>
      </c>
      <c r="G182" s="120">
        <f>E182*F182</f>
        <v>55567.499999999993</v>
      </c>
      <c r="H182" s="113"/>
    </row>
    <row r="183" spans="2:8" x14ac:dyDescent="0.3">
      <c r="B183" s="169" t="s">
        <v>297</v>
      </c>
      <c r="C183" s="170" t="s">
        <v>307</v>
      </c>
      <c r="D183" s="166" t="s">
        <v>308</v>
      </c>
      <c r="E183" s="175">
        <v>0.12705</v>
      </c>
      <c r="F183" s="172">
        <f>VLOOKUP(C183,upahbahan,3,FALSE)</f>
        <v>167300</v>
      </c>
      <c r="G183" s="120">
        <f>E183*F183</f>
        <v>21255.465</v>
      </c>
      <c r="H183" s="113"/>
    </row>
    <row r="184" spans="2:8" x14ac:dyDescent="0.3">
      <c r="B184" s="169" t="s">
        <v>309</v>
      </c>
      <c r="C184" s="170" t="s">
        <v>310</v>
      </c>
      <c r="D184" s="166" t="s">
        <v>311</v>
      </c>
      <c r="E184" s="175">
        <v>0.65</v>
      </c>
      <c r="F184" s="172">
        <f>VLOOKUP(C184,upahbahan,3,FALSE)</f>
        <v>5000</v>
      </c>
      <c r="G184" s="120">
        <f>E184*F184</f>
        <v>3250</v>
      </c>
      <c r="H184" s="113"/>
    </row>
    <row r="185" spans="2:8" x14ac:dyDescent="0.3">
      <c r="B185" s="101" t="s">
        <v>264</v>
      </c>
      <c r="C185" s="102"/>
      <c r="D185" s="102"/>
      <c r="E185" s="102"/>
      <c r="F185" s="119"/>
      <c r="G185" s="120">
        <f>SUM(G180:G184)</f>
        <v>84032.964999999997</v>
      </c>
      <c r="H185" s="113"/>
    </row>
    <row r="186" spans="2:8" x14ac:dyDescent="0.3">
      <c r="B186" s="98" t="s">
        <v>34</v>
      </c>
      <c r="C186" s="99" t="s">
        <v>265</v>
      </c>
      <c r="D186" s="100"/>
      <c r="E186" s="100"/>
      <c r="F186" s="117"/>
      <c r="G186" s="118"/>
      <c r="H186" s="113"/>
    </row>
    <row r="187" spans="2:8" x14ac:dyDescent="0.3">
      <c r="B187" s="101" t="s">
        <v>266</v>
      </c>
      <c r="C187" s="102"/>
      <c r="D187" s="102"/>
      <c r="E187" s="102"/>
      <c r="F187" s="119"/>
      <c r="G187" s="124">
        <v>0</v>
      </c>
      <c r="H187" s="113"/>
    </row>
    <row r="188" spans="2:8" x14ac:dyDescent="0.3">
      <c r="B188" s="105" t="s">
        <v>9</v>
      </c>
      <c r="C188" s="106" t="s">
        <v>267</v>
      </c>
      <c r="D188" s="107"/>
      <c r="E188" s="107"/>
      <c r="F188" s="125"/>
      <c r="G188" s="120">
        <f>G187+G185+G178</f>
        <v>205857.965</v>
      </c>
      <c r="H188" s="113"/>
    </row>
    <row r="189" spans="2:8" x14ac:dyDescent="0.3">
      <c r="B189" s="105" t="s">
        <v>268</v>
      </c>
      <c r="C189" s="106" t="s">
        <v>275</v>
      </c>
      <c r="D189" s="107"/>
      <c r="E189" s="108"/>
      <c r="F189" s="126">
        <v>0.1</v>
      </c>
      <c r="G189" s="120">
        <f>G188*F189</f>
        <v>20585.7965</v>
      </c>
      <c r="H189" s="113"/>
    </row>
    <row r="190" spans="2:8" ht="15" thickBot="1" x14ac:dyDescent="0.35">
      <c r="B190" s="109" t="s">
        <v>270</v>
      </c>
      <c r="C190" s="110" t="s">
        <v>271</v>
      </c>
      <c r="D190" s="111"/>
      <c r="E190" s="111"/>
      <c r="F190" s="127"/>
      <c r="G190" s="128">
        <f>SUM(G188:G189)</f>
        <v>226443.76149999999</v>
      </c>
      <c r="H190" s="113"/>
    </row>
    <row r="191" spans="2:8" ht="15" thickTop="1" x14ac:dyDescent="0.3"/>
    <row r="193" spans="2:8" ht="15" thickBot="1" x14ac:dyDescent="0.35">
      <c r="B193" s="92">
        <v>10</v>
      </c>
      <c r="C193" s="104" t="s">
        <v>318</v>
      </c>
      <c r="D193" s="104"/>
      <c r="E193" s="104"/>
      <c r="F193" s="123"/>
      <c r="G193" s="123"/>
      <c r="H193" s="113">
        <f>ROUNDDOWN(G212,-2)</f>
        <v>238600</v>
      </c>
    </row>
    <row r="194" spans="2:8" ht="42" thickTop="1" x14ac:dyDescent="0.3">
      <c r="B194" s="96" t="s">
        <v>252</v>
      </c>
      <c r="C194" s="97" t="s">
        <v>253</v>
      </c>
      <c r="D194" s="97" t="s">
        <v>254</v>
      </c>
      <c r="E194" s="97" t="s">
        <v>255</v>
      </c>
      <c r="F194" s="114" t="s">
        <v>256</v>
      </c>
      <c r="G194" s="115" t="s">
        <v>257</v>
      </c>
      <c r="H194" s="171"/>
    </row>
    <row r="195" spans="2:8" x14ac:dyDescent="0.3">
      <c r="B195" s="98" t="s">
        <v>16</v>
      </c>
      <c r="C195" s="99" t="s">
        <v>258</v>
      </c>
      <c r="D195" s="100"/>
      <c r="E195" s="100"/>
      <c r="F195" s="117"/>
      <c r="G195" s="118"/>
      <c r="H195" s="113"/>
    </row>
    <row r="196" spans="2:8" x14ac:dyDescent="0.3">
      <c r="B196" s="165">
        <v>1</v>
      </c>
      <c r="C196" s="99" t="s">
        <v>259</v>
      </c>
      <c r="D196" s="166" t="s">
        <v>260</v>
      </c>
      <c r="E196" s="167">
        <v>0.66</v>
      </c>
      <c r="F196" s="172">
        <f>VLOOKUP(C196,upahbahan,3,FALSE)</f>
        <v>100000</v>
      </c>
      <c r="G196" s="120">
        <f>E196*F196</f>
        <v>66000</v>
      </c>
      <c r="H196" s="113"/>
    </row>
    <row r="197" spans="2:8" x14ac:dyDescent="0.3">
      <c r="B197" s="165">
        <v>2</v>
      </c>
      <c r="C197" s="99" t="s">
        <v>279</v>
      </c>
      <c r="D197" s="166" t="s">
        <v>260</v>
      </c>
      <c r="E197" s="167">
        <v>0.33</v>
      </c>
      <c r="F197" s="172">
        <f>VLOOKUP(C197,upahbahan,3,FALSE)</f>
        <v>145000</v>
      </c>
      <c r="G197" s="120">
        <f>E197*F197</f>
        <v>47850</v>
      </c>
      <c r="H197" s="113"/>
    </row>
    <row r="198" spans="2:8" x14ac:dyDescent="0.3">
      <c r="B198" s="165">
        <v>3</v>
      </c>
      <c r="C198" s="99" t="s">
        <v>280</v>
      </c>
      <c r="D198" s="166" t="s">
        <v>260</v>
      </c>
      <c r="E198" s="167">
        <v>3.3000000000000002E-2</v>
      </c>
      <c r="F198" s="172">
        <f>VLOOKUP(C198,upahbahan,3,FALSE)</f>
        <v>175000</v>
      </c>
      <c r="G198" s="120">
        <f>E198*F198</f>
        <v>5775</v>
      </c>
      <c r="H198" s="113"/>
    </row>
    <row r="199" spans="2:8" x14ac:dyDescent="0.3">
      <c r="B199" s="165">
        <v>4</v>
      </c>
      <c r="C199" s="99" t="s">
        <v>261</v>
      </c>
      <c r="D199" s="166" t="s">
        <v>260</v>
      </c>
      <c r="E199" s="167">
        <v>1.0999999999999999E-2</v>
      </c>
      <c r="F199" s="172">
        <f>VLOOKUP(C199,upahbahan,3,FALSE)</f>
        <v>200000</v>
      </c>
      <c r="G199" s="120">
        <f>E199*F199</f>
        <v>2200</v>
      </c>
      <c r="H199" s="113"/>
    </row>
    <row r="200" spans="2:8" x14ac:dyDescent="0.3">
      <c r="B200" s="101" t="s">
        <v>262</v>
      </c>
      <c r="C200" s="102"/>
      <c r="D200" s="102"/>
      <c r="E200" s="168"/>
      <c r="F200" s="119"/>
      <c r="G200" s="120">
        <f>SUM(G196:G199)</f>
        <v>121825</v>
      </c>
      <c r="H200" s="113"/>
    </row>
    <row r="201" spans="2:8" x14ac:dyDescent="0.3">
      <c r="B201" s="98" t="s">
        <v>31</v>
      </c>
      <c r="C201" s="99" t="s">
        <v>263</v>
      </c>
      <c r="D201" s="100"/>
      <c r="E201" s="100"/>
      <c r="F201" s="117"/>
      <c r="G201" s="118"/>
      <c r="H201" s="113"/>
    </row>
    <row r="202" spans="2:8" x14ac:dyDescent="0.3">
      <c r="B202" s="169" t="s">
        <v>281</v>
      </c>
      <c r="C202" s="170" t="s">
        <v>317</v>
      </c>
      <c r="D202" s="166" t="s">
        <v>65</v>
      </c>
      <c r="E202" s="175">
        <v>0.4</v>
      </c>
      <c r="F202" s="172">
        <f>VLOOKUP(C202,upahbahan,3,FALSE)</f>
        <v>1500</v>
      </c>
      <c r="G202" s="120">
        <f>E202*F202</f>
        <v>600</v>
      </c>
      <c r="H202" s="113"/>
    </row>
    <row r="203" spans="2:8" x14ac:dyDescent="0.3">
      <c r="B203" s="169" t="s">
        <v>283</v>
      </c>
      <c r="C203" s="170" t="s">
        <v>305</v>
      </c>
      <c r="D203" s="166" t="s">
        <v>302</v>
      </c>
      <c r="E203" s="175">
        <v>0.2</v>
      </c>
      <c r="F203" s="172">
        <f>VLOOKUP(C203,upahbahan,3,FALSE)</f>
        <v>16800</v>
      </c>
      <c r="G203" s="120">
        <f>E203*F203</f>
        <v>3360</v>
      </c>
      <c r="H203" s="113"/>
    </row>
    <row r="204" spans="2:8" x14ac:dyDescent="0.3">
      <c r="B204" s="169" t="s">
        <v>285</v>
      </c>
      <c r="C204" s="170" t="s">
        <v>306</v>
      </c>
      <c r="D204" s="166" t="s">
        <v>287</v>
      </c>
      <c r="E204" s="175">
        <v>5.5799999999999999E-3</v>
      </c>
      <c r="F204" s="172">
        <f>VLOOKUP(C204,upahbahan,3,FALSE)</f>
        <v>11950000</v>
      </c>
      <c r="G204" s="120">
        <f>E204*F204</f>
        <v>66681</v>
      </c>
      <c r="H204" s="113"/>
    </row>
    <row r="205" spans="2:8" x14ac:dyDescent="0.3">
      <c r="B205" s="169" t="s">
        <v>297</v>
      </c>
      <c r="C205" s="170" t="s">
        <v>307</v>
      </c>
      <c r="D205" s="166" t="s">
        <v>308</v>
      </c>
      <c r="E205" s="175">
        <v>0.12705</v>
      </c>
      <c r="F205" s="172">
        <f>VLOOKUP(C205,upahbahan,3,FALSE)</f>
        <v>167300</v>
      </c>
      <c r="G205" s="120">
        <f>E205*F205</f>
        <v>21255.465</v>
      </c>
      <c r="H205" s="113"/>
    </row>
    <row r="206" spans="2:8" x14ac:dyDescent="0.3">
      <c r="B206" s="169" t="s">
        <v>309</v>
      </c>
      <c r="C206" s="170" t="s">
        <v>310</v>
      </c>
      <c r="D206" s="166" t="s">
        <v>311</v>
      </c>
      <c r="E206" s="175">
        <v>0.65</v>
      </c>
      <c r="F206" s="172">
        <f>VLOOKUP(C206,upahbahan,3,FALSE)</f>
        <v>5000</v>
      </c>
      <c r="G206" s="120">
        <f>E206*F206</f>
        <v>3250</v>
      </c>
      <c r="H206" s="113"/>
    </row>
    <row r="207" spans="2:8" x14ac:dyDescent="0.3">
      <c r="B207" s="101" t="s">
        <v>264</v>
      </c>
      <c r="C207" s="102"/>
      <c r="D207" s="102"/>
      <c r="E207" s="102"/>
      <c r="F207" s="119"/>
      <c r="G207" s="120">
        <f>SUM(G202:G206)</f>
        <v>95146.464999999997</v>
      </c>
      <c r="H207" s="113"/>
    </row>
    <row r="208" spans="2:8" x14ac:dyDescent="0.3">
      <c r="B208" s="98" t="s">
        <v>34</v>
      </c>
      <c r="C208" s="99" t="s">
        <v>265</v>
      </c>
      <c r="D208" s="100"/>
      <c r="E208" s="100"/>
      <c r="F208" s="117"/>
      <c r="G208" s="118"/>
      <c r="H208" s="113"/>
    </row>
    <row r="209" spans="2:8" x14ac:dyDescent="0.3">
      <c r="B209" s="101" t="s">
        <v>266</v>
      </c>
      <c r="C209" s="102"/>
      <c r="D209" s="102"/>
      <c r="E209" s="102"/>
      <c r="F209" s="119"/>
      <c r="G209" s="124">
        <v>0</v>
      </c>
      <c r="H209" s="113"/>
    </row>
    <row r="210" spans="2:8" x14ac:dyDescent="0.3">
      <c r="B210" s="105" t="s">
        <v>9</v>
      </c>
      <c r="C210" s="106" t="s">
        <v>267</v>
      </c>
      <c r="D210" s="107"/>
      <c r="E210" s="107"/>
      <c r="F210" s="125"/>
      <c r="G210" s="120">
        <f>G209+G207+G200</f>
        <v>216971.465</v>
      </c>
      <c r="H210" s="113"/>
    </row>
    <row r="211" spans="2:8" x14ac:dyDescent="0.3">
      <c r="B211" s="105" t="s">
        <v>268</v>
      </c>
      <c r="C211" s="106" t="s">
        <v>275</v>
      </c>
      <c r="D211" s="107"/>
      <c r="E211" s="108"/>
      <c r="F211" s="126">
        <v>0.1</v>
      </c>
      <c r="G211" s="120">
        <f>G210*F211</f>
        <v>21697.146500000003</v>
      </c>
      <c r="H211" s="113"/>
    </row>
    <row r="212" spans="2:8" ht="15" thickBot="1" x14ac:dyDescent="0.35">
      <c r="B212" s="109" t="s">
        <v>270</v>
      </c>
      <c r="C212" s="110" t="s">
        <v>271</v>
      </c>
      <c r="D212" s="111"/>
      <c r="E212" s="111"/>
      <c r="F212" s="127"/>
      <c r="G212" s="128">
        <f>SUM(G210:G211)</f>
        <v>238668.6115</v>
      </c>
      <c r="H212" s="113"/>
    </row>
    <row r="213" spans="2:8" ht="15" thickTop="1" x14ac:dyDescent="0.3"/>
    <row r="215" spans="2:8" ht="15" thickBot="1" x14ac:dyDescent="0.35">
      <c r="B215" s="92">
        <v>11</v>
      </c>
      <c r="C215" s="104" t="s">
        <v>323</v>
      </c>
      <c r="D215" s="104"/>
      <c r="E215" s="104"/>
      <c r="F215" s="123"/>
      <c r="G215" s="123"/>
      <c r="H215" s="113">
        <f>ROUNDDOWN(G234,-2)</f>
        <v>241200</v>
      </c>
    </row>
    <row r="216" spans="2:8" ht="42" thickTop="1" x14ac:dyDescent="0.3">
      <c r="B216" s="96" t="s">
        <v>252</v>
      </c>
      <c r="C216" s="97" t="s">
        <v>253</v>
      </c>
      <c r="D216" s="97" t="s">
        <v>254</v>
      </c>
      <c r="E216" s="97" t="s">
        <v>255</v>
      </c>
      <c r="F216" s="114" t="s">
        <v>256</v>
      </c>
      <c r="G216" s="115" t="s">
        <v>257</v>
      </c>
      <c r="H216" s="171"/>
    </row>
    <row r="217" spans="2:8" x14ac:dyDescent="0.3">
      <c r="B217" s="98" t="s">
        <v>16</v>
      </c>
      <c r="C217" s="99" t="s">
        <v>258</v>
      </c>
      <c r="D217" s="100"/>
      <c r="E217" s="100"/>
      <c r="F217" s="117"/>
      <c r="G217" s="118"/>
      <c r="H217" s="113"/>
    </row>
    <row r="218" spans="2:8" x14ac:dyDescent="0.3">
      <c r="B218" s="165">
        <v>1</v>
      </c>
      <c r="C218" s="99" t="s">
        <v>259</v>
      </c>
      <c r="D218" s="166" t="s">
        <v>260</v>
      </c>
      <c r="E218" s="167">
        <v>0.66</v>
      </c>
      <c r="F218" s="172">
        <f>VLOOKUP(C218,upahbahan,3,FALSE)</f>
        <v>100000</v>
      </c>
      <c r="G218" s="120">
        <f>E218*F218</f>
        <v>66000</v>
      </c>
      <c r="H218" s="113"/>
    </row>
    <row r="219" spans="2:8" x14ac:dyDescent="0.3">
      <c r="B219" s="165">
        <v>2</v>
      </c>
      <c r="C219" s="99" t="s">
        <v>279</v>
      </c>
      <c r="D219" s="166" t="s">
        <v>260</v>
      </c>
      <c r="E219" s="167">
        <v>0.33</v>
      </c>
      <c r="F219" s="172">
        <f>VLOOKUP(C219,upahbahan,3,FALSE)</f>
        <v>145000</v>
      </c>
      <c r="G219" s="120">
        <f>E219*F219</f>
        <v>47850</v>
      </c>
      <c r="H219" s="113"/>
    </row>
    <row r="220" spans="2:8" x14ac:dyDescent="0.3">
      <c r="B220" s="165">
        <v>3</v>
      </c>
      <c r="C220" s="99" t="s">
        <v>280</v>
      </c>
      <c r="D220" s="166" t="s">
        <v>260</v>
      </c>
      <c r="E220" s="167">
        <v>3.3000000000000002E-2</v>
      </c>
      <c r="F220" s="172">
        <f>VLOOKUP(C220,upahbahan,3,FALSE)</f>
        <v>175000</v>
      </c>
      <c r="G220" s="120">
        <f>E220*F220</f>
        <v>5775</v>
      </c>
      <c r="H220" s="113"/>
    </row>
    <row r="221" spans="2:8" x14ac:dyDescent="0.3">
      <c r="B221" s="165">
        <v>4</v>
      </c>
      <c r="C221" s="99" t="s">
        <v>261</v>
      </c>
      <c r="D221" s="166" t="s">
        <v>260</v>
      </c>
      <c r="E221" s="167">
        <v>1.0999999999999999E-2</v>
      </c>
      <c r="F221" s="172">
        <f>VLOOKUP(C221,upahbahan,3,FALSE)</f>
        <v>200000</v>
      </c>
      <c r="G221" s="120">
        <f>E221*F221</f>
        <v>2200</v>
      </c>
      <c r="H221" s="113"/>
    </row>
    <row r="222" spans="2:8" x14ac:dyDescent="0.3">
      <c r="B222" s="101" t="s">
        <v>262</v>
      </c>
      <c r="C222" s="102"/>
      <c r="D222" s="102"/>
      <c r="E222" s="168"/>
      <c r="F222" s="119"/>
      <c r="G222" s="120">
        <f>SUM(G218:G221)</f>
        <v>121825</v>
      </c>
      <c r="H222" s="113"/>
    </row>
    <row r="223" spans="2:8" x14ac:dyDescent="0.3">
      <c r="B223" s="98" t="s">
        <v>31</v>
      </c>
      <c r="C223" s="99" t="s">
        <v>263</v>
      </c>
      <c r="D223" s="100"/>
      <c r="E223" s="100"/>
      <c r="F223" s="117"/>
      <c r="G223" s="118"/>
      <c r="H223" s="113"/>
    </row>
    <row r="224" spans="2:8" x14ac:dyDescent="0.3">
      <c r="B224" s="169" t="s">
        <v>281</v>
      </c>
      <c r="C224" s="170" t="s">
        <v>284</v>
      </c>
      <c r="D224" s="166" t="s">
        <v>65</v>
      </c>
      <c r="E224" s="175">
        <v>0.4</v>
      </c>
      <c r="F224" s="172">
        <f>VLOOKUP(C224,upahbahan,3,FALSE)</f>
        <v>19000</v>
      </c>
      <c r="G224" s="120">
        <f>E224*F224</f>
        <v>7600</v>
      </c>
      <c r="H224" s="113"/>
    </row>
    <row r="225" spans="2:9" x14ac:dyDescent="0.3">
      <c r="B225" s="169" t="s">
        <v>283</v>
      </c>
      <c r="C225" s="170" t="s">
        <v>305</v>
      </c>
      <c r="D225" s="166" t="s">
        <v>302</v>
      </c>
      <c r="E225" s="175">
        <v>0.2</v>
      </c>
      <c r="F225" s="172">
        <f>VLOOKUP(C225,upahbahan,3,FALSE)</f>
        <v>16800</v>
      </c>
      <c r="G225" s="120">
        <f>E225*F225</f>
        <v>3360</v>
      </c>
      <c r="H225" s="113"/>
    </row>
    <row r="226" spans="2:9" x14ac:dyDescent="0.3">
      <c r="B226" s="169" t="s">
        <v>285</v>
      </c>
      <c r="C226" s="170" t="s">
        <v>306</v>
      </c>
      <c r="D226" s="166" t="s">
        <v>287</v>
      </c>
      <c r="E226" s="175">
        <v>4.6499999999999996E-3</v>
      </c>
      <c r="F226" s="172">
        <f>VLOOKUP(C226,upahbahan,3,FALSE)</f>
        <v>11950000</v>
      </c>
      <c r="G226" s="120">
        <f>E226*F226</f>
        <v>55567.499999999993</v>
      </c>
      <c r="H226" s="113"/>
    </row>
    <row r="227" spans="2:9" x14ac:dyDescent="0.3">
      <c r="B227" s="169" t="s">
        <v>297</v>
      </c>
      <c r="C227" s="170" t="s">
        <v>307</v>
      </c>
      <c r="D227" s="166" t="s">
        <v>308</v>
      </c>
      <c r="E227" s="175">
        <v>0.127</v>
      </c>
      <c r="F227" s="172">
        <f>VLOOKUP(C227,upahbahan,3,FALSE)</f>
        <v>167300</v>
      </c>
      <c r="G227" s="120">
        <f>E227*F227</f>
        <v>21247.1</v>
      </c>
      <c r="H227" s="113"/>
    </row>
    <row r="228" spans="2:9" x14ac:dyDescent="0.3">
      <c r="B228" s="169" t="s">
        <v>309</v>
      </c>
      <c r="C228" s="170" t="s">
        <v>310</v>
      </c>
      <c r="D228" s="166" t="s">
        <v>311</v>
      </c>
      <c r="E228" s="175">
        <v>1.95</v>
      </c>
      <c r="F228" s="172">
        <f>VLOOKUP(C228,upahbahan,3,FALSE)</f>
        <v>5000</v>
      </c>
      <c r="G228" s="120">
        <f>E228*F228</f>
        <v>9750</v>
      </c>
      <c r="H228" s="113"/>
    </row>
    <row r="229" spans="2:9" x14ac:dyDescent="0.3">
      <c r="B229" s="101" t="s">
        <v>264</v>
      </c>
      <c r="C229" s="102"/>
      <c r="D229" s="102"/>
      <c r="E229" s="102"/>
      <c r="F229" s="119"/>
      <c r="G229" s="120">
        <f>SUM(G224:G228)</f>
        <v>97524.6</v>
      </c>
      <c r="H229" s="113"/>
    </row>
    <row r="230" spans="2:9" x14ac:dyDescent="0.3">
      <c r="B230" s="98" t="s">
        <v>34</v>
      </c>
      <c r="C230" s="99" t="s">
        <v>265</v>
      </c>
      <c r="D230" s="100"/>
      <c r="E230" s="100"/>
      <c r="F230" s="117"/>
      <c r="G230" s="118"/>
      <c r="H230" s="113"/>
    </row>
    <row r="231" spans="2:9" x14ac:dyDescent="0.3">
      <c r="B231" s="101" t="s">
        <v>266</v>
      </c>
      <c r="C231" s="102"/>
      <c r="D231" s="102"/>
      <c r="E231" s="102"/>
      <c r="F231" s="119"/>
      <c r="G231" s="124">
        <v>0</v>
      </c>
      <c r="H231" s="113"/>
    </row>
    <row r="232" spans="2:9" x14ac:dyDescent="0.3">
      <c r="B232" s="105" t="s">
        <v>9</v>
      </c>
      <c r="C232" s="106" t="s">
        <v>267</v>
      </c>
      <c r="D232" s="107"/>
      <c r="E232" s="107"/>
      <c r="F232" s="125"/>
      <c r="G232" s="120">
        <f>G231+G229+G222</f>
        <v>219349.6</v>
      </c>
      <c r="H232" s="113"/>
    </row>
    <row r="233" spans="2:9" x14ac:dyDescent="0.3">
      <c r="B233" s="105" t="s">
        <v>268</v>
      </c>
      <c r="C233" s="106" t="s">
        <v>275</v>
      </c>
      <c r="D233" s="107"/>
      <c r="E233" s="108"/>
      <c r="F233" s="126">
        <v>0.1</v>
      </c>
      <c r="G233" s="120">
        <f>G232*F233</f>
        <v>21934.960000000003</v>
      </c>
      <c r="H233" s="113"/>
    </row>
    <row r="234" spans="2:9" ht="15" thickBot="1" x14ac:dyDescent="0.35">
      <c r="B234" s="109" t="s">
        <v>270</v>
      </c>
      <c r="C234" s="110" t="s">
        <v>271</v>
      </c>
      <c r="D234" s="111"/>
      <c r="E234" s="111"/>
      <c r="F234" s="127"/>
      <c r="G234" s="128">
        <f>SUM(G232:G233)</f>
        <v>241284.56</v>
      </c>
      <c r="H234" s="113"/>
    </row>
    <row r="235" spans="2:9" ht="15" thickTop="1" x14ac:dyDescent="0.3"/>
    <row r="237" spans="2:9" ht="15" thickBot="1" x14ac:dyDescent="0.35">
      <c r="B237" s="184">
        <v>12</v>
      </c>
      <c r="C237" s="104" t="s">
        <v>324</v>
      </c>
      <c r="D237" s="193"/>
      <c r="E237" s="194"/>
      <c r="F237" s="210"/>
      <c r="G237" s="210"/>
      <c r="H237" s="113">
        <f>ROUNDDOWN(G255,-2)</f>
        <v>34000</v>
      </c>
      <c r="I237"/>
    </row>
    <row r="238" spans="2:9" ht="42" thickTop="1" x14ac:dyDescent="0.3">
      <c r="B238" s="96" t="s">
        <v>252</v>
      </c>
      <c r="C238" s="97" t="s">
        <v>253</v>
      </c>
      <c r="D238" s="97" t="s">
        <v>254</v>
      </c>
      <c r="E238" s="97" t="s">
        <v>255</v>
      </c>
      <c r="F238" s="114" t="s">
        <v>256</v>
      </c>
      <c r="G238" s="115" t="s">
        <v>257</v>
      </c>
      <c r="H238" s="171"/>
      <c r="I238"/>
    </row>
    <row r="239" spans="2:9" x14ac:dyDescent="0.3">
      <c r="B239" s="98" t="s">
        <v>16</v>
      </c>
      <c r="C239" s="99" t="s">
        <v>258</v>
      </c>
      <c r="D239" s="100"/>
      <c r="E239" s="177"/>
      <c r="F239" s="117"/>
      <c r="G239" s="118"/>
      <c r="H239" s="113"/>
      <c r="I239"/>
    </row>
    <row r="240" spans="2:9" x14ac:dyDescent="0.3">
      <c r="B240" s="165">
        <v>1</v>
      </c>
      <c r="C240" s="99" t="s">
        <v>259</v>
      </c>
      <c r="D240" s="166" t="s">
        <v>260</v>
      </c>
      <c r="E240" s="195">
        <v>3.7499999999999999E-2</v>
      </c>
      <c r="F240" s="172">
        <f>VLOOKUP(C240,upahbahan,3,FALSE)</f>
        <v>100000</v>
      </c>
      <c r="G240" s="120">
        <f>E240*F240</f>
        <v>3750</v>
      </c>
      <c r="H240" s="113"/>
      <c r="I240"/>
    </row>
    <row r="241" spans="2:9" x14ac:dyDescent="0.3">
      <c r="B241" s="165">
        <v>2</v>
      </c>
      <c r="C241" s="99" t="s">
        <v>320</v>
      </c>
      <c r="D241" s="166" t="s">
        <v>260</v>
      </c>
      <c r="E241" s="195">
        <v>1.2500000000000001E-2</v>
      </c>
      <c r="F241" s="172">
        <f>VLOOKUP(C241,upahbahan,3,FALSE)</f>
        <v>145000</v>
      </c>
      <c r="G241" s="120">
        <f t="shared" ref="G241:G243" si="2">E241*F241</f>
        <v>1812.5</v>
      </c>
      <c r="H241" s="113"/>
      <c r="I241"/>
    </row>
    <row r="242" spans="2:9" x14ac:dyDescent="0.3">
      <c r="B242" s="165">
        <v>4</v>
      </c>
      <c r="C242" s="99" t="s">
        <v>280</v>
      </c>
      <c r="D242" s="166" t="s">
        <v>260</v>
      </c>
      <c r="E242" s="195">
        <v>2.5000000000000001E-3</v>
      </c>
      <c r="F242" s="172">
        <f>VLOOKUP(C242,upahbahan,3,FALSE)</f>
        <v>175000</v>
      </c>
      <c r="G242" s="120">
        <f t="shared" si="2"/>
        <v>437.5</v>
      </c>
      <c r="H242" s="113"/>
      <c r="I242"/>
    </row>
    <row r="243" spans="2:9" x14ac:dyDescent="0.3">
      <c r="B243" s="165">
        <v>5</v>
      </c>
      <c r="C243" s="99" t="s">
        <v>261</v>
      </c>
      <c r="D243" s="166" t="s">
        <v>260</v>
      </c>
      <c r="E243" s="195">
        <v>8.0000000000000002E-3</v>
      </c>
      <c r="F243" s="172">
        <f>VLOOKUP(C243,upahbahan,3,FALSE)</f>
        <v>200000</v>
      </c>
      <c r="G243" s="120">
        <f t="shared" si="2"/>
        <v>1600</v>
      </c>
      <c r="H243" s="113"/>
      <c r="I243"/>
    </row>
    <row r="244" spans="2:9" x14ac:dyDescent="0.3">
      <c r="B244" s="101" t="s">
        <v>262</v>
      </c>
      <c r="C244" s="102"/>
      <c r="D244" s="102"/>
      <c r="E244" s="196"/>
      <c r="F244" s="119"/>
      <c r="G244" s="120">
        <f>SUM(G240:G243)</f>
        <v>7600</v>
      </c>
      <c r="H244" s="113"/>
      <c r="I244"/>
    </row>
    <row r="245" spans="2:9" x14ac:dyDescent="0.3">
      <c r="B245" s="98" t="s">
        <v>31</v>
      </c>
      <c r="C245" s="99" t="s">
        <v>263</v>
      </c>
      <c r="D245" s="100"/>
      <c r="E245" s="177"/>
      <c r="F245" s="117"/>
      <c r="G245" s="118"/>
      <c r="H245" s="113"/>
      <c r="I245"/>
    </row>
    <row r="246" spans="2:9" x14ac:dyDescent="0.3">
      <c r="B246" s="197">
        <v>1</v>
      </c>
      <c r="C246" s="198" t="s">
        <v>325</v>
      </c>
      <c r="D246" s="199" t="s">
        <v>65</v>
      </c>
      <c r="E246" s="200">
        <v>1.1499999999999999</v>
      </c>
      <c r="F246" s="211">
        <f>VLOOKUP(C246,upahbahan,3,FALSE)</f>
        <v>16480</v>
      </c>
      <c r="G246" s="212">
        <f>E246*F246</f>
        <v>18952</v>
      </c>
      <c r="H246" s="113"/>
      <c r="I246"/>
    </row>
    <row r="247" spans="2:9" x14ac:dyDescent="0.3">
      <c r="B247" s="165">
        <v>2</v>
      </c>
      <c r="C247" s="99" t="s">
        <v>326</v>
      </c>
      <c r="D247" s="201" t="s">
        <v>65</v>
      </c>
      <c r="E247" s="202">
        <v>5.2999999999999999E-2</v>
      </c>
      <c r="F247" s="172">
        <f>VLOOKUP(C247,upahbahan,3,FALSE)</f>
        <v>45550</v>
      </c>
      <c r="G247" s="120">
        <f>E247*F247</f>
        <v>2414.15</v>
      </c>
      <c r="H247" s="113"/>
      <c r="I247"/>
    </row>
    <row r="248" spans="2:9" x14ac:dyDescent="0.3">
      <c r="B248" s="101" t="s">
        <v>264</v>
      </c>
      <c r="C248" s="102"/>
      <c r="D248" s="102"/>
      <c r="E248" s="203"/>
      <c r="F248" s="119"/>
      <c r="G248" s="120">
        <f>SUM(G246:G247)</f>
        <v>21366.15</v>
      </c>
      <c r="H248" s="113"/>
      <c r="I248"/>
    </row>
    <row r="249" spans="2:9" x14ac:dyDescent="0.3">
      <c r="B249" s="98" t="s">
        <v>34</v>
      </c>
      <c r="C249" s="99" t="s">
        <v>265</v>
      </c>
      <c r="D249" s="100"/>
      <c r="E249" s="177"/>
      <c r="F249" s="117"/>
      <c r="G249" s="118"/>
      <c r="H249" s="113"/>
      <c r="I249"/>
    </row>
    <row r="250" spans="2:9" x14ac:dyDescent="0.3">
      <c r="B250" s="204">
        <v>1</v>
      </c>
      <c r="C250" s="205" t="s">
        <v>327</v>
      </c>
      <c r="D250" s="206" t="s">
        <v>328</v>
      </c>
      <c r="E250" s="206">
        <v>3.3000000000000002E-2</v>
      </c>
      <c r="F250" s="211">
        <f>VLOOKUP(C250,upahbahan,3,FALSE)</f>
        <v>3125</v>
      </c>
      <c r="G250" s="212">
        <f>E250*F250</f>
        <v>103.125</v>
      </c>
      <c r="H250" s="113"/>
      <c r="I250"/>
    </row>
    <row r="251" spans="2:9" x14ac:dyDescent="0.3">
      <c r="B251" s="204">
        <v>2</v>
      </c>
      <c r="C251" s="205" t="s">
        <v>329</v>
      </c>
      <c r="D251" s="206" t="s">
        <v>328</v>
      </c>
      <c r="E251" s="206">
        <v>1.2999999999999999E-3</v>
      </c>
      <c r="F251" s="211">
        <f>VLOOKUP(C251,upahbahan,3,FALSE)</f>
        <v>1450000</v>
      </c>
      <c r="G251" s="212">
        <f>E251*F251</f>
        <v>1885</v>
      </c>
      <c r="H251" s="113"/>
      <c r="I251"/>
    </row>
    <row r="252" spans="2:9" x14ac:dyDescent="0.3">
      <c r="B252" s="101" t="s">
        <v>266</v>
      </c>
      <c r="C252" s="102"/>
      <c r="D252" s="102"/>
      <c r="E252" s="203"/>
      <c r="F252" s="119"/>
      <c r="G252" s="124">
        <f>SUM(G250:G251)</f>
        <v>1988.125</v>
      </c>
      <c r="H252" s="113"/>
      <c r="I252"/>
    </row>
    <row r="253" spans="2:9" x14ac:dyDescent="0.3">
      <c r="B253" s="105" t="s">
        <v>9</v>
      </c>
      <c r="C253" s="106" t="s">
        <v>267</v>
      </c>
      <c r="D253" s="107"/>
      <c r="E253" s="207"/>
      <c r="F253" s="125"/>
      <c r="G253" s="120">
        <f>G252+G248+G244</f>
        <v>30954.275000000001</v>
      </c>
      <c r="H253" s="113"/>
      <c r="I253"/>
    </row>
    <row r="254" spans="2:9" x14ac:dyDescent="0.3">
      <c r="B254" s="105" t="s">
        <v>268</v>
      </c>
      <c r="C254" s="106" t="s">
        <v>275</v>
      </c>
      <c r="D254" s="107"/>
      <c r="E254" s="208"/>
      <c r="F254" s="126">
        <v>0.1</v>
      </c>
      <c r="G254" s="120">
        <f>G253*F254</f>
        <v>3095.4275000000002</v>
      </c>
      <c r="H254" s="113"/>
      <c r="I254"/>
    </row>
    <row r="255" spans="2:9" ht="15" thickBot="1" x14ac:dyDescent="0.35">
      <c r="B255" s="109" t="s">
        <v>270</v>
      </c>
      <c r="C255" s="110" t="s">
        <v>271</v>
      </c>
      <c r="D255" s="111"/>
      <c r="E255" s="209"/>
      <c r="F255" s="127"/>
      <c r="G255" s="128">
        <f>SUM(G253:G254)</f>
        <v>34049.702499999999</v>
      </c>
      <c r="H255" s="113"/>
      <c r="I255"/>
    </row>
    <row r="256" spans="2:9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BOQ STRUKTUR</vt:lpstr>
      <vt:lpstr>AHSP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Narendra Yana</cp:lastModifiedBy>
  <dcterms:created xsi:type="dcterms:W3CDTF">2024-12-27T02:45:30Z</dcterms:created>
  <dcterms:modified xsi:type="dcterms:W3CDTF">2025-12-02T06:23:01Z</dcterms:modified>
</cp:coreProperties>
</file>