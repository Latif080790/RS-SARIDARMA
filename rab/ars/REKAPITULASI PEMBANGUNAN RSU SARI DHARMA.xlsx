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RENDRA 6 JUNI\PRY SARI DHARMA\GBR KERJA\"/>
    </mc:Choice>
  </mc:AlternateContent>
  <xr:revisionPtr revIDLastSave="0" documentId="13_ncr:1_{90AA5B88-341D-48DA-9121-91A1FDB6E168}" xr6:coauthVersionLast="47" xr6:coauthVersionMax="47" xr10:uidLastSave="{00000000-0000-0000-0000-000000000000}"/>
  <bookViews>
    <workbookView xWindow="-108" yWindow="-108" windowWidth="23256" windowHeight="12456" xr2:uid="{CBCD01BA-70C5-421A-9340-02E4624D3387}"/>
  </bookViews>
  <sheets>
    <sheet name="REKAPITULASI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5" i="1" l="1"/>
  <c r="E22" i="1" s="1"/>
  <c r="E23" i="1" s="1"/>
  <c r="E24" i="1" s="1"/>
  <c r="E25" i="1" s="1"/>
</calcChain>
</file>

<file path=xl/sharedStrings.xml><?xml version="1.0" encoding="utf-8"?>
<sst xmlns="http://schemas.openxmlformats.org/spreadsheetml/2006/main" count="18" uniqueCount="18">
  <si>
    <t>RENCANA ANGGARAN BIAYA</t>
  </si>
  <si>
    <t>RSU. SARI DHARMA</t>
  </si>
  <si>
    <t>REKAPITULASI</t>
  </si>
  <si>
    <t>NO</t>
  </si>
  <si>
    <t>URAIAN PEKERJAAN</t>
  </si>
  <si>
    <t xml:space="preserve"> PEKERJAAN STRUKTUR</t>
  </si>
  <si>
    <t>PEKERJAAN ARSITEKTUR</t>
  </si>
  <si>
    <t>PEKERJAAN MEP</t>
  </si>
  <si>
    <t xml:space="preserve">   1. PEKERJAAN STANDAR</t>
  </si>
  <si>
    <t xml:space="preserve">   2. PEKERJAAN NON STANDAR</t>
  </si>
  <si>
    <t>JUMLAH HARGA</t>
  </si>
  <si>
    <t>JUMLAH TOTAL</t>
  </si>
  <si>
    <t>PPN 12%</t>
  </si>
  <si>
    <t>TOTAL = ( JUMLAH + PPN 12% )</t>
  </si>
  <si>
    <t>DIBULATKAN</t>
  </si>
  <si>
    <t>TERBILANG</t>
  </si>
  <si>
    <t>DENPASAR, 02 DESEMBER 2025</t>
  </si>
  <si>
    <t>ENAM PULUH DELAPAN MILYAR LIMA RATUS SEMBILAN PULUH TIGA JUTA RUPIAH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</si>
</sst>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2" tint="-0.74999237037263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41" fontId="5" fillId="0" borderId="0" xfId="0" applyNumberFormat="1" applyFont="1" applyAlignment="1">
      <alignment vertical="center"/>
    </xf>
    <xf numFmtId="41" fontId="0" fillId="0" borderId="0" xfId="0" applyNumberFormat="1" applyAlignment="1">
      <alignment vertical="center"/>
    </xf>
    <xf numFmtId="41" fontId="0" fillId="0" borderId="1" xfId="0" applyNumberFormat="1" applyBorder="1" applyAlignment="1">
      <alignment vertical="center"/>
    </xf>
    <xf numFmtId="41" fontId="4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41" fontId="0" fillId="0" borderId="2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6" fillId="0" borderId="0" xfId="0" applyNumberFormat="1" applyFont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41" fontId="0" fillId="0" borderId="0" xfId="0" applyNumberFormat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41" fontId="4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41" fontId="5" fillId="0" borderId="0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41" fontId="4" fillId="0" borderId="1" xfId="0" applyNumberFormat="1" applyFont="1" applyBorder="1" applyAlignment="1">
      <alignment vertical="center"/>
    </xf>
    <xf numFmtId="0" fontId="5" fillId="0" borderId="0" xfId="0" applyFont="1" applyBorder="1"/>
    <xf numFmtId="0" fontId="7" fillId="0" borderId="0" xfId="0" applyFont="1" applyBorder="1" applyAlignment="1">
      <alignment horizontal="left" vertical="center"/>
    </xf>
    <xf numFmtId="41" fontId="5" fillId="0" borderId="1" xfId="0" applyNumberFormat="1" applyFont="1" applyBorder="1" applyAlignment="1">
      <alignment vertical="center"/>
    </xf>
    <xf numFmtId="41" fontId="5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NARENDRA%206%20JUNI\PRY%20SARI%20DHARMA\GBR%20KERJA\STRUKTUR\BOQ-Dokumen%20Struktur.xlsx" TargetMode="External"/><Relationship Id="rId1" Type="http://schemas.openxmlformats.org/officeDocument/2006/relationships/externalLinkPath" Target="STRUKTUR/BOQ-Dokumen%20Struktu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NARENDRA%206%20JUNI\PRY%20SARI%20DHARMA\RENCANA%20PELAKSANAAN\ANALISA%20VOLUME%20PEK%20%20ARSITEKTUR.xlsx" TargetMode="External"/><Relationship Id="rId1" Type="http://schemas.openxmlformats.org/officeDocument/2006/relationships/externalLinkPath" Target="/NARENDRA%206%20JUNI/PRY%20SARI%20DHARMA/RENCANA%20PELAKSANAAN/ANALISA%20VOLUME%20PEK%20%20ARSITEKTU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Q STRUKTUR"/>
      <sheetName val="AHSP"/>
    </sheetNames>
    <sheetDataSet>
      <sheetData sheetId="0">
        <row r="413">
          <cell r="G413">
            <v>14381422289.362045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ISA VOLUME"/>
      <sheetName val="ANALISA PINTU JENDELA"/>
      <sheetName val="HRG BAHAN"/>
      <sheetName val="AHS"/>
      <sheetName val="RAB"/>
    </sheetNames>
    <sheetDataSet>
      <sheetData sheetId="0"/>
      <sheetData sheetId="1"/>
      <sheetData sheetId="2"/>
      <sheetData sheetId="3"/>
      <sheetData sheetId="4">
        <row r="412">
          <cell r="H412">
            <v>12997835657.522423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A22C2-23D4-4A2B-94A4-3C95192D4B8A}">
  <dimension ref="A3:I37"/>
  <sheetViews>
    <sheetView tabSelected="1" topLeftCell="A7" workbookViewId="0">
      <selection activeCell="D29" sqref="D29"/>
    </sheetView>
  </sheetViews>
  <sheetFormatPr defaultRowHeight="18" customHeight="1" x14ac:dyDescent="0.3"/>
  <cols>
    <col min="1" max="2" width="8.88671875" style="3"/>
    <col min="3" max="3" width="5.44140625" style="3" customWidth="1"/>
    <col min="4" max="4" width="55.88671875" style="3" customWidth="1"/>
    <col min="5" max="5" width="19.77734375" style="12" customWidth="1"/>
    <col min="6" max="6" width="8.88671875" style="3"/>
  </cols>
  <sheetData>
    <row r="3" spans="1:9" ht="18" customHeight="1" x14ac:dyDescent="0.3">
      <c r="B3" s="4" t="s">
        <v>2</v>
      </c>
      <c r="C3" s="4"/>
    </row>
    <row r="4" spans="1:9" ht="18" customHeight="1" x14ac:dyDescent="0.3">
      <c r="B4" s="5" t="s">
        <v>0</v>
      </c>
      <c r="C4" s="5"/>
    </row>
    <row r="5" spans="1:9" ht="18" customHeight="1" x14ac:dyDescent="0.3">
      <c r="B5" s="6" t="s">
        <v>1</v>
      </c>
      <c r="C5" s="6"/>
      <c r="D5" s="7"/>
      <c r="E5" s="13"/>
      <c r="F5" s="17"/>
      <c r="G5" s="18"/>
      <c r="H5" s="18"/>
      <c r="I5" s="18"/>
    </row>
    <row r="10" spans="1:9" s="2" customFormat="1" ht="27.6" customHeight="1" x14ac:dyDescent="0.3">
      <c r="A10" s="8"/>
      <c r="B10" s="10" t="s">
        <v>3</v>
      </c>
      <c r="C10" s="10"/>
      <c r="D10" s="10" t="s">
        <v>4</v>
      </c>
      <c r="E10" s="14" t="s">
        <v>10</v>
      </c>
      <c r="F10" s="8"/>
    </row>
    <row r="11" spans="1:9" s="21" customFormat="1" ht="18" customHeight="1" x14ac:dyDescent="0.3">
      <c r="A11" s="19"/>
      <c r="B11" s="20">
        <v>1</v>
      </c>
      <c r="C11" s="20"/>
      <c r="D11" s="20">
        <v>2</v>
      </c>
      <c r="E11" s="20">
        <v>3</v>
      </c>
      <c r="F11" s="19"/>
    </row>
    <row r="12" spans="1:9" s="1" customFormat="1" ht="18" customHeight="1" x14ac:dyDescent="0.3">
      <c r="A12" s="9"/>
      <c r="B12" s="9"/>
      <c r="C12" s="9"/>
      <c r="D12" s="9"/>
      <c r="E12" s="11"/>
      <c r="F12" s="9"/>
    </row>
    <row r="13" spans="1:9" s="1" customFormat="1" ht="18" customHeight="1" x14ac:dyDescent="0.3">
      <c r="A13" s="9"/>
      <c r="B13" s="8">
        <v>1</v>
      </c>
      <c r="C13" s="9"/>
      <c r="D13" s="22" t="s">
        <v>5</v>
      </c>
      <c r="E13" s="11">
        <f>'[1]BOQ STRUKTUR'!$G$413</f>
        <v>14381422289.362045</v>
      </c>
      <c r="F13" s="9"/>
    </row>
    <row r="14" spans="1:9" s="1" customFormat="1" ht="18" customHeight="1" x14ac:dyDescent="0.3">
      <c r="A14" s="9"/>
      <c r="B14" s="8"/>
      <c r="C14" s="9"/>
      <c r="D14" s="22"/>
      <c r="E14" s="11"/>
      <c r="F14" s="9"/>
    </row>
    <row r="15" spans="1:9" s="1" customFormat="1" ht="18" customHeight="1" x14ac:dyDescent="0.3">
      <c r="A15" s="9"/>
      <c r="B15" s="8">
        <v>2</v>
      </c>
      <c r="C15" s="9"/>
      <c r="D15" s="22" t="s">
        <v>6</v>
      </c>
      <c r="E15" s="11">
        <f>[2]RAB!$H$412</f>
        <v>12997835657.522423</v>
      </c>
      <c r="F15" s="9"/>
    </row>
    <row r="16" spans="1:9" s="1" customFormat="1" ht="18" customHeight="1" x14ac:dyDescent="0.3">
      <c r="A16" s="9"/>
      <c r="B16" s="8"/>
      <c r="C16" s="9"/>
      <c r="D16" s="22"/>
      <c r="E16" s="11"/>
      <c r="F16" s="9"/>
    </row>
    <row r="17" spans="1:6" s="1" customFormat="1" ht="18" customHeight="1" x14ac:dyDescent="0.3">
      <c r="A17" s="9"/>
      <c r="B17" s="8">
        <v>3</v>
      </c>
      <c r="C17" s="9"/>
      <c r="D17" s="22" t="s">
        <v>7</v>
      </c>
      <c r="E17" s="11"/>
      <c r="F17" s="9"/>
    </row>
    <row r="18" spans="1:6" s="1" customFormat="1" ht="18" customHeight="1" x14ac:dyDescent="0.3">
      <c r="A18" s="9"/>
      <c r="B18" s="9"/>
      <c r="C18" s="9"/>
      <c r="D18" s="9" t="s">
        <v>8</v>
      </c>
      <c r="E18" s="11">
        <v>18302858339</v>
      </c>
      <c r="F18" s="9"/>
    </row>
    <row r="19" spans="1:6" s="1" customFormat="1" ht="18" customHeight="1" x14ac:dyDescent="0.3">
      <c r="A19" s="9"/>
      <c r="B19" s="9"/>
      <c r="C19" s="9"/>
      <c r="D19" s="9" t="s">
        <v>9</v>
      </c>
      <c r="E19" s="11">
        <v>15562031400</v>
      </c>
      <c r="F19" s="9"/>
    </row>
    <row r="20" spans="1:6" s="1" customFormat="1" ht="18" customHeight="1" x14ac:dyDescent="0.3">
      <c r="A20" s="9"/>
      <c r="B20" s="9"/>
      <c r="C20" s="9"/>
      <c r="D20" s="9"/>
      <c r="E20" s="11"/>
      <c r="F20" s="9"/>
    </row>
    <row r="21" spans="1:6" ht="18" customHeight="1" x14ac:dyDescent="0.3">
      <c r="B21" s="15"/>
      <c r="C21" s="15"/>
      <c r="D21" s="15"/>
      <c r="E21" s="16"/>
    </row>
    <row r="22" spans="1:6" s="1" customFormat="1" ht="18" customHeight="1" x14ac:dyDescent="0.3">
      <c r="A22" s="9"/>
      <c r="B22" s="24"/>
      <c r="C22" s="24"/>
      <c r="D22" s="25" t="s">
        <v>11</v>
      </c>
      <c r="E22" s="26">
        <f>E13+E15+E18+E19</f>
        <v>61244147685.884468</v>
      </c>
      <c r="F22" s="9"/>
    </row>
    <row r="23" spans="1:6" s="1" customFormat="1" ht="18" customHeight="1" x14ac:dyDescent="0.3">
      <c r="A23" s="9"/>
      <c r="B23" s="24"/>
      <c r="C23" s="24"/>
      <c r="D23" s="27" t="s">
        <v>12</v>
      </c>
      <c r="E23" s="28">
        <f>E22*0.12</f>
        <v>7349297722.3061361</v>
      </c>
      <c r="F23" s="9"/>
    </row>
    <row r="24" spans="1:6" s="1" customFormat="1" ht="18" customHeight="1" x14ac:dyDescent="0.3">
      <c r="A24" s="9"/>
      <c r="B24" s="24"/>
      <c r="C24" s="24"/>
      <c r="D24" s="27" t="s">
        <v>13</v>
      </c>
      <c r="E24" s="28">
        <f>E22+E23</f>
        <v>68593445408.190605</v>
      </c>
      <c r="F24" s="9"/>
    </row>
    <row r="25" spans="1:6" s="1" customFormat="1" ht="18" customHeight="1" x14ac:dyDescent="0.3">
      <c r="A25" s="9"/>
      <c r="B25" s="24"/>
      <c r="C25" s="24"/>
      <c r="D25" s="25" t="s">
        <v>14</v>
      </c>
      <c r="E25" s="26">
        <f>ROUNDDOWN(E24,-6)</f>
        <v>68593000000</v>
      </c>
      <c r="F25" s="9"/>
    </row>
    <row r="26" spans="1:6" s="32" customFormat="1" ht="18" customHeight="1" x14ac:dyDescent="0.3">
      <c r="A26" s="24"/>
      <c r="B26" s="29"/>
      <c r="C26" s="29"/>
      <c r="D26" s="30"/>
      <c r="E26" s="31"/>
      <c r="F26" s="24"/>
    </row>
    <row r="27" spans="1:6" s="32" customFormat="1" ht="18" customHeight="1" x14ac:dyDescent="0.3">
      <c r="A27" s="24"/>
      <c r="B27" s="24"/>
      <c r="C27" s="24"/>
      <c r="D27" s="33" t="s">
        <v>15</v>
      </c>
      <c r="E27" s="26"/>
      <c r="F27" s="24"/>
    </row>
    <row r="28" spans="1:6" s="1" customFormat="1" ht="33" customHeight="1" x14ac:dyDescent="0.3">
      <c r="A28" s="9"/>
      <c r="B28" s="29"/>
      <c r="C28" s="29"/>
      <c r="D28" s="36" t="s">
        <v>17</v>
      </c>
      <c r="E28" s="34"/>
      <c r="F28" s="9"/>
    </row>
    <row r="29" spans="1:6" s="1" customFormat="1" ht="18" customHeight="1" x14ac:dyDescent="0.3">
      <c r="A29" s="9"/>
      <c r="B29" s="9"/>
      <c r="C29" s="9"/>
      <c r="D29" s="9"/>
      <c r="E29" s="11"/>
      <c r="F29" s="9"/>
    </row>
    <row r="30" spans="1:6" s="1" customFormat="1" ht="18" customHeight="1" x14ac:dyDescent="0.3">
      <c r="A30" s="9"/>
      <c r="B30" s="9"/>
      <c r="C30" s="9"/>
      <c r="D30" s="9"/>
      <c r="E30" s="11"/>
      <c r="F30" s="9"/>
    </row>
    <row r="31" spans="1:6" s="1" customFormat="1" ht="18" customHeight="1" x14ac:dyDescent="0.3">
      <c r="A31" s="9"/>
      <c r="B31" s="9"/>
      <c r="C31" s="9"/>
      <c r="D31" s="9"/>
      <c r="E31" s="11"/>
      <c r="F31" s="9"/>
    </row>
    <row r="32" spans="1:6" s="1" customFormat="1" ht="18" customHeight="1" x14ac:dyDescent="0.3">
      <c r="A32" s="9"/>
      <c r="B32" s="9"/>
      <c r="C32" s="9"/>
      <c r="D32" s="9"/>
      <c r="E32" s="35" t="s">
        <v>16</v>
      </c>
      <c r="F32" s="9"/>
    </row>
    <row r="33" spans="5:5" ht="18" customHeight="1" x14ac:dyDescent="0.3">
      <c r="E33" s="23"/>
    </row>
    <row r="34" spans="5:5" ht="18" customHeight="1" x14ac:dyDescent="0.3">
      <c r="E34" s="23"/>
    </row>
    <row r="35" spans="5:5" ht="18" customHeight="1" x14ac:dyDescent="0.3">
      <c r="E35" s="23"/>
    </row>
    <row r="36" spans="5:5" ht="18" customHeight="1" x14ac:dyDescent="0.3">
      <c r="E36" s="23"/>
    </row>
    <row r="37" spans="5:5" ht="18" customHeight="1" x14ac:dyDescent="0.3">
      <c r="E3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REKAPITULASI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Yana</dc:creator>
  <cp:lastModifiedBy>Narendra Yana</cp:lastModifiedBy>
  <dcterms:created xsi:type="dcterms:W3CDTF">2025-12-02T03:35:03Z</dcterms:created>
  <dcterms:modified xsi:type="dcterms:W3CDTF">2025-12-02T06:24:08Z</dcterms:modified>
</cp:coreProperties>
</file>