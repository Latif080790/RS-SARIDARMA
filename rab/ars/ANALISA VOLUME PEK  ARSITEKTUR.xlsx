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RENDRA 6 JUNI\PRY SARI DHARMA\RENCANA PELAKSANAAN\"/>
    </mc:Choice>
  </mc:AlternateContent>
  <xr:revisionPtr revIDLastSave="0" documentId="13_ncr:1_{02C39729-376C-494A-8BFA-A4FF56B78DA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LISA VOLUME" sheetId="1" r:id="rId1"/>
    <sheet name="ANALISA PINTU JENDELA" sheetId="2" r:id="rId2"/>
    <sheet name="HRG BAHAN" sheetId="5" r:id="rId3"/>
    <sheet name="AHS" sheetId="4" r:id="rId4"/>
    <sheet name="RAB" sheetId="3" r:id="rId5"/>
  </sheets>
  <externalReferences>
    <externalReference r:id="rId6"/>
  </externalReferences>
  <definedNames>
    <definedName name="_xlnm.Print_Area" localSheetId="4">RAB!$B$2:$H$414</definedName>
    <definedName name="TENAGA">#REF!</definedName>
    <definedName name="upahbahan">'[1]Upah Bahan'!$F$9:$H$2830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5" i="3" l="1"/>
  <c r="G358" i="3"/>
  <c r="G357" i="3"/>
  <c r="I692" i="4"/>
  <c r="I690" i="4"/>
  <c r="G700" i="4"/>
  <c r="F697" i="4"/>
  <c r="G697" i="4" s="1"/>
  <c r="F696" i="4"/>
  <c r="G696" i="4" s="1"/>
  <c r="G693" i="4"/>
  <c r="F693" i="4"/>
  <c r="F692" i="4"/>
  <c r="G692" i="4" s="1"/>
  <c r="F691" i="4"/>
  <c r="G691" i="4" s="1"/>
  <c r="F690" i="4"/>
  <c r="G690" i="4" s="1"/>
  <c r="G694" i="4" s="1"/>
  <c r="E62" i="3"/>
  <c r="G62" i="3"/>
  <c r="O677" i="4"/>
  <c r="P677" i="4" s="1"/>
  <c r="O676" i="4"/>
  <c r="P676" i="4" s="1"/>
  <c r="O675" i="4"/>
  <c r="P675" i="4" s="1"/>
  <c r="O672" i="4"/>
  <c r="P672" i="4" s="1"/>
  <c r="O671" i="4"/>
  <c r="P671" i="4" s="1"/>
  <c r="O670" i="4"/>
  <c r="P670" i="4" s="1"/>
  <c r="O669" i="4"/>
  <c r="P669" i="4" s="1"/>
  <c r="P673" i="4" s="1"/>
  <c r="G403" i="3"/>
  <c r="F677" i="4"/>
  <c r="G677" i="4" s="1"/>
  <c r="F676" i="4"/>
  <c r="G676" i="4" s="1"/>
  <c r="F675" i="4"/>
  <c r="G675" i="4" s="1"/>
  <c r="G678" i="4" s="1"/>
  <c r="G672" i="4"/>
  <c r="F672" i="4"/>
  <c r="F671" i="4"/>
  <c r="G671" i="4" s="1"/>
  <c r="F670" i="4"/>
  <c r="G670" i="4" s="1"/>
  <c r="F669" i="4"/>
  <c r="G669" i="4" s="1"/>
  <c r="G673" i="4" s="1"/>
  <c r="G402" i="3"/>
  <c r="G369" i="3"/>
  <c r="G363" i="3"/>
  <c r="G398" i="3"/>
  <c r="G397" i="3"/>
  <c r="F659" i="4"/>
  <c r="G659" i="4" s="1"/>
  <c r="G660" i="4" s="1"/>
  <c r="G661" i="4" s="1"/>
  <c r="G656" i="4"/>
  <c r="F656" i="4"/>
  <c r="F655" i="4"/>
  <c r="G655" i="4" s="1"/>
  <c r="F654" i="4"/>
  <c r="G654" i="4" s="1"/>
  <c r="G657" i="4" s="1"/>
  <c r="F651" i="4"/>
  <c r="G651" i="4" s="1"/>
  <c r="F650" i="4"/>
  <c r="G650" i="4" s="1"/>
  <c r="F649" i="4"/>
  <c r="G649" i="4" s="1"/>
  <c r="F648" i="4"/>
  <c r="G648" i="4" s="1"/>
  <c r="G652" i="4" s="1"/>
  <c r="G396" i="3"/>
  <c r="F638" i="4"/>
  <c r="G638" i="4" s="1"/>
  <c r="F637" i="4"/>
  <c r="G637" i="4" s="1"/>
  <c r="F634" i="4"/>
  <c r="G634" i="4" s="1"/>
  <c r="F633" i="4"/>
  <c r="G633" i="4" s="1"/>
  <c r="F632" i="4"/>
  <c r="G632" i="4" s="1"/>
  <c r="F631" i="4"/>
  <c r="G631" i="4" s="1"/>
  <c r="F630" i="4"/>
  <c r="G630" i="4" s="1"/>
  <c r="F629" i="4"/>
  <c r="G629" i="4" s="1"/>
  <c r="F628" i="4"/>
  <c r="G628" i="4" s="1"/>
  <c r="F627" i="4"/>
  <c r="G627" i="4" s="1"/>
  <c r="F626" i="4"/>
  <c r="G626" i="4" s="1"/>
  <c r="G635" i="4" s="1"/>
  <c r="F623" i="4"/>
  <c r="G623" i="4" s="1"/>
  <c r="F622" i="4"/>
  <c r="G622" i="4" s="1"/>
  <c r="F621" i="4"/>
  <c r="G621" i="4" s="1"/>
  <c r="F620" i="4"/>
  <c r="G620" i="4" s="1"/>
  <c r="G624" i="4" s="1"/>
  <c r="E396" i="3"/>
  <c r="G388" i="3"/>
  <c r="G375" i="3"/>
  <c r="G351" i="3"/>
  <c r="G701" i="4" l="1"/>
  <c r="G698" i="4"/>
  <c r="P678" i="4"/>
  <c r="P681" i="4" s="1"/>
  <c r="G681" i="4"/>
  <c r="G663" i="4"/>
  <c r="H645" i="4" s="1"/>
  <c r="G662" i="4"/>
  <c r="G639" i="4"/>
  <c r="G640" i="4" s="1"/>
  <c r="G702" i="4" l="1"/>
  <c r="G703" i="4" s="1"/>
  <c r="H687" i="4" s="1"/>
  <c r="P682" i="4"/>
  <c r="P683" i="4" s="1"/>
  <c r="Q666" i="4" s="1"/>
  <c r="G682" i="4"/>
  <c r="G642" i="4"/>
  <c r="H617" i="4" s="1"/>
  <c r="G641" i="4"/>
  <c r="G683" i="4" l="1"/>
  <c r="H666" i="4" s="1"/>
  <c r="G354" i="3" l="1"/>
  <c r="H354" i="3"/>
  <c r="E355" i="3"/>
  <c r="H355" i="3" s="1"/>
  <c r="E354" i="3"/>
  <c r="E353" i="3"/>
  <c r="H350" i="3"/>
  <c r="G350" i="3"/>
  <c r="E350" i="3"/>
  <c r="E351" i="3"/>
  <c r="H351" i="3" s="1"/>
  <c r="E349" i="3"/>
  <c r="N601" i="4"/>
  <c r="N602" i="4" s="1"/>
  <c r="O605" i="4" s="1"/>
  <c r="P605" i="4" s="1"/>
  <c r="P609" i="4"/>
  <c r="P610" i="4" s="1"/>
  <c r="P608" i="4"/>
  <c r="P607" i="4"/>
  <c r="P606" i="4"/>
  <c r="P603" i="4"/>
  <c r="P600" i="4"/>
  <c r="F605" i="4"/>
  <c r="G605" i="4" s="1"/>
  <c r="E602" i="4"/>
  <c r="G609" i="4"/>
  <c r="G610" i="4" s="1"/>
  <c r="G608" i="4"/>
  <c r="G607" i="4"/>
  <c r="G606" i="4"/>
  <c r="G603" i="4"/>
  <c r="G602" i="4"/>
  <c r="G601" i="4"/>
  <c r="G600" i="4"/>
  <c r="G589" i="4"/>
  <c r="G591" i="4" s="1"/>
  <c r="G590" i="4"/>
  <c r="G586" i="4"/>
  <c r="G585" i="4"/>
  <c r="G584" i="4"/>
  <c r="G583" i="4"/>
  <c r="G582" i="4"/>
  <c r="G587" i="4" s="1"/>
  <c r="G579" i="4"/>
  <c r="G578" i="4"/>
  <c r="G577" i="4"/>
  <c r="G576" i="4"/>
  <c r="P601" i="4" l="1"/>
  <c r="P602" i="4"/>
  <c r="G611" i="4"/>
  <c r="G604" i="4"/>
  <c r="G580" i="4"/>
  <c r="G592" i="4" s="1"/>
  <c r="P604" i="4" l="1"/>
  <c r="P611" i="4" s="1"/>
  <c r="G593" i="4"/>
  <c r="G594" i="4" s="1"/>
  <c r="G612" i="4"/>
  <c r="G613" i="4" s="1"/>
  <c r="H597" i="4" s="1"/>
  <c r="P612" i="4" l="1"/>
  <c r="P613" i="4" s="1"/>
  <c r="Q597" i="4" s="1"/>
  <c r="G374" i="3"/>
  <c r="G373" i="3"/>
  <c r="G352" i="3"/>
  <c r="G382" i="3"/>
  <c r="G389" i="3"/>
  <c r="G387" i="3"/>
  <c r="G386" i="3"/>
  <c r="G380" i="3"/>
  <c r="G376" i="3"/>
  <c r="G348" i="3"/>
  <c r="G381" i="3"/>
  <c r="H573" i="4"/>
  <c r="H364" i="3" l="1"/>
  <c r="H353" i="3"/>
  <c r="F404" i="3"/>
  <c r="F403" i="3"/>
  <c r="F402" i="3"/>
  <c r="F400" i="3"/>
  <c r="F398" i="3"/>
  <c r="F397" i="3"/>
  <c r="F394" i="3"/>
  <c r="F393" i="3"/>
  <c r="E404" i="3"/>
  <c r="H404" i="3" s="1"/>
  <c r="E403" i="3"/>
  <c r="H403" i="3" s="1"/>
  <c r="E402" i="3"/>
  <c r="H402" i="3" s="1"/>
  <c r="E400" i="3"/>
  <c r="H400" i="3" s="1"/>
  <c r="E398" i="3"/>
  <c r="H398" i="3" s="1"/>
  <c r="E397" i="3"/>
  <c r="H397" i="3" s="1"/>
  <c r="H396" i="3"/>
  <c r="E394" i="3"/>
  <c r="H394" i="3" s="1"/>
  <c r="E393" i="3"/>
  <c r="H393" i="3" s="1"/>
  <c r="L214" i="1"/>
  <c r="L213" i="1"/>
  <c r="L212" i="1"/>
  <c r="L211" i="1"/>
  <c r="L207" i="1"/>
  <c r="L206" i="1"/>
  <c r="E389" i="3"/>
  <c r="H389" i="3" s="1"/>
  <c r="E388" i="3"/>
  <c r="H388" i="3" s="1"/>
  <c r="E387" i="3"/>
  <c r="H387" i="3" s="1"/>
  <c r="E386" i="3"/>
  <c r="H386" i="3" s="1"/>
  <c r="E382" i="3"/>
  <c r="H382" i="3" s="1"/>
  <c r="E381" i="3"/>
  <c r="H381" i="3" s="1"/>
  <c r="E380" i="3"/>
  <c r="H380" i="3" s="1"/>
  <c r="E376" i="3"/>
  <c r="H376" i="3" s="1"/>
  <c r="E375" i="3"/>
  <c r="H375" i="3" s="1"/>
  <c r="E374" i="3"/>
  <c r="H374" i="3" s="1"/>
  <c r="E373" i="3"/>
  <c r="H373" i="3" s="1"/>
  <c r="E369" i="3"/>
  <c r="H369" i="3" s="1"/>
  <c r="E368" i="3"/>
  <c r="E367" i="3"/>
  <c r="E366" i="3"/>
  <c r="H366" i="3" s="1"/>
  <c r="E363" i="3"/>
  <c r="H363" i="3" s="1"/>
  <c r="E361" i="3"/>
  <c r="E358" i="3"/>
  <c r="H358" i="3" s="1"/>
  <c r="E357" i="3"/>
  <c r="H357" i="3" s="1"/>
  <c r="E352" i="3"/>
  <c r="H352" i="3" s="1"/>
  <c r="E348" i="3"/>
  <c r="H348" i="3" s="1"/>
  <c r="L169" i="1"/>
  <c r="L170" i="1"/>
  <c r="L179" i="1"/>
  <c r="L178" i="1"/>
  <c r="L177" i="1"/>
  <c r="L176" i="1"/>
  <c r="L173" i="1"/>
  <c r="L172" i="1"/>
  <c r="L167" i="1"/>
  <c r="L166" i="1"/>
  <c r="L165" i="1"/>
  <c r="L164" i="1"/>
  <c r="L199" i="1"/>
  <c r="L197" i="1"/>
  <c r="L196" i="1"/>
  <c r="L198" i="1"/>
  <c r="L192" i="1"/>
  <c r="L191" i="1"/>
  <c r="L190" i="1"/>
  <c r="L186" i="1"/>
  <c r="L185" i="1"/>
  <c r="E185" i="1"/>
  <c r="L184" i="1"/>
  <c r="L183" i="1"/>
  <c r="H339" i="3"/>
  <c r="H338" i="3"/>
  <c r="H337" i="3"/>
  <c r="H336" i="3"/>
  <c r="H335" i="3"/>
  <c r="H334" i="3"/>
  <c r="H333" i="3"/>
  <c r="H332" i="3"/>
  <c r="N33" i="1"/>
  <c r="N39" i="1"/>
  <c r="M126" i="2"/>
  <c r="N126" i="2" s="1"/>
  <c r="M119" i="2"/>
  <c r="N119" i="2" s="1"/>
  <c r="M109" i="2"/>
  <c r="N109" i="2" s="1"/>
  <c r="M99" i="2"/>
  <c r="M88" i="2"/>
  <c r="M77" i="2"/>
  <c r="M64" i="2"/>
  <c r="K126" i="2"/>
  <c r="K125" i="2"/>
  <c r="K122" i="2"/>
  <c r="K119" i="2"/>
  <c r="K118" i="2"/>
  <c r="K115" i="2"/>
  <c r="N38" i="1" s="1"/>
  <c r="G157" i="1"/>
  <c r="H157" i="1"/>
  <c r="F157" i="1"/>
  <c r="J155" i="1"/>
  <c r="I155" i="1"/>
  <c r="H155" i="1"/>
  <c r="J154" i="1"/>
  <c r="I154" i="1"/>
  <c r="H154" i="1"/>
  <c r="I152" i="1"/>
  <c r="H152" i="1"/>
  <c r="J151" i="1"/>
  <c r="I151" i="1"/>
  <c r="H151" i="1"/>
  <c r="G155" i="1"/>
  <c r="G154" i="1"/>
  <c r="G152" i="1"/>
  <c r="G151" i="1"/>
  <c r="F155" i="1"/>
  <c r="F154" i="1"/>
  <c r="F152" i="1"/>
  <c r="F151" i="1"/>
  <c r="E151" i="1"/>
  <c r="E157" i="1" l="1"/>
  <c r="L157" i="1"/>
  <c r="L155" i="1"/>
  <c r="L154" i="1"/>
  <c r="L152" i="1"/>
  <c r="L151" i="1"/>
  <c r="J156" i="1"/>
  <c r="I156" i="1"/>
  <c r="H156" i="1"/>
  <c r="G156" i="1"/>
  <c r="L156" i="1" s="1"/>
  <c r="H148" i="1"/>
  <c r="I148" i="1" s="1"/>
  <c r="G148" i="1"/>
  <c r="F148" i="1"/>
  <c r="L148" i="1" s="1"/>
  <c r="H62" i="3"/>
  <c r="E117" i="3"/>
  <c r="H117" i="3" s="1"/>
  <c r="E328" i="3"/>
  <c r="E279" i="3"/>
  <c r="H279" i="3" s="1"/>
  <c r="E281" i="3"/>
  <c r="E228" i="3"/>
  <c r="E280" i="3"/>
  <c r="H280" i="3" s="1"/>
  <c r="E227" i="3"/>
  <c r="H227" i="3" s="1"/>
  <c r="E226" i="3"/>
  <c r="H226" i="3" s="1"/>
  <c r="E176" i="3"/>
  <c r="E175" i="3"/>
  <c r="H175" i="3" s="1"/>
  <c r="E174" i="3"/>
  <c r="H174" i="3" s="1"/>
  <c r="E115" i="3"/>
  <c r="H115" i="3" s="1"/>
  <c r="E116" i="3"/>
  <c r="H116" i="3" s="1"/>
  <c r="H328" i="3" l="1"/>
  <c r="G146" i="4"/>
  <c r="G167" i="4"/>
  <c r="G186" i="4"/>
  <c r="G205" i="4"/>
  <c r="G223" i="4"/>
  <c r="G242" i="4"/>
  <c r="G243" i="4" s="1"/>
  <c r="G244" i="4" s="1"/>
  <c r="G260" i="4"/>
  <c r="G256" i="4"/>
  <c r="G253" i="4"/>
  <c r="G252" i="4"/>
  <c r="G251" i="4"/>
  <c r="G250" i="4"/>
  <c r="G238" i="4"/>
  <c r="G237" i="4"/>
  <c r="G234" i="4"/>
  <c r="G233" i="4"/>
  <c r="G232" i="4"/>
  <c r="G231" i="4"/>
  <c r="G219" i="4"/>
  <c r="G218" i="4"/>
  <c r="G215" i="4"/>
  <c r="G214" i="4"/>
  <c r="G213" i="4"/>
  <c r="G212" i="4"/>
  <c r="G201" i="4"/>
  <c r="G200" i="4"/>
  <c r="G197" i="4"/>
  <c r="G196" i="4"/>
  <c r="G195" i="4"/>
  <c r="G194" i="4"/>
  <c r="G182" i="4"/>
  <c r="G181" i="4"/>
  <c r="G178" i="4"/>
  <c r="G177" i="4"/>
  <c r="G176" i="4"/>
  <c r="G175" i="4"/>
  <c r="G163" i="4"/>
  <c r="G162" i="4"/>
  <c r="G161" i="4"/>
  <c r="G160" i="4"/>
  <c r="G157" i="4"/>
  <c r="G156" i="4"/>
  <c r="G155" i="4"/>
  <c r="G154" i="4"/>
  <c r="G142" i="4"/>
  <c r="G141" i="4"/>
  <c r="G140" i="4"/>
  <c r="G139" i="4"/>
  <c r="G136" i="4"/>
  <c r="G135" i="4"/>
  <c r="G134" i="4"/>
  <c r="G133" i="4"/>
  <c r="G121" i="4"/>
  <c r="G120" i="4"/>
  <c r="G119" i="4"/>
  <c r="G115" i="4"/>
  <c r="G114" i="4"/>
  <c r="G113" i="4"/>
  <c r="G112" i="4"/>
  <c r="G116" i="4" s="1"/>
  <c r="G41" i="4"/>
  <c r="G35" i="4"/>
  <c r="G44" i="4" s="1"/>
  <c r="G45" i="4" s="1"/>
  <c r="G17" i="4"/>
  <c r="G78" i="4"/>
  <c r="G79" i="4" s="1"/>
  <c r="G75" i="4"/>
  <c r="G74" i="4"/>
  <c r="G73" i="4"/>
  <c r="G72" i="4"/>
  <c r="G76" i="4" s="1"/>
  <c r="G82" i="4" s="1"/>
  <c r="G83" i="4" s="1"/>
  <c r="G60" i="4"/>
  <c r="G59" i="4"/>
  <c r="G61" i="4" s="1"/>
  <c r="G56" i="4"/>
  <c r="G55" i="4"/>
  <c r="G54" i="4"/>
  <c r="G53" i="4"/>
  <c r="G40" i="4"/>
  <c r="G39" i="4"/>
  <c r="G38" i="4"/>
  <c r="G37" i="4"/>
  <c r="G34" i="4"/>
  <c r="G33" i="4"/>
  <c r="G32" i="4"/>
  <c r="G31" i="4"/>
  <c r="G16" i="4"/>
  <c r="G15" i="4"/>
  <c r="G14" i="4"/>
  <c r="G11" i="4"/>
  <c r="G10" i="4"/>
  <c r="G9" i="4"/>
  <c r="G8" i="4"/>
  <c r="G12" i="4" s="1"/>
  <c r="G20" i="4" s="1"/>
  <c r="G21" i="4" s="1"/>
  <c r="P15" i="4"/>
  <c r="P14" i="4"/>
  <c r="P16" i="4" s="1"/>
  <c r="P11" i="4"/>
  <c r="P10" i="4"/>
  <c r="P9" i="4"/>
  <c r="P8" i="4"/>
  <c r="E277" i="3"/>
  <c r="E224" i="3"/>
  <c r="E172" i="3"/>
  <c r="E113" i="3"/>
  <c r="G567" i="4"/>
  <c r="G568" i="4" s="1"/>
  <c r="G545" i="4"/>
  <c r="G543" i="4"/>
  <c r="G565" i="4"/>
  <c r="G562" i="4"/>
  <c r="G561" i="4"/>
  <c r="G560" i="4"/>
  <c r="G559" i="4"/>
  <c r="G558" i="4"/>
  <c r="G555" i="4"/>
  <c r="G554" i="4"/>
  <c r="G553" i="4"/>
  <c r="G552" i="4"/>
  <c r="G540" i="4"/>
  <c r="G539" i="4"/>
  <c r="G538" i="4"/>
  <c r="G537" i="4"/>
  <c r="G534" i="4"/>
  <c r="G533" i="4"/>
  <c r="G532" i="4"/>
  <c r="G531" i="4"/>
  <c r="H281" i="3"/>
  <c r="H228" i="3"/>
  <c r="H176" i="3"/>
  <c r="E75" i="3"/>
  <c r="H75" i="3" s="1"/>
  <c r="G519" i="4"/>
  <c r="G518" i="4"/>
  <c r="G517" i="4"/>
  <c r="G520" i="4" s="1"/>
  <c r="G514" i="4"/>
  <c r="G513" i="4"/>
  <c r="G512" i="4"/>
  <c r="G511" i="4"/>
  <c r="G515" i="4" s="1"/>
  <c r="G499" i="4"/>
  <c r="G500" i="4" s="1"/>
  <c r="G496" i="4"/>
  <c r="G495" i="4"/>
  <c r="G494" i="4"/>
  <c r="G493" i="4"/>
  <c r="G497" i="4" s="1"/>
  <c r="G481" i="4"/>
  <c r="G480" i="4"/>
  <c r="G482" i="4" s="1"/>
  <c r="G477" i="4"/>
  <c r="G476" i="4"/>
  <c r="G475" i="4"/>
  <c r="G474" i="4"/>
  <c r="G478" i="4" s="1"/>
  <c r="G463" i="4"/>
  <c r="G462" i="4"/>
  <c r="G464" i="4" s="1"/>
  <c r="G459" i="4"/>
  <c r="G458" i="4"/>
  <c r="G457" i="4"/>
  <c r="G456" i="4"/>
  <c r="G460" i="4" s="1"/>
  <c r="G444" i="4"/>
  <c r="G443" i="4"/>
  <c r="G445" i="4" s="1"/>
  <c r="G440" i="4"/>
  <c r="G439" i="4"/>
  <c r="G438" i="4"/>
  <c r="G437" i="4"/>
  <c r="G441" i="4" s="1"/>
  <c r="G424" i="4"/>
  <c r="G421" i="4"/>
  <c r="G420" i="4"/>
  <c r="G419" i="4"/>
  <c r="G418" i="4"/>
  <c r="G422" i="4" s="1"/>
  <c r="Q133" i="1"/>
  <c r="P133" i="1"/>
  <c r="Q135" i="1"/>
  <c r="P135" i="1"/>
  <c r="Q134" i="1"/>
  <c r="P134" i="1"/>
  <c r="Q132" i="1"/>
  <c r="P132" i="1"/>
  <c r="P115" i="1"/>
  <c r="O115" i="1"/>
  <c r="P118" i="1"/>
  <c r="O118" i="1"/>
  <c r="P117" i="1"/>
  <c r="O117" i="1"/>
  <c r="P116" i="1"/>
  <c r="O116" i="1"/>
  <c r="P114" i="1"/>
  <c r="O114" i="1"/>
  <c r="O102" i="1"/>
  <c r="N102" i="1"/>
  <c r="O105" i="1"/>
  <c r="N105" i="1"/>
  <c r="O104" i="1"/>
  <c r="N104" i="1"/>
  <c r="O103" i="1"/>
  <c r="N103" i="1"/>
  <c r="O101" i="1"/>
  <c r="N101" i="1"/>
  <c r="O100" i="1"/>
  <c r="N100" i="1"/>
  <c r="O99" i="1"/>
  <c r="N99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E30" i="3" s="1"/>
  <c r="M70" i="1"/>
  <c r="L70" i="1"/>
  <c r="M69" i="1"/>
  <c r="L69" i="1"/>
  <c r="M68" i="1"/>
  <c r="L68" i="1"/>
  <c r="M67" i="1"/>
  <c r="L67" i="1"/>
  <c r="E61" i="3"/>
  <c r="M50" i="2"/>
  <c r="M12" i="2"/>
  <c r="M11" i="2"/>
  <c r="M67" i="2"/>
  <c r="M66" i="2"/>
  <c r="N66" i="2" s="1"/>
  <c r="G205" i="3" s="1"/>
  <c r="H205" i="3" s="1"/>
  <c r="M65" i="2"/>
  <c r="N65" i="2" s="1"/>
  <c r="M53" i="2"/>
  <c r="N53" i="2" s="1"/>
  <c r="M52" i="2"/>
  <c r="N52" i="2" s="1"/>
  <c r="M51" i="2"/>
  <c r="N51" i="2" s="1"/>
  <c r="M39" i="2"/>
  <c r="N39" i="2" s="1"/>
  <c r="M38" i="2"/>
  <c r="N38" i="2" s="1"/>
  <c r="M37" i="2"/>
  <c r="N37" i="2" s="1"/>
  <c r="M26" i="2"/>
  <c r="N26" i="2" s="1"/>
  <c r="M25" i="2"/>
  <c r="N25" i="2" s="1"/>
  <c r="M24" i="2"/>
  <c r="N24" i="2"/>
  <c r="M14" i="2"/>
  <c r="N14" i="2" s="1"/>
  <c r="M13" i="2"/>
  <c r="N13" i="2" s="1"/>
  <c r="P40" i="4"/>
  <c r="P39" i="4"/>
  <c r="P38" i="4"/>
  <c r="P37" i="4"/>
  <c r="P34" i="4"/>
  <c r="P33" i="4"/>
  <c r="P32" i="4"/>
  <c r="P31" i="4"/>
  <c r="P35" i="4" s="1"/>
  <c r="P182" i="4"/>
  <c r="P181" i="4"/>
  <c r="P183" i="4" s="1"/>
  <c r="P178" i="4"/>
  <c r="P177" i="4"/>
  <c r="P176" i="4"/>
  <c r="P175" i="4"/>
  <c r="P179" i="4" s="1"/>
  <c r="F118" i="4"/>
  <c r="G118" i="4" s="1"/>
  <c r="G122" i="4" s="1"/>
  <c r="F96" i="4"/>
  <c r="G96" i="4"/>
  <c r="G99" i="4"/>
  <c r="G98" i="4"/>
  <c r="G97" i="4"/>
  <c r="G93" i="4"/>
  <c r="G92" i="4"/>
  <c r="G91" i="4"/>
  <c r="G90" i="4"/>
  <c r="G94" i="4" s="1"/>
  <c r="J58" i="1"/>
  <c r="J57" i="1"/>
  <c r="J56" i="1"/>
  <c r="J55" i="1"/>
  <c r="J54" i="1"/>
  <c r="J53" i="1"/>
  <c r="J52" i="1"/>
  <c r="J51" i="1"/>
  <c r="J50" i="1"/>
  <c r="L58" i="1"/>
  <c r="L57" i="1"/>
  <c r="L56" i="1"/>
  <c r="L55" i="1"/>
  <c r="L54" i="1"/>
  <c r="L53" i="1"/>
  <c r="L52" i="1"/>
  <c r="L51" i="1"/>
  <c r="L50" i="1"/>
  <c r="G259" i="3"/>
  <c r="H259" i="3" s="1"/>
  <c r="G148" i="3"/>
  <c r="H148" i="3" s="1"/>
  <c r="G95" i="3"/>
  <c r="H95" i="3" s="1"/>
  <c r="E89" i="3"/>
  <c r="K64" i="2"/>
  <c r="K63" i="2"/>
  <c r="K62" i="2"/>
  <c r="K59" i="2"/>
  <c r="N68" i="2"/>
  <c r="N67" i="2"/>
  <c r="K72" i="2"/>
  <c r="K75" i="2"/>
  <c r="K76" i="2"/>
  <c r="K77" i="2"/>
  <c r="N77" i="2" s="1"/>
  <c r="K84" i="2"/>
  <c r="N54" i="2"/>
  <c r="N40" i="2"/>
  <c r="N27" i="2"/>
  <c r="N15" i="2"/>
  <c r="G406" i="4"/>
  <c r="G407" i="4" s="1"/>
  <c r="G403" i="4"/>
  <c r="G402" i="4"/>
  <c r="G401" i="4"/>
  <c r="G400" i="4"/>
  <c r="G404" i="4" s="1"/>
  <c r="F118" i="2"/>
  <c r="F117" i="2"/>
  <c r="F104" i="2"/>
  <c r="F91" i="2"/>
  <c r="F77" i="2"/>
  <c r="F105" i="2"/>
  <c r="F92" i="2"/>
  <c r="F78" i="2"/>
  <c r="F66" i="2"/>
  <c r="F52" i="2"/>
  <c r="F39" i="2"/>
  <c r="G388" i="4"/>
  <c r="G389" i="4" s="1"/>
  <c r="G385" i="4"/>
  <c r="G384" i="4"/>
  <c r="G383" i="4"/>
  <c r="G382" i="4"/>
  <c r="F26" i="2"/>
  <c r="G370" i="4"/>
  <c r="G371" i="4" s="1"/>
  <c r="G367" i="4"/>
  <c r="G366" i="4"/>
  <c r="G365" i="4"/>
  <c r="G364" i="4"/>
  <c r="G352" i="4"/>
  <c r="G351" i="4"/>
  <c r="G350" i="4"/>
  <c r="G347" i="4"/>
  <c r="G346" i="4"/>
  <c r="G345" i="4"/>
  <c r="G344" i="4"/>
  <c r="G333" i="4"/>
  <c r="G332" i="4"/>
  <c r="G331" i="4"/>
  <c r="G328" i="4"/>
  <c r="G327" i="4"/>
  <c r="G326" i="4"/>
  <c r="G325" i="4"/>
  <c r="G313" i="4"/>
  <c r="G314" i="4" s="1"/>
  <c r="G310" i="4"/>
  <c r="G309" i="4"/>
  <c r="G308" i="4"/>
  <c r="G307" i="4"/>
  <c r="G311" i="4" s="1"/>
  <c r="G317" i="4" s="1"/>
  <c r="G318" i="4" s="1"/>
  <c r="G295" i="4"/>
  <c r="G296" i="4" s="1"/>
  <c r="G292" i="4"/>
  <c r="G291" i="4"/>
  <c r="G290" i="4"/>
  <c r="G289" i="4"/>
  <c r="G277" i="4"/>
  <c r="G276" i="4"/>
  <c r="G275" i="4"/>
  <c r="G272" i="4"/>
  <c r="G271" i="4"/>
  <c r="G270" i="4"/>
  <c r="G269" i="4"/>
  <c r="F14" i="2"/>
  <c r="L39" i="1"/>
  <c r="L38" i="1"/>
  <c r="L33" i="1"/>
  <c r="L32" i="1"/>
  <c r="L31" i="1"/>
  <c r="L21" i="1"/>
  <c r="K105" i="2"/>
  <c r="P36" i="1" s="1"/>
  <c r="K95" i="2"/>
  <c r="R35" i="1" s="1"/>
  <c r="S34" i="1"/>
  <c r="K45" i="2"/>
  <c r="O32" i="1" s="1"/>
  <c r="K32" i="2"/>
  <c r="P31" i="1" s="1"/>
  <c r="K19" i="2"/>
  <c r="S30" i="1" s="1"/>
  <c r="K6" i="2"/>
  <c r="S28" i="1" s="1"/>
  <c r="C110" i="2"/>
  <c r="O27" i="1" s="1"/>
  <c r="C97" i="2"/>
  <c r="Q26" i="1" s="1"/>
  <c r="C84" i="2"/>
  <c r="C70" i="2"/>
  <c r="R25" i="1" s="1"/>
  <c r="C59" i="2"/>
  <c r="S24" i="1" s="1"/>
  <c r="C45" i="2"/>
  <c r="C32" i="2"/>
  <c r="S23" i="1" s="1"/>
  <c r="C6" i="2"/>
  <c r="R21" i="1" s="1"/>
  <c r="C19" i="2"/>
  <c r="K109" i="2"/>
  <c r="K108" i="2"/>
  <c r="K99" i="2"/>
  <c r="N99" i="2" s="1"/>
  <c r="K98" i="2"/>
  <c r="K88" i="2"/>
  <c r="N88" i="2" s="1"/>
  <c r="K87" i="2"/>
  <c r="K50" i="2"/>
  <c r="N50" i="2" s="1"/>
  <c r="K48" i="2"/>
  <c r="K49" i="2"/>
  <c r="K36" i="2"/>
  <c r="K35" i="2"/>
  <c r="K23" i="2"/>
  <c r="K22" i="2"/>
  <c r="K11" i="2"/>
  <c r="K12" i="2"/>
  <c r="K10" i="2"/>
  <c r="C114" i="2"/>
  <c r="C113" i="2"/>
  <c r="C101" i="2"/>
  <c r="C100" i="2"/>
  <c r="C88" i="2"/>
  <c r="C87" i="2"/>
  <c r="C73" i="2"/>
  <c r="C74" i="2"/>
  <c r="C63" i="2"/>
  <c r="C62" i="2"/>
  <c r="C49" i="2"/>
  <c r="C48" i="2"/>
  <c r="C36" i="2"/>
  <c r="C35" i="2"/>
  <c r="C23" i="2"/>
  <c r="C22" i="2"/>
  <c r="C11" i="2"/>
  <c r="C10" i="2"/>
  <c r="J136" i="1"/>
  <c r="E296" i="3" s="1"/>
  <c r="E324" i="3" s="1"/>
  <c r="G92" i="1"/>
  <c r="E136" i="3" s="1"/>
  <c r="H102" i="1"/>
  <c r="H97" i="1"/>
  <c r="J130" i="1"/>
  <c r="H110" i="1"/>
  <c r="H101" i="1"/>
  <c r="H100" i="1"/>
  <c r="J14" i="1"/>
  <c r="J13" i="1"/>
  <c r="E297" i="3" s="1"/>
  <c r="L37" i="1"/>
  <c r="I127" i="1"/>
  <c r="I121" i="1"/>
  <c r="I120" i="1"/>
  <c r="I117" i="1"/>
  <c r="I115" i="1"/>
  <c r="I112" i="1"/>
  <c r="I14" i="1"/>
  <c r="I13" i="1"/>
  <c r="H228" i="4" l="1"/>
  <c r="G368" i="3"/>
  <c r="H368" i="3" s="1"/>
  <c r="G485" i="4"/>
  <c r="G486" i="4" s="1"/>
  <c r="G410" i="4"/>
  <c r="G411" i="4" s="1"/>
  <c r="G448" i="4"/>
  <c r="G449" i="4" s="1"/>
  <c r="P12" i="4"/>
  <c r="G467" i="4"/>
  <c r="G468" i="4" s="1"/>
  <c r="G57" i="4"/>
  <c r="G125" i="4"/>
  <c r="G273" i="4"/>
  <c r="G523" i="4"/>
  <c r="G524" i="4" s="1"/>
  <c r="P19" i="4"/>
  <c r="G503" i="4"/>
  <c r="P186" i="4"/>
  <c r="G64" i="4"/>
  <c r="G65" i="4" s="1"/>
  <c r="G324" i="3"/>
  <c r="G56" i="3"/>
  <c r="G273" i="3"/>
  <c r="G220" i="3"/>
  <c r="G168" i="3"/>
  <c r="G109" i="3"/>
  <c r="G100" i="4"/>
  <c r="G103" i="4" s="1"/>
  <c r="G104" i="4" s="1"/>
  <c r="G353" i="4"/>
  <c r="G356" i="4" s="1"/>
  <c r="G368" i="4"/>
  <c r="G374" i="4" s="1"/>
  <c r="G425" i="4"/>
  <c r="G426" i="4" s="1"/>
  <c r="G429" i="4" s="1"/>
  <c r="G546" i="4"/>
  <c r="G547" i="4" s="1"/>
  <c r="H528" i="4" s="1"/>
  <c r="G334" i="4"/>
  <c r="Q136" i="1"/>
  <c r="E293" i="3" s="1"/>
  <c r="P119" i="1"/>
  <c r="E240" i="3" s="1"/>
  <c r="E244" i="3"/>
  <c r="E250" i="3" s="1"/>
  <c r="N106" i="1"/>
  <c r="E196" i="3" s="1"/>
  <c r="O106" i="1"/>
  <c r="E188" i="3" s="1"/>
  <c r="P136" i="1"/>
  <c r="E301" i="3" s="1"/>
  <c r="G261" i="4"/>
  <c r="G262" i="4" s="1"/>
  <c r="H247" i="4" s="1"/>
  <c r="G224" i="4"/>
  <c r="G225" i="4" s="1"/>
  <c r="H209" i="4" s="1"/>
  <c r="G206" i="4"/>
  <c r="G207" i="4" s="1"/>
  <c r="H191" i="4" s="1"/>
  <c r="G187" i="4"/>
  <c r="G188" i="4" s="1"/>
  <c r="H172" i="4" s="1"/>
  <c r="G168" i="4"/>
  <c r="G169" i="4" s="1"/>
  <c r="H151" i="4" s="1"/>
  <c r="G147" i="4"/>
  <c r="G148" i="4" s="1"/>
  <c r="H130" i="4" s="1"/>
  <c r="G126" i="4"/>
  <c r="G127" i="4" s="1"/>
  <c r="H109" i="4" s="1"/>
  <c r="G361" i="3" s="1"/>
  <c r="H361" i="3" s="1"/>
  <c r="G525" i="4"/>
  <c r="H508" i="4" s="1"/>
  <c r="G319" i="4"/>
  <c r="H304" i="4" s="1"/>
  <c r="L304" i="4" s="1"/>
  <c r="M23" i="2" s="1"/>
  <c r="N23" i="2" s="1"/>
  <c r="G84" i="4"/>
  <c r="H69" i="4" s="1"/>
  <c r="G66" i="4"/>
  <c r="H50" i="4" s="1"/>
  <c r="G46" i="4"/>
  <c r="H28" i="4" s="1"/>
  <c r="G22" i="4"/>
  <c r="H5" i="4" s="1"/>
  <c r="P41" i="4"/>
  <c r="P44" i="4" s="1"/>
  <c r="P45" i="4" s="1"/>
  <c r="G569" i="4"/>
  <c r="H549" i="4" s="1"/>
  <c r="G487" i="4"/>
  <c r="H471" i="4" s="1"/>
  <c r="E303" i="3"/>
  <c r="H297" i="3"/>
  <c r="M96" i="1"/>
  <c r="E137" i="3" s="1"/>
  <c r="O119" i="1"/>
  <c r="E248" i="3" s="1"/>
  <c r="N96" i="1"/>
  <c r="E129" i="3" s="1"/>
  <c r="J59" i="1"/>
  <c r="E27" i="3" s="1"/>
  <c r="L81" i="1"/>
  <c r="E83" i="3" s="1"/>
  <c r="M81" i="1"/>
  <c r="E74" i="3" s="1"/>
  <c r="N64" i="2"/>
  <c r="N12" i="2"/>
  <c r="N11" i="2"/>
  <c r="G329" i="4"/>
  <c r="G386" i="4"/>
  <c r="G348" i="4"/>
  <c r="G278" i="4"/>
  <c r="G281" i="4" s="1"/>
  <c r="G293" i="4"/>
  <c r="G299" i="4" s="1"/>
  <c r="G392" i="4"/>
  <c r="L59" i="1"/>
  <c r="E300" i="3"/>
  <c r="H300" i="3" s="1"/>
  <c r="I124" i="1"/>
  <c r="H324" i="3"/>
  <c r="G412" i="4"/>
  <c r="H397" i="4" s="1"/>
  <c r="P22" i="1"/>
  <c r="Q22" i="1"/>
  <c r="R22" i="1"/>
  <c r="S22" i="1"/>
  <c r="N23" i="1"/>
  <c r="O23" i="1"/>
  <c r="P23" i="1"/>
  <c r="Q23" i="1"/>
  <c r="R23" i="1"/>
  <c r="S25" i="1"/>
  <c r="N31" i="1"/>
  <c r="N20" i="1"/>
  <c r="O31" i="1"/>
  <c r="O20" i="1"/>
  <c r="Q31" i="1"/>
  <c r="P20" i="1"/>
  <c r="R31" i="1"/>
  <c r="Q20" i="1"/>
  <c r="S31" i="1"/>
  <c r="S35" i="1"/>
  <c r="N36" i="1"/>
  <c r="R20" i="1"/>
  <c r="O36" i="1"/>
  <c r="Q36" i="1"/>
  <c r="R36" i="1"/>
  <c r="S20" i="1"/>
  <c r="S21" i="1"/>
  <c r="S36" i="1"/>
  <c r="N37" i="1"/>
  <c r="N21" i="1"/>
  <c r="O21" i="1"/>
  <c r="P21" i="1"/>
  <c r="N22" i="1"/>
  <c r="S26" i="1"/>
  <c r="P27" i="1"/>
  <c r="P32" i="1"/>
  <c r="Q27" i="1"/>
  <c r="Q32" i="1"/>
  <c r="R27" i="1"/>
  <c r="R32" i="1"/>
  <c r="S27" i="1"/>
  <c r="S32" i="1"/>
  <c r="N24" i="1"/>
  <c r="N28" i="1"/>
  <c r="N34" i="1"/>
  <c r="O24" i="1"/>
  <c r="O28" i="1"/>
  <c r="O34" i="1"/>
  <c r="P24" i="1"/>
  <c r="P28" i="1"/>
  <c r="P34" i="1"/>
  <c r="Q24" i="1"/>
  <c r="Q28" i="1"/>
  <c r="Q34" i="1"/>
  <c r="R24" i="1"/>
  <c r="R28" i="1"/>
  <c r="R34" i="1"/>
  <c r="N25" i="1"/>
  <c r="N30" i="1"/>
  <c r="N35" i="1"/>
  <c r="O25" i="1"/>
  <c r="O30" i="1"/>
  <c r="O35" i="1"/>
  <c r="P25" i="1"/>
  <c r="P30" i="1"/>
  <c r="P35" i="1"/>
  <c r="Q21" i="1"/>
  <c r="Q25" i="1"/>
  <c r="Q30" i="1"/>
  <c r="Q35" i="1"/>
  <c r="R30" i="1"/>
  <c r="R26" i="1"/>
  <c r="N26" i="1"/>
  <c r="O26" i="1"/>
  <c r="P26" i="1"/>
  <c r="N27" i="1"/>
  <c r="N32" i="1"/>
  <c r="J137" i="1"/>
  <c r="H107" i="1"/>
  <c r="E191" i="3" s="1"/>
  <c r="E195" i="3" s="1"/>
  <c r="H96" i="1"/>
  <c r="G86" i="1"/>
  <c r="H14" i="1"/>
  <c r="H13" i="1"/>
  <c r="E192" i="3" s="1"/>
  <c r="H192" i="3" s="1"/>
  <c r="L36" i="1"/>
  <c r="L35" i="1"/>
  <c r="L34" i="1"/>
  <c r="L30" i="1"/>
  <c r="L29" i="1"/>
  <c r="L28" i="1"/>
  <c r="L27" i="1"/>
  <c r="L26" i="1"/>
  <c r="L25" i="1"/>
  <c r="L24" i="1"/>
  <c r="L23" i="1"/>
  <c r="L20" i="1"/>
  <c r="G14" i="1"/>
  <c r="G13" i="1"/>
  <c r="F84" i="1"/>
  <c r="F80" i="1"/>
  <c r="F79" i="1"/>
  <c r="F78" i="1"/>
  <c r="F77" i="1"/>
  <c r="F76" i="1"/>
  <c r="F74" i="1"/>
  <c r="F73" i="1"/>
  <c r="F72" i="1"/>
  <c r="F71" i="1"/>
  <c r="F70" i="1"/>
  <c r="F69" i="1"/>
  <c r="F68" i="1"/>
  <c r="F67" i="1"/>
  <c r="F65" i="1"/>
  <c r="E78" i="3" s="1"/>
  <c r="E109" i="3" s="1"/>
  <c r="F22" i="1"/>
  <c r="L22" i="1" s="1"/>
  <c r="F14" i="1"/>
  <c r="J16" i="1"/>
  <c r="I16" i="1"/>
  <c r="F13" i="1"/>
  <c r="E48" i="1"/>
  <c r="E61" i="1"/>
  <c r="E60" i="1"/>
  <c r="E59" i="1"/>
  <c r="E58" i="1"/>
  <c r="E57" i="1"/>
  <c r="E56" i="1"/>
  <c r="E55" i="1"/>
  <c r="E54" i="1"/>
  <c r="E53" i="1"/>
  <c r="E52" i="1"/>
  <c r="E51" i="1"/>
  <c r="E49" i="1"/>
  <c r="E14" i="1"/>
  <c r="E13" i="1"/>
  <c r="G469" i="4" l="1"/>
  <c r="H453" i="4" s="1"/>
  <c r="G450" i="4"/>
  <c r="H434" i="4" s="1"/>
  <c r="G337" i="4"/>
  <c r="G430" i="4"/>
  <c r="G431" i="4"/>
  <c r="H415" i="4" s="1"/>
  <c r="G338" i="4"/>
  <c r="G339" i="4"/>
  <c r="H322" i="4" s="1"/>
  <c r="G30" i="3"/>
  <c r="H30" i="3" s="1"/>
  <c r="G240" i="3"/>
  <c r="H240" i="3" s="1"/>
  <c r="G188" i="3"/>
  <c r="H188" i="3" s="1"/>
  <c r="G129" i="3"/>
  <c r="H129" i="3" s="1"/>
  <c r="G74" i="3"/>
  <c r="H74" i="3" s="1"/>
  <c r="G293" i="3"/>
  <c r="H293" i="3" s="1"/>
  <c r="G57" i="3"/>
  <c r="G325" i="3"/>
  <c r="H325" i="3" s="1"/>
  <c r="G274" i="3"/>
  <c r="H274" i="3" s="1"/>
  <c r="G221" i="3"/>
  <c r="H221" i="3" s="1"/>
  <c r="G169" i="3"/>
  <c r="H169" i="3" s="1"/>
  <c r="G110" i="3"/>
  <c r="H110" i="3" s="1"/>
  <c r="G267" i="3"/>
  <c r="H267" i="3" s="1"/>
  <c r="G215" i="3"/>
  <c r="H215" i="3" s="1"/>
  <c r="G161" i="3"/>
  <c r="H161" i="3" s="1"/>
  <c r="G317" i="3"/>
  <c r="H317" i="3" s="1"/>
  <c r="G104" i="3"/>
  <c r="H104" i="3" s="1"/>
  <c r="G277" i="3"/>
  <c r="H277" i="3" s="1"/>
  <c r="G224" i="3"/>
  <c r="H224" i="3" s="1"/>
  <c r="G61" i="3"/>
  <c r="H61" i="3" s="1"/>
  <c r="G172" i="3"/>
  <c r="H172" i="3" s="1"/>
  <c r="G113" i="3"/>
  <c r="H113" i="3" s="1"/>
  <c r="G216" i="3"/>
  <c r="G162" i="3"/>
  <c r="G268" i="3"/>
  <c r="G105" i="3"/>
  <c r="G318" i="3"/>
  <c r="H318" i="3" s="1"/>
  <c r="G108" i="3"/>
  <c r="G323" i="3"/>
  <c r="G219" i="3"/>
  <c r="G272" i="3"/>
  <c r="G167" i="3"/>
  <c r="G55" i="3"/>
  <c r="G357" i="4"/>
  <c r="G358" i="4" s="1"/>
  <c r="H341" i="4" s="1"/>
  <c r="G375" i="4"/>
  <c r="G376" i="4" s="1"/>
  <c r="H361" i="4" s="1"/>
  <c r="G302" i="3"/>
  <c r="G197" i="3"/>
  <c r="G249" i="3"/>
  <c r="G138" i="3"/>
  <c r="G84" i="3"/>
  <c r="G28" i="3"/>
  <c r="G303" i="3"/>
  <c r="H303" i="3" s="1"/>
  <c r="G198" i="3"/>
  <c r="G250" i="3"/>
  <c r="H250" i="3" s="1"/>
  <c r="G139" i="3"/>
  <c r="G85" i="3"/>
  <c r="G29" i="3"/>
  <c r="G212" i="3"/>
  <c r="H212" i="3" s="1"/>
  <c r="G264" i="3"/>
  <c r="H264" i="3" s="1"/>
  <c r="G158" i="3"/>
  <c r="H158" i="3" s="1"/>
  <c r="G101" i="3"/>
  <c r="H101" i="3" s="1"/>
  <c r="G314" i="3"/>
  <c r="H314" i="3" s="1"/>
  <c r="G393" i="4"/>
  <c r="G394" i="4" s="1"/>
  <c r="G300" i="4"/>
  <c r="G301" i="4" s="1"/>
  <c r="G282" i="4"/>
  <c r="G283" i="4" s="1"/>
  <c r="H266" i="4" s="1"/>
  <c r="G239" i="3"/>
  <c r="G19" i="3"/>
  <c r="G187" i="3"/>
  <c r="G128" i="3"/>
  <c r="G73" i="3"/>
  <c r="G292" i="3"/>
  <c r="G105" i="4"/>
  <c r="H87" i="4" s="1"/>
  <c r="P187" i="4"/>
  <c r="P188" i="4" s="1"/>
  <c r="Q172" i="4" s="1"/>
  <c r="G367" i="3" s="1"/>
  <c r="H367" i="3" s="1"/>
  <c r="H406" i="3" s="1"/>
  <c r="G504" i="4"/>
  <c r="G505" i="4" s="1"/>
  <c r="H490" i="4" s="1"/>
  <c r="M63" i="2"/>
  <c r="N63" i="2" s="1"/>
  <c r="N69" i="2" s="1"/>
  <c r="N70" i="2" s="1"/>
  <c r="G39" i="3" s="1"/>
  <c r="H39" i="3" s="1"/>
  <c r="M76" i="2"/>
  <c r="N76" i="2" s="1"/>
  <c r="M49" i="2"/>
  <c r="N49" i="2" s="1"/>
  <c r="N55" i="2" s="1"/>
  <c r="N56" i="2" s="1"/>
  <c r="G206" i="3" s="1"/>
  <c r="H206" i="3" s="1"/>
  <c r="P46" i="4"/>
  <c r="Q28" i="4" s="1"/>
  <c r="P20" i="4"/>
  <c r="P21" i="4" s="1"/>
  <c r="Q5" i="4" s="1"/>
  <c r="G213" i="3"/>
  <c r="H213" i="3" s="1"/>
  <c r="G265" i="3"/>
  <c r="H265" i="3" s="1"/>
  <c r="G159" i="3"/>
  <c r="G102" i="3"/>
  <c r="H102" i="3" s="1"/>
  <c r="G315" i="3"/>
  <c r="H315" i="3" s="1"/>
  <c r="M36" i="2"/>
  <c r="N36" i="2" s="1"/>
  <c r="H244" i="3"/>
  <c r="E79" i="3"/>
  <c r="H79" i="3" s="1"/>
  <c r="H109" i="3"/>
  <c r="G48" i="3"/>
  <c r="H48" i="3" s="1"/>
  <c r="H159" i="3"/>
  <c r="G51" i="3"/>
  <c r="H51" i="3" s="1"/>
  <c r="H268" i="3"/>
  <c r="H216" i="3"/>
  <c r="H162" i="3"/>
  <c r="H105" i="3"/>
  <c r="G50" i="3"/>
  <c r="H50" i="3" s="1"/>
  <c r="G47" i="3"/>
  <c r="H47" i="3" s="1"/>
  <c r="E138" i="3"/>
  <c r="E133" i="3"/>
  <c r="H133" i="3" s="1"/>
  <c r="E198" i="3"/>
  <c r="H198" i="3" s="1"/>
  <c r="E302" i="3"/>
  <c r="H195" i="3"/>
  <c r="E197" i="3"/>
  <c r="E23" i="3"/>
  <c r="E75" i="2"/>
  <c r="F75" i="2" s="1"/>
  <c r="E89" i="2"/>
  <c r="F89" i="2" s="1"/>
  <c r="E102" i="2"/>
  <c r="F102" i="2" s="1"/>
  <c r="E115" i="2"/>
  <c r="F115" i="2" s="1"/>
  <c r="E62" i="1"/>
  <c r="E26" i="3" s="1"/>
  <c r="E28" i="3" s="1"/>
  <c r="E243" i="3"/>
  <c r="E247" i="3"/>
  <c r="I125" i="1"/>
  <c r="E220" i="3"/>
  <c r="H220" i="3" s="1"/>
  <c r="G93" i="1"/>
  <c r="E132" i="3"/>
  <c r="H136" i="3"/>
  <c r="N142" i="1"/>
  <c r="E22" i="3"/>
  <c r="O22" i="1"/>
  <c r="O40" i="1" s="1"/>
  <c r="R40" i="1"/>
  <c r="E236" i="3" s="1"/>
  <c r="P40" i="1"/>
  <c r="N40" i="1"/>
  <c r="S40" i="1"/>
  <c r="E289" i="3" s="1"/>
  <c r="Q40" i="1"/>
  <c r="H108" i="1"/>
  <c r="G16" i="1"/>
  <c r="F81" i="1"/>
  <c r="E16" i="1"/>
  <c r="H16" i="1"/>
  <c r="F16" i="1"/>
  <c r="H379" i="4" l="1"/>
  <c r="E51" i="2"/>
  <c r="F51" i="2" s="1"/>
  <c r="E76" i="2"/>
  <c r="F76" i="2" s="1"/>
  <c r="H197" i="3"/>
  <c r="H138" i="3"/>
  <c r="H302" i="3"/>
  <c r="H28" i="3"/>
  <c r="E37" i="2"/>
  <c r="F37" i="2" s="1"/>
  <c r="E12" i="2"/>
  <c r="F12" i="2" s="1"/>
  <c r="E24" i="2"/>
  <c r="F24" i="2" s="1"/>
  <c r="E64" i="2"/>
  <c r="F64" i="2" s="1"/>
  <c r="E50" i="2"/>
  <c r="F50" i="2" s="1"/>
  <c r="G22" i="3"/>
  <c r="G296" i="3"/>
  <c r="H296" i="3" s="1"/>
  <c r="G243" i="3"/>
  <c r="H243" i="3" s="1"/>
  <c r="G191" i="3"/>
  <c r="H191" i="3" s="1"/>
  <c r="G132" i="3"/>
  <c r="G78" i="3"/>
  <c r="H78" i="3" s="1"/>
  <c r="G289" i="3"/>
  <c r="H289" i="3" s="1"/>
  <c r="G237" i="3"/>
  <c r="G17" i="3"/>
  <c r="G185" i="3"/>
  <c r="G236" i="3"/>
  <c r="H236" i="3" s="1"/>
  <c r="G16" i="3"/>
  <c r="G184" i="3"/>
  <c r="G126" i="3"/>
  <c r="G125" i="3"/>
  <c r="G71" i="3"/>
  <c r="G70" i="3"/>
  <c r="G290" i="3"/>
  <c r="E23" i="2"/>
  <c r="F23" i="2" s="1"/>
  <c r="E101" i="2"/>
  <c r="F101" i="2" s="1"/>
  <c r="E11" i="2"/>
  <c r="F11" i="2" s="1"/>
  <c r="E114" i="2"/>
  <c r="F114" i="2" s="1"/>
  <c r="F119" i="2" s="1"/>
  <c r="F120" i="2" s="1"/>
  <c r="G37" i="3" s="1"/>
  <c r="H37" i="3" s="1"/>
  <c r="E74" i="2"/>
  <c r="F74" i="2" s="1"/>
  <c r="E88" i="2"/>
  <c r="F88" i="2" s="1"/>
  <c r="E36" i="2"/>
  <c r="F36" i="2" s="1"/>
  <c r="E49" i="2"/>
  <c r="F49" i="2" s="1"/>
  <c r="E63" i="2"/>
  <c r="F63" i="2" s="1"/>
  <c r="F106" i="2"/>
  <c r="F107" i="2" s="1"/>
  <c r="G238" i="3"/>
  <c r="G18" i="3"/>
  <c r="G186" i="3"/>
  <c r="G127" i="3"/>
  <c r="G291" i="3"/>
  <c r="G72" i="3"/>
  <c r="L286" i="4"/>
  <c r="H286" i="4"/>
  <c r="E90" i="2"/>
  <c r="F90" i="2" s="1"/>
  <c r="G27" i="3"/>
  <c r="H27" i="3" s="1"/>
  <c r="G301" i="3"/>
  <c r="H301" i="3" s="1"/>
  <c r="G248" i="3"/>
  <c r="H248" i="3" s="1"/>
  <c r="G196" i="3"/>
  <c r="H196" i="3" s="1"/>
  <c r="G137" i="3"/>
  <c r="H137" i="3" s="1"/>
  <c r="G83" i="3"/>
  <c r="H83" i="3" s="1"/>
  <c r="E116" i="2"/>
  <c r="F116" i="2" s="1"/>
  <c r="E103" i="2"/>
  <c r="F103" i="2" s="1"/>
  <c r="E65" i="2"/>
  <c r="F65" i="2" s="1"/>
  <c r="G266" i="3"/>
  <c r="H266" i="3" s="1"/>
  <c r="G214" i="3"/>
  <c r="H214" i="3" s="1"/>
  <c r="G160" i="3"/>
  <c r="H160" i="3" s="1"/>
  <c r="G316" i="3"/>
  <c r="H316" i="3" s="1"/>
  <c r="G103" i="3"/>
  <c r="H103" i="3" s="1"/>
  <c r="G49" i="3"/>
  <c r="H49" i="3" s="1"/>
  <c r="E38" i="2"/>
  <c r="F38" i="2" s="1"/>
  <c r="M48" i="2"/>
  <c r="N48" i="2" s="1"/>
  <c r="M108" i="2"/>
  <c r="N108" i="2" s="1"/>
  <c r="N110" i="2" s="1"/>
  <c r="N111" i="2" s="1"/>
  <c r="G153" i="3" s="1"/>
  <c r="H153" i="3" s="1"/>
  <c r="M75" i="2"/>
  <c r="N75" i="2" s="1"/>
  <c r="N78" i="2" s="1"/>
  <c r="N79" i="2" s="1"/>
  <c r="M125" i="2"/>
  <c r="N125" i="2" s="1"/>
  <c r="M118" i="2"/>
  <c r="N118" i="2" s="1"/>
  <c r="N120" i="2" s="1"/>
  <c r="M98" i="2"/>
  <c r="N98" i="2" s="1"/>
  <c r="M87" i="2"/>
  <c r="N87" i="2" s="1"/>
  <c r="N89" i="2" s="1"/>
  <c r="N90" i="2" s="1"/>
  <c r="M22" i="2"/>
  <c r="N22" i="2" s="1"/>
  <c r="N28" i="2" s="1"/>
  <c r="N29" i="2" s="1"/>
  <c r="G93" i="3" s="1"/>
  <c r="H93" i="3" s="1"/>
  <c r="E10" i="2"/>
  <c r="F10" i="2" s="1"/>
  <c r="E87" i="2"/>
  <c r="F87" i="2" s="1"/>
  <c r="E73" i="2"/>
  <c r="F73" i="2" s="1"/>
  <c r="M62" i="2"/>
  <c r="N62" i="2" s="1"/>
  <c r="E100" i="2"/>
  <c r="F100" i="2" s="1"/>
  <c r="E113" i="2"/>
  <c r="F113" i="2" s="1"/>
  <c r="E62" i="2"/>
  <c r="F62" i="2" s="1"/>
  <c r="E22" i="2"/>
  <c r="F22" i="2" s="1"/>
  <c r="E48" i="2"/>
  <c r="F48" i="2" s="1"/>
  <c r="E35" i="2"/>
  <c r="F35" i="2" s="1"/>
  <c r="M35" i="2"/>
  <c r="N35" i="2" s="1"/>
  <c r="N41" i="2" s="1"/>
  <c r="N42" i="2" s="1"/>
  <c r="G38" i="3" s="1"/>
  <c r="H38" i="3" s="1"/>
  <c r="M10" i="2"/>
  <c r="N10" i="2" s="1"/>
  <c r="N16" i="2" s="1"/>
  <c r="N17" i="2" s="1"/>
  <c r="G92" i="3" s="1"/>
  <c r="H92" i="3" s="1"/>
  <c r="E25" i="2"/>
  <c r="F25" i="2" s="1"/>
  <c r="G94" i="3"/>
  <c r="H94" i="3" s="1"/>
  <c r="G150" i="3"/>
  <c r="H150" i="3" s="1"/>
  <c r="G263" i="3"/>
  <c r="H263" i="3" s="1"/>
  <c r="G211" i="3"/>
  <c r="H211" i="3" s="1"/>
  <c r="G157" i="3"/>
  <c r="H157" i="3" s="1"/>
  <c r="G100" i="3"/>
  <c r="H100" i="3" s="1"/>
  <c r="G46" i="3"/>
  <c r="H46" i="3" s="1"/>
  <c r="G313" i="3"/>
  <c r="H313" i="3" s="1"/>
  <c r="E13" i="2"/>
  <c r="F13" i="2" s="1"/>
  <c r="E85" i="3"/>
  <c r="H85" i="3" s="1"/>
  <c r="Q142" i="1"/>
  <c r="N144" i="1"/>
  <c r="E139" i="3"/>
  <c r="H139" i="3" s="1"/>
  <c r="H23" i="3"/>
  <c r="E29" i="3"/>
  <c r="H247" i="3"/>
  <c r="E249" i="3"/>
  <c r="H249" i="3" s="1"/>
  <c r="E125" i="3"/>
  <c r="E128" i="3" s="1"/>
  <c r="E184" i="3"/>
  <c r="E187" i="3" s="1"/>
  <c r="E63" i="1"/>
  <c r="E57" i="3" s="1"/>
  <c r="H57" i="3" s="1"/>
  <c r="E273" i="3"/>
  <c r="H273" i="3" s="1"/>
  <c r="F82" i="1"/>
  <c r="E82" i="3"/>
  <c r="E84" i="3" s="1"/>
  <c r="H84" i="3" s="1"/>
  <c r="E70" i="3"/>
  <c r="E292" i="3"/>
  <c r="E56" i="3"/>
  <c r="H56" i="3" s="1"/>
  <c r="H22" i="3"/>
  <c r="E16" i="3"/>
  <c r="E19" i="3" s="1"/>
  <c r="E239" i="3"/>
  <c r="H132" i="3"/>
  <c r="E168" i="3"/>
  <c r="H168" i="3" s="1"/>
  <c r="L16" i="1"/>
  <c r="F53" i="2" l="1"/>
  <c r="F54" i="2" s="1"/>
  <c r="G147" i="3" s="1"/>
  <c r="H147" i="3" s="1"/>
  <c r="F93" i="2"/>
  <c r="F94" i="2" s="1"/>
  <c r="G146" i="3" s="1"/>
  <c r="H146" i="3" s="1"/>
  <c r="F79" i="2"/>
  <c r="F80" i="2" s="1"/>
  <c r="G145" i="3" s="1"/>
  <c r="H145" i="3" s="1"/>
  <c r="G149" i="3"/>
  <c r="H149" i="3" s="1"/>
  <c r="N121" i="2"/>
  <c r="G40" i="3" s="1"/>
  <c r="H40" i="3" s="1"/>
  <c r="G257" i="3"/>
  <c r="H257" i="3" s="1"/>
  <c r="F15" i="2"/>
  <c r="F16" i="2" s="1"/>
  <c r="G151" i="3"/>
  <c r="H151" i="3" s="1"/>
  <c r="G258" i="3"/>
  <c r="H258" i="3" s="1"/>
  <c r="G207" i="3"/>
  <c r="H207" i="3" s="1"/>
  <c r="N127" i="2"/>
  <c r="N128" i="2" s="1"/>
  <c r="G41" i="3" s="1"/>
  <c r="H41" i="3" s="1"/>
  <c r="F67" i="2"/>
  <c r="F68" i="2" s="1"/>
  <c r="N100" i="2"/>
  <c r="N101" i="2" s="1"/>
  <c r="G152" i="3" s="1"/>
  <c r="H152" i="3" s="1"/>
  <c r="G256" i="3"/>
  <c r="H256" i="3" s="1"/>
  <c r="F27" i="2"/>
  <c r="F28" i="2" s="1"/>
  <c r="F40" i="2"/>
  <c r="F41" i="2" s="1"/>
  <c r="E55" i="3"/>
  <c r="H55" i="3" s="1"/>
  <c r="H29" i="3"/>
  <c r="H16" i="3"/>
  <c r="H19" i="3"/>
  <c r="H125" i="3"/>
  <c r="H184" i="3"/>
  <c r="E323" i="3"/>
  <c r="H323" i="3" s="1"/>
  <c r="H292" i="3"/>
  <c r="E272" i="3"/>
  <c r="H272" i="3" s="1"/>
  <c r="H239" i="3"/>
  <c r="E219" i="3"/>
  <c r="H219" i="3" s="1"/>
  <c r="H187" i="3"/>
  <c r="E73" i="3"/>
  <c r="H70" i="3"/>
  <c r="H128" i="3"/>
  <c r="E167" i="3"/>
  <c r="H167" i="3" s="1"/>
  <c r="G143" i="3" l="1"/>
  <c r="H143" i="3" s="1"/>
  <c r="G254" i="3"/>
  <c r="H254" i="3" s="1"/>
  <c r="G202" i="3"/>
  <c r="H202" i="3" s="1"/>
  <c r="G35" i="3"/>
  <c r="H35" i="3" s="1"/>
  <c r="G307" i="3"/>
  <c r="H307" i="3" s="1"/>
  <c r="G89" i="3"/>
  <c r="H89" i="3" s="1"/>
  <c r="G204" i="3"/>
  <c r="H204" i="3" s="1"/>
  <c r="G91" i="3"/>
  <c r="H91" i="3" s="1"/>
  <c r="G308" i="3"/>
  <c r="H308" i="3" s="1"/>
  <c r="G90" i="3"/>
  <c r="H90" i="3" s="1"/>
  <c r="G144" i="3"/>
  <c r="H144" i="3" s="1"/>
  <c r="G255" i="3"/>
  <c r="H255" i="3" s="1"/>
  <c r="G203" i="3"/>
  <c r="H203" i="3" s="1"/>
  <c r="G36" i="3"/>
  <c r="H36" i="3" s="1"/>
  <c r="G33" i="3"/>
  <c r="H33" i="3" s="1"/>
  <c r="G34" i="3"/>
  <c r="H34" i="3" s="1"/>
  <c r="G142" i="3"/>
  <c r="H142" i="3" s="1"/>
  <c r="H179" i="3" s="1"/>
  <c r="G201" i="3"/>
  <c r="H201" i="3" s="1"/>
  <c r="H231" i="3" s="1"/>
  <c r="G253" i="3"/>
  <c r="H253" i="3" s="1"/>
  <c r="G88" i="3"/>
  <c r="H88" i="3" s="1"/>
  <c r="G306" i="3"/>
  <c r="H306" i="3" s="1"/>
  <c r="H65" i="3"/>
  <c r="H342" i="3"/>
  <c r="H284" i="3"/>
  <c r="E108" i="3"/>
  <c r="H108" i="3" s="1"/>
  <c r="H73" i="3"/>
  <c r="H120" i="3" l="1"/>
  <c r="H412" i="3" s="1"/>
</calcChain>
</file>

<file path=xl/sharedStrings.xml><?xml version="1.0" encoding="utf-8"?>
<sst xmlns="http://schemas.openxmlformats.org/spreadsheetml/2006/main" count="3079" uniqueCount="711">
  <si>
    <t>ANALISA VOLUME</t>
  </si>
  <si>
    <t>RSU. SARI DHARMA</t>
  </si>
  <si>
    <t>NO</t>
  </si>
  <si>
    <t>ITEM PEKERJAAN</t>
  </si>
  <si>
    <t>SAT.</t>
  </si>
  <si>
    <t>VOLUME</t>
  </si>
  <si>
    <t>BASEMENT</t>
  </si>
  <si>
    <t>LT.1</t>
  </si>
  <si>
    <t>LT.2</t>
  </si>
  <si>
    <t>LT.3</t>
  </si>
  <si>
    <t>LT.4</t>
  </si>
  <si>
    <t>ROOFTOP</t>
  </si>
  <si>
    <t>TOTAL</t>
  </si>
  <si>
    <t>I</t>
  </si>
  <si>
    <t>PEKERJAAN ARSITEKTUR</t>
  </si>
  <si>
    <t>M2</t>
  </si>
  <si>
    <t xml:space="preserve"> PAS. DINDING BATA :</t>
  </si>
  <si>
    <t>M</t>
  </si>
  <si>
    <t xml:space="preserve">   1. ARAH HORISONTAL</t>
  </si>
  <si>
    <t xml:space="preserve">   2. ARAH VERTIKAL</t>
  </si>
  <si>
    <t xml:space="preserve">   3. TINGGI DINDING</t>
  </si>
  <si>
    <t>VOL. TOTAL</t>
  </si>
  <si>
    <t xml:space="preserve">     1. MUSHOLA, KOPERASI, FARMASI</t>
  </si>
  <si>
    <t xml:space="preserve">         R. KARYAWAN,TOILET, R POMPA</t>
  </si>
  <si>
    <t xml:space="preserve">     2. R. CSSD</t>
  </si>
  <si>
    <t xml:space="preserve">     4. POS JAGA</t>
  </si>
  <si>
    <t xml:space="preserve">     5. R. PIE</t>
  </si>
  <si>
    <t xml:space="preserve">     6.  IPAL</t>
  </si>
  <si>
    <t xml:space="preserve">     7. TPS</t>
  </si>
  <si>
    <t xml:space="preserve">     8. GDG UMUM,PSRS,TG,TOILET,JENASAH</t>
  </si>
  <si>
    <t xml:space="preserve">     9. LAUNDRY</t>
  </si>
  <si>
    <t xml:space="preserve">     10. PARKIR MOTOR</t>
  </si>
  <si>
    <t xml:space="preserve">     11. DROP OFF</t>
  </si>
  <si>
    <t xml:space="preserve">     12. PARKIR MOBIL</t>
  </si>
  <si>
    <t xml:space="preserve">     3.  GDG STORE</t>
  </si>
  <si>
    <t>VOL. RUANG TOTAL</t>
  </si>
  <si>
    <t>VOL. SIRKULASI</t>
  </si>
  <si>
    <t xml:space="preserve"> PEKERJAAN PINTU JENDELA</t>
  </si>
  <si>
    <t xml:space="preserve"> PINTU P1</t>
  </si>
  <si>
    <t xml:space="preserve"> PINTU P2</t>
  </si>
  <si>
    <t xml:space="preserve"> PINTU P3</t>
  </si>
  <si>
    <t xml:space="preserve"> PINTU P7</t>
  </si>
  <si>
    <t>UNIT</t>
  </si>
  <si>
    <t xml:space="preserve"> LUASAN RUANG :</t>
  </si>
  <si>
    <t xml:space="preserve"> PINTU P4</t>
  </si>
  <si>
    <t xml:space="preserve"> PINTU PJ1</t>
  </si>
  <si>
    <t xml:space="preserve"> JENDELA J1</t>
  </si>
  <si>
    <t xml:space="preserve"> JENDELA J3</t>
  </si>
  <si>
    <t xml:space="preserve"> JENDELA J2</t>
  </si>
  <si>
    <t xml:space="preserve">     1. RUANG TUNGGU</t>
  </si>
  <si>
    <t xml:space="preserve">          LOBBY</t>
  </si>
  <si>
    <t xml:space="preserve">          SERVER</t>
  </si>
  <si>
    <t xml:space="preserve">          H&amp;K</t>
  </si>
  <si>
    <t xml:space="preserve">          FARMASI</t>
  </si>
  <si>
    <t xml:space="preserve">     2. RADIOLOGI</t>
  </si>
  <si>
    <t xml:space="preserve">     3. LABORATORIUM</t>
  </si>
  <si>
    <t xml:space="preserve">     4. GDG ALAT</t>
  </si>
  <si>
    <t xml:space="preserve">     5. TOILET</t>
  </si>
  <si>
    <t xml:space="preserve">     6. UGD :</t>
  </si>
  <si>
    <t xml:space="preserve">          R. UTAMA</t>
  </si>
  <si>
    <t xml:space="preserve">          R. JAGA</t>
  </si>
  <si>
    <t xml:space="preserve">     7. TOILET</t>
  </si>
  <si>
    <t xml:space="preserve">     8. POLI JANTUNG</t>
  </si>
  <si>
    <t xml:space="preserve">     9. POLIKLINIK</t>
  </si>
  <si>
    <t>KORIDOR</t>
  </si>
  <si>
    <t xml:space="preserve"> PINTU P5</t>
  </si>
  <si>
    <t xml:space="preserve"> PINTU P6</t>
  </si>
  <si>
    <t xml:space="preserve"> JENDELA J4</t>
  </si>
  <si>
    <t xml:space="preserve"> JENDELA J5</t>
  </si>
  <si>
    <t xml:space="preserve"> BASEMENT </t>
  </si>
  <si>
    <t xml:space="preserve"> LANTAI 1 </t>
  </si>
  <si>
    <t>VOL. SIRKULASI + VOID</t>
  </si>
  <si>
    <t xml:space="preserve"> LANTAI 2</t>
  </si>
  <si>
    <t xml:space="preserve"> LANTAI 3</t>
  </si>
  <si>
    <t xml:space="preserve">   1. R. DAPUR</t>
  </si>
  <si>
    <t xml:space="preserve">   2. R. INST. GIZI</t>
  </si>
  <si>
    <t xml:space="preserve">   3. CAFETARIA</t>
  </si>
  <si>
    <t xml:space="preserve">   4. RUANG RANAP STANDAR</t>
  </si>
  <si>
    <t xml:space="preserve">   5. RUANG RANAP ISOLASI</t>
  </si>
  <si>
    <t xml:space="preserve">   6. R. TINDAKAN</t>
  </si>
  <si>
    <t xml:space="preserve">   7. TOILET, NURSE ST, SPOELHOOK</t>
  </si>
  <si>
    <t xml:space="preserve">   8. R. KEPALA, NURSE ST, GUDANG,TOILET</t>
  </si>
  <si>
    <t xml:space="preserve"> LANTAI 4</t>
  </si>
  <si>
    <t xml:space="preserve">   1. HEMODIALISA</t>
  </si>
  <si>
    <t xml:space="preserve">   2. RUANG VIP</t>
  </si>
  <si>
    <t xml:space="preserve">   3. PRESIDENT SUITE</t>
  </si>
  <si>
    <t xml:space="preserve">   4. TOILET, NURSE, SPOELHOEK</t>
  </si>
  <si>
    <t xml:space="preserve">   5. R. TINDAKAN</t>
  </si>
  <si>
    <t xml:space="preserve">   6. R. KONSULTASI</t>
  </si>
  <si>
    <t xml:space="preserve">   7. GDG ALAT, NURSE ST</t>
  </si>
  <si>
    <t xml:space="preserve">   8. JANITOR</t>
  </si>
  <si>
    <t xml:space="preserve"> JENDELA J6</t>
  </si>
  <si>
    <t xml:space="preserve"> </t>
  </si>
  <si>
    <t xml:space="preserve">   1. RUANG OK</t>
  </si>
  <si>
    <t xml:space="preserve">   2. RUANG KEBIDANAN</t>
  </si>
  <si>
    <t xml:space="preserve">   3. RUANG ICU</t>
  </si>
  <si>
    <t xml:space="preserve">   4. POLIKLINIK</t>
  </si>
  <si>
    <t xml:space="preserve">   1. RUANG OFFICE</t>
  </si>
  <si>
    <t xml:space="preserve">   2. RUANG AUDITORIUM</t>
  </si>
  <si>
    <t xml:space="preserve">   3. RUANG SERVICE</t>
  </si>
  <si>
    <t xml:space="preserve">   4. PURA</t>
  </si>
  <si>
    <t>KUSEN PINTU - JENDELA</t>
  </si>
  <si>
    <t>ANALISA</t>
  </si>
  <si>
    <t>PINTU P1</t>
  </si>
  <si>
    <t>( DIM. 95x240 )</t>
  </si>
  <si>
    <t>KUSEN</t>
  </si>
  <si>
    <t>UPVC SWING</t>
  </si>
  <si>
    <t>M'</t>
  </si>
  <si>
    <t xml:space="preserve">DAUN PINTU </t>
  </si>
  <si>
    <t>PINTU P2</t>
  </si>
  <si>
    <t>( DIM. 100x240 )</t>
  </si>
  <si>
    <t>PINTU P3</t>
  </si>
  <si>
    <t>( DIM. 130x240 )</t>
  </si>
  <si>
    <t>UPVC DOUBLESWING</t>
  </si>
  <si>
    <t>PINTU P3A</t>
  </si>
  <si>
    <t>( DIM. 170x240 )</t>
  </si>
  <si>
    <t>PINTU P4</t>
  </si>
  <si>
    <t>PINTU P5</t>
  </si>
  <si>
    <t>UPVC DOUBLESLIDE</t>
  </si>
  <si>
    <t>( DIM. 160x240 )</t>
  </si>
  <si>
    <t>PINTU P5A</t>
  </si>
  <si>
    <t>( DIM. 155x240 )</t>
  </si>
  <si>
    <t>UPVC SINGLESLIDE</t>
  </si>
  <si>
    <t>PINTU P6</t>
  </si>
  <si>
    <t>PINTU P7</t>
  </si>
  <si>
    <t>PINTU PJ1</t>
  </si>
  <si>
    <t>( DIM. 357x240 )</t>
  </si>
  <si>
    <t>UPVC KACA SWING</t>
  </si>
  <si>
    <t>DAUN PINTU KACA</t>
  </si>
  <si>
    <t>DAUN JENDELA KACA</t>
  </si>
  <si>
    <t>JENDELA J1</t>
  </si>
  <si>
    <t>( DIM. 1,15x1,6 )</t>
  </si>
  <si>
    <t>UPVC  SWING</t>
  </si>
  <si>
    <t>JENDELA J1A</t>
  </si>
  <si>
    <t>( DIM. 1,15x1,2 )</t>
  </si>
  <si>
    <t>JENDELA J2</t>
  </si>
  <si>
    <t>( DIM. 2,15x1,6 )</t>
  </si>
  <si>
    <t>KACA MATI</t>
  </si>
  <si>
    <t>JENDELA J2B</t>
  </si>
  <si>
    <t>( DIM. 2,15x2,25 )</t>
  </si>
  <si>
    <t>JENDELA J3</t>
  </si>
  <si>
    <t>( DIM. 5,1x4 )</t>
  </si>
  <si>
    <t xml:space="preserve">UPVC  </t>
  </si>
  <si>
    <t>( 10 LBR )</t>
  </si>
  <si>
    <t>JENDELA J4</t>
  </si>
  <si>
    <t>( DIM. 1,5x2,65 )</t>
  </si>
  <si>
    <t>JENDELA J5</t>
  </si>
  <si>
    <t>( DIM. 2,95x2,65 )</t>
  </si>
  <si>
    <t>RENCANA ANGGARAN BIAYA</t>
  </si>
  <si>
    <t>RSU SARI DHARMA</t>
  </si>
  <si>
    <t>JL. PULAU SERAM NO. 1</t>
  </si>
  <si>
    <t>DENPASAR</t>
  </si>
  <si>
    <t>KETERANGAN</t>
  </si>
  <si>
    <t>VOL.</t>
  </si>
  <si>
    <t>HRG. SAT.</t>
  </si>
  <si>
    <t>HRG. TOTAL</t>
  </si>
  <si>
    <t>LANTAI BASEMENT</t>
  </si>
  <si>
    <t xml:space="preserve"> PAS. DINDING BT RINGAN</t>
  </si>
  <si>
    <t>VOL. PASANGAN - LUBANG PINTU JEND</t>
  </si>
  <si>
    <t xml:space="preserve"> PEK. PLESTER ACI</t>
  </si>
  <si>
    <t>II</t>
  </si>
  <si>
    <t xml:space="preserve"> PEK. PLAFOND</t>
  </si>
  <si>
    <t>III</t>
  </si>
  <si>
    <t xml:space="preserve"> PEK. LANTAI</t>
  </si>
  <si>
    <t xml:space="preserve"> PEK. PAS. DINDING</t>
  </si>
  <si>
    <t xml:space="preserve"> PAS. KERAMIK DINDING</t>
  </si>
  <si>
    <t xml:space="preserve"> PAS. GIPSUM</t>
  </si>
  <si>
    <t xml:space="preserve"> PAS. SHADOWLINE</t>
  </si>
  <si>
    <t xml:space="preserve"> PAS. KERAMIK LANTAI</t>
  </si>
  <si>
    <t xml:space="preserve"> PAS. PLINT KERAMIK</t>
  </si>
  <si>
    <t xml:space="preserve"> PAS. WALL PANEL</t>
  </si>
  <si>
    <t>IV</t>
  </si>
  <si>
    <t xml:space="preserve"> PEK. KUSEN PINTU JENDELA</t>
  </si>
  <si>
    <t>V</t>
  </si>
  <si>
    <t xml:space="preserve"> PEK. FINISHING</t>
  </si>
  <si>
    <t xml:space="preserve"> PEK. CAT DINDING</t>
  </si>
  <si>
    <t xml:space="preserve"> PEK. CAT PLAFOND</t>
  </si>
  <si>
    <t xml:space="preserve"> PEK. CAT LANTAI</t>
  </si>
  <si>
    <t>LANTAI 1</t>
  </si>
  <si>
    <t>LANTAI 2</t>
  </si>
  <si>
    <t>LANTAI 3</t>
  </si>
  <si>
    <t>LANTAI 4</t>
  </si>
  <si>
    <t>LANTAI ROOFTOP</t>
  </si>
  <si>
    <t xml:space="preserve"> PINTU P1 KM</t>
  </si>
  <si>
    <t xml:space="preserve"> JENDELA J1A</t>
  </si>
  <si>
    <t xml:space="preserve"> JENDELA J2A</t>
  </si>
  <si>
    <t xml:space="preserve"> LOKET L1</t>
  </si>
  <si>
    <t xml:space="preserve"> LOKET L2</t>
  </si>
  <si>
    <t xml:space="preserve"> PINTU P1KM</t>
  </si>
  <si>
    <t>3.6.2.3</t>
  </si>
  <si>
    <t xml:space="preserve">Pemasangan 1 m2 dinding conblock HB15 dengan mortar tipe S,fc’ 12,5 MPa (Setara Campuran 1SP : 3PP) 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</si>
  <si>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</si>
  <si>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</si>
  <si>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</si>
  <si>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</si>
  <si>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</si>
  <si>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</si>
  <si>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</si>
  <si>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</si>
  <si>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Pekerja</t>
  </si>
  <si>
    <t>OH</t>
  </si>
  <si>
    <t>Tukang batu</t>
  </si>
  <si>
    <t>Kepala tukang</t>
  </si>
  <si>
    <t>Mandor</t>
  </si>
  <si>
    <t>JUMLAH TENAGA KERJA</t>
  </si>
  <si>
    <t>B</t>
  </si>
  <si>
    <t>BAHAN</t>
  </si>
  <si>
    <t>1</t>
  </si>
  <si>
    <t>HB-15</t>
  </si>
  <si>
    <t>buah</t>
  </si>
  <si>
    <t>2</t>
  </si>
  <si>
    <t>Semen portland (PC)</t>
  </si>
  <si>
    <t>kg</t>
  </si>
  <si>
    <t>3</t>
  </si>
  <si>
    <t>Pasir pasang (quarry - lokasi pekerjaan)</t>
  </si>
  <si>
    <t>m3</t>
  </si>
  <si>
    <t>4</t>
  </si>
  <si>
    <t>Besi angkur diameter 8</t>
  </si>
  <si>
    <t>JUMLAH HARGA BAHAN</t>
  </si>
  <si>
    <t>C</t>
  </si>
  <si>
    <t>PERALATAN</t>
  </si>
  <si>
    <t>JUMLAH HARGA ALAT</t>
  </si>
  <si>
    <t>D</t>
  </si>
  <si>
    <t>Jumlah (A+B+C)</t>
  </si>
  <si>
    <t>E</t>
  </si>
  <si>
    <t>Biaya Umum dan Keuntungan 10% - 15% x D</t>
  </si>
  <si>
    <t>F</t>
  </si>
  <si>
    <t>Harga Satuan Pekerjaan (D+E)</t>
  </si>
  <si>
    <t>3.7.2</t>
  </si>
  <si>
    <t>Pemasangan 1 m2 plesteran 1SP : 2PP tebal 15 mm</t>
  </si>
  <si>
    <t>3.7.8</t>
  </si>
  <si>
    <t>Pemasangan 1 m2 acian</t>
  </si>
  <si>
    <t>3.9.4.3</t>
  </si>
  <si>
    <t>Pemasangan 1 m2 lantai homogenous tile Polish  uk. 60x60 cm (1SP : 2PP)</t>
  </si>
  <si>
    <t>JUMLAH HARGA TENAGA KERJA</t>
  </si>
  <si>
    <t>Homogenous tile 60x60 cm</t>
  </si>
  <si>
    <t>Semen warna</t>
  </si>
  <si>
    <t>3.9.4.6</t>
  </si>
  <si>
    <t>Pemasangan 1 m' plint homogenous tile polish uk. 10 s.d. 15x60 cm (1SP : 2PP)</t>
  </si>
  <si>
    <t>Plint homogenous tile uk. 10-15x60 cm</t>
  </si>
  <si>
    <t>Semen portland (pc)</t>
  </si>
  <si>
    <t>3.10.1.3</t>
  </si>
  <si>
    <t>Pemasangan 1 m2 dinding keramik uk. 10x20 cm (1SP : 2PP)</t>
  </si>
  <si>
    <t>Keramik dinding 10x20 cm</t>
  </si>
  <si>
    <t>3.5.2.1</t>
  </si>
  <si>
    <t>Pemasangan 1 m2 plafon papan gypsum tebal 9 mm</t>
  </si>
  <si>
    <t>Tukang kayu</t>
  </si>
  <si>
    <t>Gypsum board (120 cm x 240 cm x 9 mm)</t>
  </si>
  <si>
    <t>lembar</t>
  </si>
  <si>
    <t>Paku sekrup</t>
  </si>
  <si>
    <t>3.8.10.1</t>
  </si>
  <si>
    <t>Pengecatan 1 m2 tembok baru Interior( 1 lapis cat dasar, 2 lapis cat penutup)</t>
  </si>
  <si>
    <t>Tukang cat</t>
  </si>
  <si>
    <t>Cat dasar (cat tembok interior)</t>
  </si>
  <si>
    <t>Cat penutup (cat tembok interior)</t>
  </si>
  <si>
    <t>3.8.10.2</t>
  </si>
  <si>
    <t>Pengecatan 1 m2 tembok baru Ekterior (1 lapis cat dasar, 2 lapis cat penutup), eksterior</t>
  </si>
  <si>
    <t>Cat dasar (cat tembok eksterior)</t>
  </si>
  <si>
    <t>Cat penutup (cat tembok eksterior)</t>
  </si>
  <si>
    <t>3.8.20.1</t>
  </si>
  <si>
    <t>Pengecatan 1 m2 plafon Interior ( 1 lapis Cat Dasar dan 2 Lapis Cat Penutup)</t>
  </si>
  <si>
    <t>3.8.21</t>
  </si>
  <si>
    <t xml:space="preserve">Pengecatan 1 m2 cat epoxy tebal 2 mm </t>
  </si>
  <si>
    <t>Cat epoxy</t>
  </si>
  <si>
    <t>3.6.1.9</t>
  </si>
  <si>
    <t xml:space="preserve">Pemasangan 1 m2 dinding bata merah tebal 1/2 batu dengan mortar tipe O,fc’ 2,4 MPa (Setara Campuran 1SP : 5PP) </t>
  </si>
  <si>
    <t>Bata merah</t>
  </si>
  <si>
    <t>SET</t>
  </si>
  <si>
    <t>TARIKAN &amp; KUNCI</t>
  </si>
  <si>
    <t>INSTALL</t>
  </si>
  <si>
    <t>LS</t>
  </si>
  <si>
    <t>ENGSEL 4"</t>
  </si>
  <si>
    <t>HARGA</t>
  </si>
  <si>
    <t>3.11.1.17</t>
  </si>
  <si>
    <t>Pemasangan 1 m2 pintu engineering wood</t>
  </si>
  <si>
    <t>Tukang besi</t>
  </si>
  <si>
    <t>Blockboard tebal 18 mm</t>
  </si>
  <si>
    <t>m2</t>
  </si>
  <si>
    <t>Lem kayu</t>
  </si>
  <si>
    <t>Veeneer tebal 2 mm</t>
  </si>
  <si>
    <t>3.11.1.18</t>
  </si>
  <si>
    <t xml:space="preserve">Pemasangan 1 buah Pintu uPVC lebar 80 cm lengkap dengan aksesoris </t>
  </si>
  <si>
    <t xml:space="preserve">Pintu uPVC lebar 80 cm </t>
  </si>
  <si>
    <t xml:space="preserve">buah </t>
  </si>
  <si>
    <t>3.11.2.3</t>
  </si>
  <si>
    <t xml:space="preserve">Pemasangan 1 buah jendela kaca Upvc 2 daun ukuran 1,15 x 1,30 m </t>
  </si>
  <si>
    <t xml:space="preserve">Jendela Kaca Upvc 2 daun </t>
  </si>
  <si>
    <t>3.11.3.1</t>
  </si>
  <si>
    <t>Pemasangan 1 m' kusen aluminium</t>
  </si>
  <si>
    <t>Tukang alumunium</t>
  </si>
  <si>
    <t>Profil aluminium</t>
  </si>
  <si>
    <t>m'</t>
  </si>
  <si>
    <t>Skrup fixer</t>
  </si>
  <si>
    <t>Sealant</t>
  </si>
  <si>
    <t>tube</t>
  </si>
  <si>
    <t>3.11.3.2</t>
  </si>
  <si>
    <t>Pembuatan dan pemasangan 1 m’ kusen pintu dan kusen jendela, kayu kelas I uk. 6x12 cm</t>
  </si>
  <si>
    <t>Kayu balok 6/12 kelas I</t>
  </si>
  <si>
    <t>Paku 12 cm</t>
  </si>
  <si>
    <t>Lem Kayu</t>
  </si>
  <si>
    <t>harga per/m2</t>
  </si>
  <si>
    <t>3.11.4.5</t>
  </si>
  <si>
    <t>Pemasangan 1 buah engsel pintu</t>
  </si>
  <si>
    <t>Engsel pintu (kw 1)</t>
  </si>
  <si>
    <t>3.11.4.2</t>
  </si>
  <si>
    <t>Pemasangan 1 buah kunci tanam biasa</t>
  </si>
  <si>
    <t>Kunci tanam biasa</t>
  </si>
  <si>
    <t>REL 1,5M</t>
  </si>
  <si>
    <t>TARIKAN</t>
  </si>
  <si>
    <t>KUNCI KEMBANG</t>
  </si>
  <si>
    <t>3.11.4.10</t>
  </si>
  <si>
    <t>Pemasangan 1 buah Rel Pintu Dorong</t>
  </si>
  <si>
    <t>Rel pintu dorong</t>
  </si>
  <si>
    <t xml:space="preserve"> FLOOR HINGE</t>
  </si>
  <si>
    <t>HANDLE</t>
  </si>
  <si>
    <t>ENGSEL 3"</t>
  </si>
  <si>
    <t>GERENDEL</t>
  </si>
  <si>
    <t>BH</t>
  </si>
  <si>
    <t>KAIT ANGIN</t>
  </si>
  <si>
    <t>JENDELA J2A</t>
  </si>
  <si>
    <t>( DIM. 2,15x1,2 )</t>
  </si>
  <si>
    <t xml:space="preserve"> PINTU JENDELA PJ1</t>
  </si>
  <si>
    <t xml:space="preserve"> PINTU P5A</t>
  </si>
  <si>
    <t xml:space="preserve"> PINTU P3A</t>
  </si>
  <si>
    <t>T1</t>
  </si>
  <si>
    <t>T2</t>
  </si>
  <si>
    <t>T3</t>
  </si>
  <si>
    <t>T4</t>
  </si>
  <si>
    <t>T5</t>
  </si>
  <si>
    <t>T6</t>
  </si>
  <si>
    <t xml:space="preserve"> PAS. KERAMIK DINDING TOILET</t>
  </si>
  <si>
    <t>T7</t>
  </si>
  <si>
    <t>T8</t>
  </si>
  <si>
    <t>T9</t>
  </si>
  <si>
    <t>KD</t>
  </si>
  <si>
    <t>KL</t>
  </si>
  <si>
    <t xml:space="preserve">   1. KM/WC, CUCI</t>
  </si>
  <si>
    <t xml:space="preserve">   2. RUANGAN</t>
  </si>
  <si>
    <t>3.9.4.7</t>
  </si>
  <si>
    <t>Homogenous tile unpolish 20x20 cm</t>
  </si>
  <si>
    <t>Pemasangan 1 m' lantai CERAMIC tile NONSLIP uk. 20x20 cm (1SP : 2PP)</t>
  </si>
  <si>
    <t xml:space="preserve">   1. PAS. BATA RINGAN</t>
  </si>
  <si>
    <t>EX. CITICON</t>
  </si>
  <si>
    <t>EX. ROMAN</t>
  </si>
  <si>
    <t>EX. WELDON</t>
  </si>
  <si>
    <t>3.5.3.1</t>
  </si>
  <si>
    <t>Pemasangan 1 m2 rangka plafon besi hollow 40.40, modul 60x60 cm</t>
  </si>
  <si>
    <t>Besi hollow galvanis 40.40</t>
  </si>
  <si>
    <t>Kawat las</t>
  </si>
  <si>
    <t>JAYABOARD</t>
  </si>
  <si>
    <t>3.6.6.1</t>
  </si>
  <si>
    <t>Rockwool tebal 50 mm</t>
  </si>
  <si>
    <t>Compound gypsum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</si>
  <si>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</si>
  <si>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</si>
  <si>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</si>
  <si>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</si>
  <si>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</si>
  <si>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</si>
  <si>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</si>
  <si>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</si>
  <si>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</si>
  <si>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</si>
  <si>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</si>
  <si>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2)</t>
  </si>
  <si>
    <t>Floor hinge</t>
  </si>
  <si>
    <t>Gerendel Biasa</t>
  </si>
  <si>
    <t>Grendel</t>
  </si>
  <si>
    <t>Grendel tanam</t>
  </si>
  <si>
    <t>Handle pintu (kw  1)</t>
  </si>
  <si>
    <t xml:space="preserve">Hendle Jendela </t>
  </si>
  <si>
    <t>Kait angin</t>
  </si>
  <si>
    <t>Kunci lemari</t>
  </si>
  <si>
    <t>Kunci silinder</t>
  </si>
  <si>
    <t>Kunci slot</t>
  </si>
  <si>
    <t>Kunci tanam</t>
  </si>
  <si>
    <t>Kunci tanam antik</t>
  </si>
  <si>
    <t>Kunci Tanam ex  lokal 2x  slag</t>
  </si>
  <si>
    <t>Kunci tanam kamar mandi</t>
  </si>
  <si>
    <t>Pull handle (kw  1)</t>
  </si>
  <si>
    <t>Pull handle stainless  jumbo  (kw  1)</t>
  </si>
  <si>
    <t>set</t>
  </si>
  <si>
    <t>Spring knip</t>
  </si>
  <si>
    <t>Tarikan Pintu Stainless</t>
  </si>
  <si>
    <t>Venetions blinds dan vertical blinds</t>
  </si>
  <si>
    <t>J</t>
  </si>
  <si>
    <t>MATERIAL KACA</t>
  </si>
  <si>
    <t>Glass block 20x20 cm</t>
  </si>
  <si>
    <t>Frame besi kaca nako</t>
  </si>
  <si>
    <t>daun</t>
  </si>
  <si>
    <t>Jendela nako</t>
  </si>
  <si>
    <t xml:space="preserve">Jendela Ornamen GRC </t>
  </si>
  <si>
    <t>Jendela Nako Rangka Aluminium (rangka+kaca 5 mm)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</si>
  <si>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</si>
  <si>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</si>
  <si>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</si>
  <si>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</si>
  <si>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</si>
  <si>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</si>
  <si>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</si>
  <si>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</si>
  <si>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</si>
  <si>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</si>
  <si>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</si>
  <si>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</si>
  <si>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</si>
  <si>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</si>
  <si>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</si>
  <si>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</si>
  <si>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</si>
  <si>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</si>
  <si>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</si>
  <si>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</si>
  <si>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</si>
  <si>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</si>
  <si>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</si>
  <si>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</si>
  <si>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Profil kaca tebal 6 mm</t>
  </si>
  <si>
    <t>Ray Band 3mm</t>
  </si>
  <si>
    <t>Ray Band 5mm</t>
  </si>
  <si>
    <t>VI</t>
  </si>
  <si>
    <t xml:space="preserve"> PEK. LAIN LAIN</t>
  </si>
  <si>
    <t xml:space="preserve"> PEK. RAILLING RAMP</t>
  </si>
  <si>
    <t>EX. KENCANA</t>
  </si>
  <si>
    <t>T10</t>
  </si>
  <si>
    <t>T11</t>
  </si>
  <si>
    <t>T12</t>
  </si>
  <si>
    <t>T13</t>
  </si>
  <si>
    <t>T14</t>
  </si>
  <si>
    <t>TOILET 2</t>
  </si>
  <si>
    <t>TOILET 1</t>
  </si>
  <si>
    <t>TOILET B</t>
  </si>
  <si>
    <t>TOILET 3</t>
  </si>
  <si>
    <t>T4 (10)</t>
  </si>
  <si>
    <t>TOILET 4</t>
  </si>
  <si>
    <t>T2 (11)</t>
  </si>
  <si>
    <t>TOILET R</t>
  </si>
  <si>
    <t xml:space="preserve"> PEK. MEP</t>
  </si>
  <si>
    <t xml:space="preserve"> PEK. AMATEUR SANITAIR</t>
  </si>
  <si>
    <t xml:space="preserve">   2. PAS. SHOWER</t>
  </si>
  <si>
    <t xml:space="preserve">   3. PAS. WASHTAFEL</t>
  </si>
  <si>
    <t xml:space="preserve">   4. PAS. FLOOR DRAIN</t>
  </si>
  <si>
    <t xml:space="preserve">   1. PAS. CLOSET DUDUK</t>
  </si>
  <si>
    <t xml:space="preserve">   5. PAS. KRAN MEJA</t>
  </si>
  <si>
    <t>EX. TOTO</t>
  </si>
  <si>
    <t>3.18.3.1</t>
  </si>
  <si>
    <t>Pemasangan 1 buah closet duduk/monoblock</t>
  </si>
  <si>
    <t>Kloset duduk/monoblok</t>
  </si>
  <si>
    <t>Flexible hose</t>
  </si>
  <si>
    <t>3.18.6.9</t>
  </si>
  <si>
    <t>Pemasangan 1 buah Shower Set</t>
  </si>
  <si>
    <t>Shower Set</t>
  </si>
  <si>
    <t xml:space="preserve">unit </t>
  </si>
  <si>
    <t>Sealtape</t>
  </si>
  <si>
    <t>3.18.6.2.1</t>
  </si>
  <si>
    <t>Pemasangan 1 buah kran diameter ½" atau 3/4"</t>
  </si>
  <si>
    <t>Kran air</t>
  </si>
  <si>
    <t>3.18.6.3</t>
  </si>
  <si>
    <t>Pemasangan 1 buah jet washer</t>
  </si>
  <si>
    <t>Jet washer</t>
  </si>
  <si>
    <t>3.18.6.1</t>
  </si>
  <si>
    <t>Pemasangan 1 buah floor drain stainless steel</t>
  </si>
  <si>
    <t>Floor drain stainles steel</t>
  </si>
  <si>
    <t>3.18.1.1</t>
  </si>
  <si>
    <t>Pemasangan 1 buah wastafel</t>
  </si>
  <si>
    <t>Wastafel</t>
  </si>
  <si>
    <t xml:space="preserve">   6. PAS. JET WASHER</t>
  </si>
  <si>
    <t xml:space="preserve"> PEK. RAILLING TANGGA</t>
  </si>
  <si>
    <t xml:space="preserve"> PEK. RAILLING VOID</t>
  </si>
  <si>
    <t>3.13.4</t>
  </si>
  <si>
    <t>Pembuatan dan pemasangan 1 m' railing besi pengaman tinggi 1.2 m</t>
  </si>
  <si>
    <t>Tukang las</t>
  </si>
  <si>
    <t>Pipa besi hitam 3 inch</t>
  </si>
  <si>
    <t>Pipa besi hitam 1 inch</t>
  </si>
  <si>
    <t>Cat zyncromate</t>
  </si>
  <si>
    <t xml:space="preserve">Alat Las Listrik </t>
  </si>
  <si>
    <t>3.13.5</t>
  </si>
  <si>
    <t>Pembuatan dan pemasangan 1 m' railing tangga/ramp dan hand rail tinggi 0.85 m dan 0.65 m</t>
  </si>
  <si>
    <t>Pipa besi hitam 2 inch</t>
  </si>
  <si>
    <t>Pipa besi hitam 1,5 inch</t>
  </si>
  <si>
    <t>5</t>
  </si>
  <si>
    <t>3.6.4.2</t>
  </si>
  <si>
    <t>Pemasangan 1 m2 dinding bata ringan tebal 10 cm dengan mortar siap pakai</t>
  </si>
  <si>
    <t>Bata ringan tebal 10 cm</t>
  </si>
  <si>
    <t>Mortar siap pakai</t>
  </si>
  <si>
    <t>Pemasangan 1 m2 dinding partisi, Gypsumboard t=9mm</t>
  </si>
  <si>
    <t>Gypsum Board (122 cm x  244 cm x  9 mm)</t>
  </si>
  <si>
    <t xml:space="preserve">   2. PARTISI GIPSUM TANPA ROCKWOOL</t>
  </si>
  <si>
    <t>EX.JAYA</t>
  </si>
  <si>
    <t>EX. JAYA 9mm</t>
  </si>
  <si>
    <t xml:space="preserve"> PEK. WATERPROOF DAK ATAP</t>
  </si>
  <si>
    <t xml:space="preserve"> PEK. PURA UTAMA</t>
  </si>
  <si>
    <t xml:space="preserve"> PEK. CANDI BENTAR</t>
  </si>
  <si>
    <t xml:space="preserve"> PELINGGIH PADMASANA</t>
  </si>
  <si>
    <t xml:space="preserve"> PELINGGIH PIYASAN</t>
  </si>
  <si>
    <t xml:space="preserve"> PELINGGIH RONG SATU</t>
  </si>
  <si>
    <t xml:space="preserve"> PELINGGIH PENGLURAH</t>
  </si>
  <si>
    <t xml:space="preserve"> BALE SAKA 6</t>
  </si>
  <si>
    <t xml:space="preserve"> PEK. PENYENGKER BALI</t>
  </si>
  <si>
    <t>I.1</t>
  </si>
  <si>
    <t>I.2</t>
  </si>
  <si>
    <t>I.3</t>
  </si>
  <si>
    <t>I.4</t>
  </si>
  <si>
    <t>I.5</t>
  </si>
  <si>
    <t>I.6</t>
  </si>
  <si>
    <t>I.7</t>
  </si>
  <si>
    <t>II.1</t>
  </si>
  <si>
    <t>II.2</t>
  </si>
  <si>
    <t>II.3</t>
  </si>
  <si>
    <t>II.4</t>
  </si>
  <si>
    <t>II.5</t>
  </si>
  <si>
    <t>II.6</t>
  </si>
  <si>
    <t>II.7</t>
  </si>
  <si>
    <t>III.1</t>
  </si>
  <si>
    <t>III.2</t>
  </si>
  <si>
    <t>III.3</t>
  </si>
  <si>
    <t>III.4</t>
  </si>
  <si>
    <t>III.5</t>
  </si>
  <si>
    <t>III.6</t>
  </si>
  <si>
    <t>III.7</t>
  </si>
  <si>
    <t>IV.1</t>
  </si>
  <si>
    <t>IV.2</t>
  </si>
  <si>
    <t>IV.3</t>
  </si>
  <si>
    <t>IV.4</t>
  </si>
  <si>
    <t>IV.5</t>
  </si>
  <si>
    <t>IV.6</t>
  </si>
  <si>
    <t>IV.7</t>
  </si>
  <si>
    <t>V.1</t>
  </si>
  <si>
    <t>V.2</t>
  </si>
  <si>
    <t>V.3</t>
  </si>
  <si>
    <t>V.4</t>
  </si>
  <si>
    <t>V.5</t>
  </si>
  <si>
    <t>V.6</t>
  </si>
  <si>
    <t>V.7</t>
  </si>
  <si>
    <t>VI.1</t>
  </si>
  <si>
    <t>VI.2</t>
  </si>
  <si>
    <t>VI.3</t>
  </si>
  <si>
    <t>VI.4</t>
  </si>
  <si>
    <t>VI.5</t>
  </si>
  <si>
    <t>VI.6</t>
  </si>
  <si>
    <t>VI.7</t>
  </si>
  <si>
    <t>VI.8</t>
  </si>
  <si>
    <t>UPVC MIX</t>
  </si>
  <si>
    <t xml:space="preserve"> PEK. PADURAKSA</t>
  </si>
  <si>
    <t xml:space="preserve">   1. UTARA</t>
  </si>
  <si>
    <t xml:space="preserve">   2. SELATAN</t>
  </si>
  <si>
    <t xml:space="preserve">   3. LOBBY</t>
  </si>
  <si>
    <t>BESI HOLLOW</t>
  </si>
  <si>
    <t xml:space="preserve"> PAS. GLASS BLOCK</t>
  </si>
  <si>
    <t xml:space="preserve"> PEK. PENUTUP LANTAI &amp; DINDING</t>
  </si>
  <si>
    <t>SUB. TOTAL B</t>
  </si>
  <si>
    <t>SUB. TOTAL 1</t>
  </si>
  <si>
    <t>SUB. TOTAL 2</t>
  </si>
  <si>
    <t>SUB. TOTAL 3</t>
  </si>
  <si>
    <t>SUB. TOTAL 4</t>
  </si>
  <si>
    <t>SUB. TOTAL R</t>
  </si>
  <si>
    <t xml:space="preserve"> PEKERJAAN RAILLING</t>
  </si>
  <si>
    <t>1. WALL HANDRAILLING</t>
  </si>
  <si>
    <t>2. RAILLING TANGGA</t>
  </si>
  <si>
    <t xml:space="preserve">     1. TANGGA UTARA</t>
  </si>
  <si>
    <t xml:space="preserve">     2. TANGGA SELATAN</t>
  </si>
  <si>
    <t>3. VOID RAILLING</t>
  </si>
  <si>
    <t>4. RAMP RAILLING</t>
  </si>
  <si>
    <t xml:space="preserve">          A. TYPE 1</t>
  </si>
  <si>
    <t xml:space="preserve">          B. TYPE 2</t>
  </si>
  <si>
    <t>LOKET L1</t>
  </si>
  <si>
    <t>( DIM. 90x130 )</t>
  </si>
  <si>
    <t>LOKET L2</t>
  </si>
  <si>
    <t>( DIM.250x70 )</t>
  </si>
  <si>
    <t xml:space="preserve"> PEKERJAAN FASADE</t>
  </si>
  <si>
    <t>A.</t>
  </si>
  <si>
    <t xml:space="preserve"> TAMPAK BARAT ( DEPAN )</t>
  </si>
  <si>
    <t>1. SECONDARY SKIN</t>
  </si>
  <si>
    <t xml:space="preserve">     1. PARTISI ACP MOTIF</t>
  </si>
  <si>
    <t xml:space="preserve">     2. PARTISI CONWOOD</t>
  </si>
  <si>
    <t xml:space="preserve">     3. PARTISI ACP SOLID</t>
  </si>
  <si>
    <t xml:space="preserve">     4. KONST. SOLARFLAT</t>
  </si>
  <si>
    <t>2. LOGO - HURUF TIMBUL</t>
  </si>
  <si>
    <t xml:space="preserve">     1. LOGO</t>
  </si>
  <si>
    <t xml:space="preserve">     2. HURUF TIMBUL</t>
  </si>
  <si>
    <t>3. AREA DROP OFF</t>
  </si>
  <si>
    <t xml:space="preserve">     1. PAS. LANTAI GRANIT</t>
  </si>
  <si>
    <t xml:space="preserve">     2. PAS. GRANIT KOLOM</t>
  </si>
  <si>
    <t xml:space="preserve">     3. FINISH CAT</t>
  </si>
  <si>
    <t xml:space="preserve">     4. PEK. PLAFON :</t>
  </si>
  <si>
    <t xml:space="preserve">          A. PAS. PLAFON WPC</t>
  </si>
  <si>
    <t xml:space="preserve">          B. PAS. GIPSUM</t>
  </si>
  <si>
    <t xml:space="preserve">          C. FIN CAT PLAFON</t>
  </si>
  <si>
    <t xml:space="preserve">          D. FIN. WATERPROFING</t>
  </si>
  <si>
    <t>B.</t>
  </si>
  <si>
    <t xml:space="preserve"> TAMPAK SELATAN</t>
  </si>
  <si>
    <t xml:space="preserve"> 1. PARTISI ACP :</t>
  </si>
  <si>
    <t xml:space="preserve">     1. PENUTUP KOLOM</t>
  </si>
  <si>
    <t xml:space="preserve">     2. PENUTUP BALOK</t>
  </si>
  <si>
    <t xml:space="preserve"> 2. PAS. WALLPANEL CONWOOD</t>
  </si>
  <si>
    <t xml:space="preserve"> 3. PAS. BT. ALAM KOLOM</t>
  </si>
  <si>
    <t>C.</t>
  </si>
  <si>
    <t xml:space="preserve"> 2. PAS. BT. ALAM KOLOM</t>
  </si>
  <si>
    <t>D.</t>
  </si>
  <si>
    <t xml:space="preserve"> TAMPAK TIMUR</t>
  </si>
  <si>
    <t xml:space="preserve"> TAMPAK UTARA</t>
  </si>
  <si>
    <t>VII</t>
  </si>
  <si>
    <t>VII.1</t>
  </si>
  <si>
    <t xml:space="preserve"> SECONDARY SKIN</t>
  </si>
  <si>
    <t xml:space="preserve">   1. PARTISI ACP MOTIF</t>
  </si>
  <si>
    <t xml:space="preserve">   2. PARTISI GRILL CONWOOD</t>
  </si>
  <si>
    <t xml:space="preserve">   3. PARTISI ACP SOLID</t>
  </si>
  <si>
    <t xml:space="preserve">   4. KONSOL SOLARFLAT</t>
  </si>
  <si>
    <t xml:space="preserve"> LOGO DAN HURUF TIMBUL</t>
  </si>
  <si>
    <t xml:space="preserve">   1. LOGO</t>
  </si>
  <si>
    <t xml:space="preserve">   2. HURUF TIMBUL</t>
  </si>
  <si>
    <t xml:space="preserve"> DROP OFF AREA </t>
  </si>
  <si>
    <t xml:space="preserve">   1. FIN. LANTAI</t>
  </si>
  <si>
    <t xml:space="preserve">         A. PAS. GRANIT TILE</t>
  </si>
  <si>
    <t xml:space="preserve">   2. FIN. DINDING</t>
  </si>
  <si>
    <t xml:space="preserve">         A. PAS. GRANIT KOLOM</t>
  </si>
  <si>
    <t xml:space="preserve">         B. FIN. CAT DINDING</t>
  </si>
  <si>
    <t xml:space="preserve">   3. PEK. PLAFOND :</t>
  </si>
  <si>
    <t xml:space="preserve">         A. PAS. PLAFON WPC</t>
  </si>
  <si>
    <t xml:space="preserve">         B. PAS. GIPSUM</t>
  </si>
  <si>
    <t xml:space="preserve">         C. FIN. CAT</t>
  </si>
  <si>
    <t xml:space="preserve">         D. FIN. WATERFPROOF DAK</t>
  </si>
  <si>
    <t>VII.2</t>
  </si>
  <si>
    <t xml:space="preserve"> PARTISI ACP :</t>
  </si>
  <si>
    <t xml:space="preserve"> PAS. WALLPANEL CONWOOD</t>
  </si>
  <si>
    <t xml:space="preserve"> PAS. BT. ALAM KOLOM</t>
  </si>
  <si>
    <t>VII.3</t>
  </si>
  <si>
    <t>VII.4</t>
  </si>
  <si>
    <t>TAMPAK &amp; LANDSCAPE BANGUNAN</t>
  </si>
  <si>
    <t>VII.5</t>
  </si>
  <si>
    <t xml:space="preserve"> LANDSCAPE</t>
  </si>
  <si>
    <t xml:space="preserve"> PEK. LANDSCAPE</t>
  </si>
  <si>
    <t xml:space="preserve"> PEK. LEVELING TANAH</t>
  </si>
  <si>
    <t xml:space="preserve"> 1. PEK. URUGAN</t>
  </si>
  <si>
    <t xml:space="preserve"> 2. PEK, CUTTING</t>
  </si>
  <si>
    <t xml:space="preserve"> PEK. HARDSCAPE</t>
  </si>
  <si>
    <t xml:space="preserve"> 1. PEK. ASPAL JALAN</t>
  </si>
  <si>
    <t xml:space="preserve"> 2. PEK. PAVING </t>
  </si>
  <si>
    <t xml:space="preserve"> 3. PEK. PAVING RUMPUT</t>
  </si>
  <si>
    <t xml:space="preserve"> PEK. SOFTSCAPE</t>
  </si>
  <si>
    <t xml:space="preserve"> 1. PAS. RUMPUT SEMPADAN</t>
  </si>
  <si>
    <t>M3</t>
  </si>
  <si>
    <t xml:space="preserve"> 2. PEK. PLANTER BOXES :</t>
  </si>
  <si>
    <t xml:space="preserve">     1. PAS. DINDING BATA</t>
  </si>
  <si>
    <t xml:space="preserve">     2. PAS. BT. ALAM</t>
  </si>
  <si>
    <t xml:space="preserve">     3. URUGAN TANAH SUBUR</t>
  </si>
  <si>
    <t xml:space="preserve">   1. PEK. URUGAN</t>
  </si>
  <si>
    <t xml:space="preserve">   2. PEK, CUTTING</t>
  </si>
  <si>
    <t xml:space="preserve">   2. PEK. PAVING </t>
  </si>
  <si>
    <t xml:space="preserve">   3. PEK. PAVING RUMPUT</t>
  </si>
  <si>
    <t xml:space="preserve">   1. PAS. RUMPUT SEMPADAN</t>
  </si>
  <si>
    <t xml:space="preserve">   2. PEK. PLANTER BOXES :</t>
  </si>
  <si>
    <t xml:space="preserve">        1. PAS. DINDING BATA</t>
  </si>
  <si>
    <t xml:space="preserve">        2. PAS. BT. ALAM</t>
  </si>
  <si>
    <t xml:space="preserve">        3. URUGAN TANAH SUBUR</t>
  </si>
  <si>
    <t>PEKERJAAN ACP</t>
  </si>
  <si>
    <t>ALMN COMPOSITE PANEL</t>
  </si>
  <si>
    <t>Hollow galvanis 2X4</t>
  </si>
  <si>
    <t>Bracket (Spigot}</t>
  </si>
  <si>
    <t>Plat Strip Besi</t>
  </si>
  <si>
    <t xml:space="preserve"> Scafollding</t>
  </si>
  <si>
    <t xml:space="preserve"> Bor tangan ( listrik )</t>
  </si>
  <si>
    <t>`</t>
  </si>
  <si>
    <t>SUB. TOTAL TL</t>
  </si>
  <si>
    <t>TOTAL ( B + 1 + 2 + 3 + 4 + R + TL )</t>
  </si>
  <si>
    <t xml:space="preserve">          A. KONST. HOLLOW</t>
  </si>
  <si>
    <t xml:space="preserve">          B. PAS. SOLARFLAT</t>
  </si>
  <si>
    <t xml:space="preserve"> PASANGAN CONWOOD</t>
  </si>
  <si>
    <t>PANJANG</t>
  </si>
  <si>
    <t>LEBAR</t>
  </si>
  <si>
    <t>LUAS</t>
  </si>
  <si>
    <t>TEBAL</t>
  </si>
  <si>
    <t>MM</t>
  </si>
  <si>
    <t>HRG PER BTG</t>
  </si>
  <si>
    <t>HRG PER METER</t>
  </si>
  <si>
    <t>ONGKOS PSG</t>
  </si>
  <si>
    <t xml:space="preserve">          B. PAS. CONWOOD PLANK 2"- 16mm</t>
  </si>
  <si>
    <t xml:space="preserve">   1. PEK. PERKERASAN BETON JALAN (15cm )</t>
  </si>
  <si>
    <t>7.2.2.4</t>
  </si>
  <si>
    <t xml:space="preserve">1 m3 Perkerasan Beton Sc 3,8 Mpa (Setara Fc 30 Mpa) untuk Jalan Akses/Penghubung (Jalan Jalan Kolektor) Ready Mixed </t>
  </si>
  <si>
    <t>Kepala Tukang</t>
  </si>
  <si>
    <t xml:space="preserve">OH </t>
  </si>
  <si>
    <t>Adukan beton K-350 ready mix</t>
  </si>
  <si>
    <t>Kaso 5/7 kayu kelas II</t>
  </si>
  <si>
    <t>Multiplek tebal 12 mm</t>
  </si>
  <si>
    <t>Paku 2 inch</t>
  </si>
  <si>
    <t xml:space="preserve">kg </t>
  </si>
  <si>
    <t>Joint Sealant</t>
  </si>
  <si>
    <t>Curing Compound</t>
  </si>
  <si>
    <t xml:space="preserve">liter </t>
  </si>
  <si>
    <t>Polytene 125 Mikron</t>
  </si>
  <si>
    <t>Dowel Dia. 25 mm (BjTS)</t>
  </si>
  <si>
    <t>Tie Bar dia. 16 mm (BjTS)</t>
  </si>
  <si>
    <t>Concrete vibrator</t>
  </si>
  <si>
    <t xml:space="preserve">hari </t>
  </si>
  <si>
    <t>Cutter baja beton</t>
  </si>
  <si>
    <t>7.1.1.8</t>
  </si>
  <si>
    <t xml:space="preserve">Pemasangan 1 m2 Paving Block (Blok Beton) Natural Tebal 8 cm fc'25 Mpa dan Pengunci Topi Uskup untuk Jalan Akses/Penghubung  (Jalan Kolektor) Secara semi mekanis </t>
  </si>
  <si>
    <t>Paving Block Tebal 8 cm fc 25 Mpa</t>
  </si>
  <si>
    <t xml:space="preserve">Pasir Filler </t>
  </si>
  <si>
    <t>Pasir beton (quarry - lokasi pekerjaan)</t>
  </si>
  <si>
    <t xml:space="preserve">Stamper Kodok 150 kg </t>
  </si>
  <si>
    <t>3.10.4.3</t>
  </si>
  <si>
    <t>Pemasangan 1 m2 dinding batu tempel hitam</t>
  </si>
  <si>
    <t>Batu tempel hitam</t>
  </si>
  <si>
    <t>3.6.3.4</t>
  </si>
  <si>
    <t>Pemasangan 1 m2 glass block 20x20 cm, 1PC : 3PP</t>
  </si>
  <si>
    <t>3.16.6</t>
  </si>
  <si>
    <t>Pemasangan 1 buah Logo PU Akrilik ukuran 40x40 cm</t>
  </si>
  <si>
    <t xml:space="preserve">Logo PU Akrilik 40x40 cm </t>
  </si>
  <si>
    <t>Paku Beton 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</si>
</sst>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0.000"/>
    <numFmt numFmtId="167" formatCode="0.0000"/>
    <numFmt numFmtId="168" formatCode="0."/>
    <numFmt numFmtId="169" formatCode="_-* #,##0.000_-;\-* #,##0.000_-;_-* &quot;-&quot;???_-;_-@_-"/>
    <numFmt numFmtId="171" formatCode="_(* #,##0_);_(* \(#,##0\);_(* &quot;-&quot;_);_(@_)"/>
    <numFmt numFmtId="172" formatCode="_(* #,##0.00_);_(* \(#,##0.00\);_(* &quot;-&quot;_);_(@_)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</font>
    <font>
      <sz val="10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14" fillId="0" borderId="0">
      <alignment vertical="center"/>
    </xf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0" fontId="15" fillId="0" borderId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</cellStyleXfs>
  <cellXfs count="4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4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5" fillId="0" borderId="1" xfId="0" applyNumberFormat="1" applyFont="1" applyBorder="1" applyAlignment="1">
      <alignment vertical="center"/>
    </xf>
    <xf numFmtId="41" fontId="5" fillId="0" borderId="1" xfId="0" applyNumberFormat="1" applyFont="1" applyBorder="1" applyAlignment="1">
      <alignment vertical="center"/>
    </xf>
    <xf numFmtId="41" fontId="5" fillId="0" borderId="0" xfId="0" applyNumberFormat="1" applyFont="1" applyAlignment="1">
      <alignment vertical="center"/>
    </xf>
    <xf numFmtId="41" fontId="7" fillId="0" borderId="0" xfId="0" applyNumberFormat="1" applyFont="1" applyAlignment="1">
      <alignment vertical="center"/>
    </xf>
    <xf numFmtId="0" fontId="10" fillId="0" borderId="1" xfId="0" applyFont="1" applyBorder="1" applyAlignment="1">
      <alignment vertical="center"/>
    </xf>
    <xf numFmtId="0" fontId="16" fillId="5" borderId="0" xfId="1" applyFont="1" applyFill="1" applyAlignment="1">
      <alignment horizontal="left" vertical="top"/>
    </xf>
    <xf numFmtId="1" fontId="16" fillId="5" borderId="22" xfId="1" applyNumberFormat="1" applyFont="1" applyFill="1" applyBorder="1" applyAlignment="1">
      <alignment vertical="top"/>
    </xf>
    <xf numFmtId="1" fontId="16" fillId="5" borderId="22" xfId="1" applyNumberFormat="1" applyFont="1" applyFill="1" applyBorder="1" applyAlignment="1">
      <alignment vertical="top" wrapText="1"/>
    </xf>
    <xf numFmtId="0" fontId="7" fillId="0" borderId="0" xfId="0" applyFont="1"/>
    <xf numFmtId="0" fontId="17" fillId="5" borderId="11" xfId="1" applyFont="1" applyFill="1" applyBorder="1" applyAlignment="1">
      <alignment horizontal="center" vertical="center" wrapText="1"/>
    </xf>
    <xf numFmtId="0" fontId="17" fillId="5" borderId="12" xfId="1" applyFont="1" applyFill="1" applyBorder="1" applyAlignment="1">
      <alignment horizontal="center" vertical="center" wrapText="1"/>
    </xf>
    <xf numFmtId="0" fontId="17" fillId="5" borderId="14" xfId="1" applyFont="1" applyFill="1" applyBorder="1" applyAlignment="1">
      <alignment horizontal="center" vertical="top" wrapText="1"/>
    </xf>
    <xf numFmtId="0" fontId="17" fillId="5" borderId="7" xfId="1" applyFont="1" applyFill="1" applyBorder="1" applyAlignment="1">
      <alignment horizontal="left" vertical="top" wrapText="1"/>
    </xf>
    <xf numFmtId="0" fontId="18" fillId="5" borderId="7" xfId="1" applyFont="1" applyFill="1" applyBorder="1" applyAlignment="1">
      <alignment horizontal="left" wrapText="1"/>
    </xf>
    <xf numFmtId="1" fontId="18" fillId="5" borderId="14" xfId="1" applyNumberFormat="1" applyFont="1" applyFill="1" applyBorder="1" applyAlignment="1">
      <alignment horizontal="center" vertical="top" shrinkToFit="1"/>
    </xf>
    <xf numFmtId="0" fontId="17" fillId="5" borderId="7" xfId="1" applyFont="1" applyFill="1" applyBorder="1" applyAlignment="1">
      <alignment horizontal="center" vertical="top" wrapText="1"/>
    </xf>
    <xf numFmtId="0" fontId="17" fillId="5" borderId="21" xfId="1" applyFont="1" applyFill="1" applyBorder="1" applyAlignment="1">
      <alignment horizontal="centerContinuous" vertical="center"/>
    </xf>
    <xf numFmtId="0" fontId="17" fillId="5" borderId="9" xfId="1" applyFont="1" applyFill="1" applyBorder="1" applyAlignment="1">
      <alignment horizontal="centerContinuous" vertical="center"/>
    </xf>
    <xf numFmtId="1" fontId="18" fillId="5" borderId="14" xfId="1" quotePrefix="1" applyNumberFormat="1" applyFont="1" applyFill="1" applyBorder="1" applyAlignment="1">
      <alignment horizontal="center" vertical="top" shrinkToFit="1"/>
    </xf>
    <xf numFmtId="0" fontId="17" fillId="5" borderId="7" xfId="1" applyFont="1" applyFill="1" applyBorder="1" applyAlignment="1">
      <alignment horizontal="left" vertical="top"/>
    </xf>
    <xf numFmtId="0" fontId="17" fillId="5" borderId="14" xfId="1" applyFont="1" applyFill="1" applyBorder="1" applyAlignment="1">
      <alignment horizontal="left" vertical="top" wrapText="1" indent="1"/>
    </xf>
    <xf numFmtId="41" fontId="17" fillId="5" borderId="15" xfId="1" applyNumberFormat="1" applyFont="1" applyFill="1" applyBorder="1" applyAlignment="1">
      <alignment horizontal="right" vertical="top" wrapText="1" indent="1"/>
    </xf>
    <xf numFmtId="0" fontId="18" fillId="5" borderId="14" xfId="1" applyFont="1" applyFill="1" applyBorder="1" applyAlignment="1">
      <alignment horizontal="center" vertical="top"/>
    </xf>
    <xf numFmtId="0" fontId="18" fillId="5" borderId="8" xfId="1" applyFont="1" applyFill="1" applyBorder="1" applyAlignment="1">
      <alignment vertical="top"/>
    </xf>
    <xf numFmtId="0" fontId="18" fillId="5" borderId="9" xfId="1" applyFont="1" applyFill="1" applyBorder="1" applyAlignment="1">
      <alignment vertical="top"/>
    </xf>
    <xf numFmtId="0" fontId="18" fillId="5" borderId="16" xfId="1" applyFont="1" applyFill="1" applyBorder="1" applyAlignment="1">
      <alignment horizontal="center" vertical="top"/>
    </xf>
    <xf numFmtId="0" fontId="18" fillId="5" borderId="17" xfId="1" applyFont="1" applyFill="1" applyBorder="1" applyAlignment="1">
      <alignment vertical="top"/>
    </xf>
    <xf numFmtId="0" fontId="18" fillId="5" borderId="18" xfId="1" applyFont="1" applyFill="1" applyBorder="1" applyAlignment="1">
      <alignment vertical="top"/>
    </xf>
    <xf numFmtId="41" fontId="16" fillId="5" borderId="22" xfId="1" applyNumberFormat="1" applyFont="1" applyFill="1" applyBorder="1" applyAlignment="1">
      <alignment vertical="top" wrapText="1"/>
    </xf>
    <xf numFmtId="41" fontId="7" fillId="0" borderId="0" xfId="0" applyNumberFormat="1" applyFont="1"/>
    <xf numFmtId="41" fontId="17" fillId="5" borderId="12" xfId="1" applyNumberFormat="1" applyFont="1" applyFill="1" applyBorder="1" applyAlignment="1">
      <alignment horizontal="center" vertical="center" wrapText="1"/>
    </xf>
    <xf numFmtId="41" fontId="17" fillId="5" borderId="13" xfId="1" applyNumberFormat="1" applyFont="1" applyFill="1" applyBorder="1" applyAlignment="1">
      <alignment horizontal="center" vertical="center" wrapText="1"/>
    </xf>
    <xf numFmtId="41" fontId="18" fillId="5" borderId="7" xfId="1" applyNumberFormat="1" applyFont="1" applyFill="1" applyBorder="1" applyAlignment="1">
      <alignment horizontal="left" wrapText="1"/>
    </xf>
    <xf numFmtId="41" fontId="18" fillId="5" borderId="15" xfId="1" applyNumberFormat="1" applyFont="1" applyFill="1" applyBorder="1" applyAlignment="1">
      <alignment horizontal="left" wrapText="1"/>
    </xf>
    <xf numFmtId="41" fontId="18" fillId="5" borderId="7" xfId="1" applyNumberFormat="1" applyFont="1" applyFill="1" applyBorder="1" applyAlignment="1">
      <alignment horizontal="right" vertical="top" shrinkToFit="1"/>
    </xf>
    <xf numFmtId="41" fontId="18" fillId="5" borderId="15" xfId="1" applyNumberFormat="1" applyFont="1" applyFill="1" applyBorder="1" applyAlignment="1">
      <alignment horizontal="right" vertical="top" shrinkToFit="1"/>
    </xf>
    <xf numFmtId="41" fontId="17" fillId="5" borderId="10" xfId="1" applyNumberFormat="1" applyFont="1" applyFill="1" applyBorder="1" applyAlignment="1">
      <alignment horizontal="centerContinuous" vertical="center"/>
    </xf>
    <xf numFmtId="41" fontId="18" fillId="5" borderId="10" xfId="1" applyNumberFormat="1" applyFont="1" applyFill="1" applyBorder="1" applyAlignment="1">
      <alignment vertical="top"/>
    </xf>
    <xf numFmtId="41" fontId="18" fillId="5" borderId="7" xfId="1" applyNumberFormat="1" applyFont="1" applyFill="1" applyBorder="1" applyAlignment="1">
      <alignment vertical="top"/>
    </xf>
    <xf numFmtId="41" fontId="18" fillId="5" borderId="19" xfId="1" applyNumberFormat="1" applyFont="1" applyFill="1" applyBorder="1" applyAlignment="1">
      <alignment vertical="top"/>
    </xf>
    <xf numFmtId="41" fontId="16" fillId="5" borderId="20" xfId="1" applyNumberFormat="1" applyFont="1" applyFill="1" applyBorder="1" applyAlignment="1">
      <alignment vertical="top"/>
    </xf>
    <xf numFmtId="41" fontId="0" fillId="0" borderId="0" xfId="0" applyNumberFormat="1"/>
    <xf numFmtId="41" fontId="5" fillId="0" borderId="0" xfId="0" applyNumberFormat="1" applyFont="1"/>
    <xf numFmtId="0" fontId="16" fillId="5" borderId="0" xfId="4" applyFont="1" applyFill="1" applyAlignment="1">
      <alignment horizontal="left" vertical="top"/>
    </xf>
    <xf numFmtId="1" fontId="16" fillId="5" borderId="0" xfId="4" applyNumberFormat="1" applyFont="1" applyFill="1" applyAlignment="1">
      <alignment horizontal="left"/>
    </xf>
    <xf numFmtId="168" fontId="16" fillId="5" borderId="0" xfId="4" applyNumberFormat="1" applyFont="1" applyFill="1" applyAlignment="1">
      <alignment vertical="center" shrinkToFit="1"/>
    </xf>
    <xf numFmtId="0" fontId="17" fillId="5" borderId="11" xfId="4" applyFont="1" applyFill="1" applyBorder="1" applyAlignment="1">
      <alignment horizontal="center" vertical="center" wrapText="1"/>
    </xf>
    <xf numFmtId="0" fontId="17" fillId="5" borderId="12" xfId="4" applyFont="1" applyFill="1" applyBorder="1" applyAlignment="1">
      <alignment horizontal="center" vertical="center" wrapText="1"/>
    </xf>
    <xf numFmtId="0" fontId="17" fillId="5" borderId="14" xfId="4" applyFont="1" applyFill="1" applyBorder="1" applyAlignment="1">
      <alignment horizontal="center" vertical="top" wrapText="1"/>
    </xf>
    <xf numFmtId="0" fontId="17" fillId="5" borderId="7" xfId="4" applyFont="1" applyFill="1" applyBorder="1" applyAlignment="1">
      <alignment horizontal="left" vertical="top" wrapText="1"/>
    </xf>
    <xf numFmtId="0" fontId="18" fillId="5" borderId="7" xfId="4" applyFont="1" applyFill="1" applyBorder="1" applyAlignment="1">
      <alignment horizontal="left" wrapText="1"/>
    </xf>
    <xf numFmtId="1" fontId="18" fillId="5" borderId="14" xfId="4" applyNumberFormat="1" applyFont="1" applyFill="1" applyBorder="1" applyAlignment="1">
      <alignment horizontal="center" vertical="top" shrinkToFit="1"/>
    </xf>
    <xf numFmtId="0" fontId="17" fillId="5" borderId="7" xfId="4" applyFont="1" applyFill="1" applyBorder="1" applyAlignment="1">
      <alignment horizontal="center" vertical="top" wrapText="1"/>
    </xf>
    <xf numFmtId="167" fontId="18" fillId="5" borderId="7" xfId="4" applyNumberFormat="1" applyFont="1" applyFill="1" applyBorder="1" applyAlignment="1">
      <alignment horizontal="right" vertical="top" shrinkToFit="1"/>
    </xf>
    <xf numFmtId="0" fontId="17" fillId="5" borderId="21" xfId="4" applyFont="1" applyFill="1" applyBorder="1" applyAlignment="1">
      <alignment horizontal="centerContinuous" vertical="center"/>
    </xf>
    <xf numFmtId="0" fontId="17" fillId="5" borderId="9" xfId="4" applyFont="1" applyFill="1" applyBorder="1" applyAlignment="1">
      <alignment horizontal="centerContinuous" vertical="center"/>
    </xf>
    <xf numFmtId="166" fontId="17" fillId="5" borderId="9" xfId="4" applyNumberFormat="1" applyFont="1" applyFill="1" applyBorder="1" applyAlignment="1">
      <alignment horizontal="centerContinuous" vertical="center"/>
    </xf>
    <xf numFmtId="166" fontId="18" fillId="5" borderId="7" xfId="4" applyNumberFormat="1" applyFont="1" applyFill="1" applyBorder="1" applyAlignment="1">
      <alignment horizontal="right" vertical="top" shrinkToFit="1"/>
    </xf>
    <xf numFmtId="0" fontId="17" fillId="5" borderId="7" xfId="4" applyFont="1" applyFill="1" applyBorder="1" applyAlignment="1">
      <alignment horizontal="left" vertical="top"/>
    </xf>
    <xf numFmtId="0" fontId="17" fillId="5" borderId="14" xfId="4" applyFont="1" applyFill="1" applyBorder="1" applyAlignment="1">
      <alignment horizontal="left" vertical="top" wrapText="1" indent="1"/>
    </xf>
    <xf numFmtId="41" fontId="17" fillId="5" borderId="15" xfId="4" applyNumberFormat="1" applyFont="1" applyFill="1" applyBorder="1" applyAlignment="1">
      <alignment horizontal="right" vertical="top" wrapText="1" indent="1"/>
    </xf>
    <xf numFmtId="0" fontId="18" fillId="5" borderId="14" xfId="4" applyFont="1" applyFill="1" applyBorder="1" applyAlignment="1">
      <alignment horizontal="center" vertical="top"/>
    </xf>
    <xf numFmtId="0" fontId="18" fillId="5" borderId="8" xfId="4" applyFont="1" applyFill="1" applyBorder="1" applyAlignment="1">
      <alignment vertical="top"/>
    </xf>
    <xf numFmtId="0" fontId="18" fillId="5" borderId="9" xfId="4" applyFont="1" applyFill="1" applyBorder="1" applyAlignment="1">
      <alignment vertical="top"/>
    </xf>
    <xf numFmtId="0" fontId="18" fillId="5" borderId="10" xfId="4" applyFont="1" applyFill="1" applyBorder="1" applyAlignment="1">
      <alignment vertical="top"/>
    </xf>
    <xf numFmtId="0" fontId="18" fillId="5" borderId="16" xfId="4" applyFont="1" applyFill="1" applyBorder="1" applyAlignment="1">
      <alignment horizontal="center" vertical="top"/>
    </xf>
    <xf numFmtId="0" fontId="18" fillId="5" borderId="17" xfId="4" applyFont="1" applyFill="1" applyBorder="1" applyAlignment="1">
      <alignment vertical="top"/>
    </xf>
    <xf numFmtId="0" fontId="18" fillId="5" borderId="18" xfId="4" applyFont="1" applyFill="1" applyBorder="1" applyAlignment="1">
      <alignment vertical="top"/>
    </xf>
    <xf numFmtId="167" fontId="17" fillId="5" borderId="9" xfId="4" applyNumberFormat="1" applyFont="1" applyFill="1" applyBorder="1" applyAlignment="1">
      <alignment horizontal="centerContinuous" vertical="center"/>
    </xf>
    <xf numFmtId="41" fontId="16" fillId="5" borderId="0" xfId="4" applyNumberFormat="1" applyFont="1" applyFill="1" applyAlignment="1">
      <alignment vertical="center" shrinkToFit="1"/>
    </xf>
    <xf numFmtId="41" fontId="16" fillId="5" borderId="0" xfId="4" applyNumberFormat="1" applyFont="1" applyFill="1" applyAlignment="1">
      <alignment horizontal="left" vertical="top"/>
    </xf>
    <xf numFmtId="41" fontId="17" fillId="5" borderId="12" xfId="4" applyNumberFormat="1" applyFont="1" applyFill="1" applyBorder="1" applyAlignment="1">
      <alignment horizontal="center" vertical="center" wrapText="1"/>
    </xf>
    <xf numFmtId="41" fontId="17" fillId="5" borderId="13" xfId="4" applyNumberFormat="1" applyFont="1" applyFill="1" applyBorder="1" applyAlignment="1">
      <alignment horizontal="center" vertical="center" wrapText="1"/>
    </xf>
    <xf numFmtId="41" fontId="17" fillId="0" borderId="0" xfId="4" applyNumberFormat="1" applyFont="1">
      <alignment vertical="center"/>
    </xf>
    <xf numFmtId="41" fontId="18" fillId="5" borderId="7" xfId="4" applyNumberFormat="1" applyFont="1" applyFill="1" applyBorder="1" applyAlignment="1">
      <alignment horizontal="left" wrapText="1"/>
    </xf>
    <xf numFmtId="41" fontId="18" fillId="5" borderId="15" xfId="4" applyNumberFormat="1" applyFont="1" applyFill="1" applyBorder="1" applyAlignment="1">
      <alignment horizontal="left" wrapText="1"/>
    </xf>
    <xf numFmtId="41" fontId="18" fillId="5" borderId="7" xfId="4" applyNumberFormat="1" applyFont="1" applyFill="1" applyBorder="1" applyAlignment="1">
      <alignment horizontal="right" vertical="top" shrinkToFit="1"/>
    </xf>
    <xf numFmtId="41" fontId="18" fillId="5" borderId="15" xfId="4" applyNumberFormat="1" applyFont="1" applyFill="1" applyBorder="1" applyAlignment="1">
      <alignment horizontal="right" vertical="top" shrinkToFit="1"/>
    </xf>
    <xf numFmtId="41" fontId="17" fillId="5" borderId="10" xfId="4" applyNumberFormat="1" applyFont="1" applyFill="1" applyBorder="1" applyAlignment="1">
      <alignment horizontal="centerContinuous" vertical="center"/>
    </xf>
    <xf numFmtId="41" fontId="18" fillId="5" borderId="10" xfId="4" applyNumberFormat="1" applyFont="1" applyFill="1" applyBorder="1" applyAlignment="1">
      <alignment vertical="top"/>
    </xf>
    <xf numFmtId="41" fontId="18" fillId="5" borderId="0" xfId="4" applyNumberFormat="1" applyFont="1" applyFill="1" applyAlignment="1">
      <alignment horizontal="left" vertical="top"/>
    </xf>
    <xf numFmtId="41" fontId="18" fillId="5" borderId="7" xfId="4" applyNumberFormat="1" applyFont="1" applyFill="1" applyBorder="1" applyAlignment="1">
      <alignment vertical="top"/>
    </xf>
    <xf numFmtId="41" fontId="18" fillId="5" borderId="19" xfId="4" applyNumberFormat="1" applyFont="1" applyFill="1" applyBorder="1" applyAlignment="1">
      <alignment vertical="top"/>
    </xf>
    <xf numFmtId="41" fontId="16" fillId="5" borderId="20" xfId="4" applyNumberFormat="1" applyFont="1" applyFill="1" applyBorder="1" applyAlignment="1">
      <alignment vertical="top"/>
    </xf>
    <xf numFmtId="0" fontId="19" fillId="5" borderId="0" xfId="4" applyFont="1" applyFill="1">
      <alignment vertical="center"/>
    </xf>
    <xf numFmtId="168" fontId="16" fillId="5" borderId="22" xfId="4" applyNumberFormat="1" applyFont="1" applyFill="1" applyBorder="1" applyAlignment="1">
      <alignment vertical="center" wrapText="1" shrinkToFit="1"/>
    </xf>
    <xf numFmtId="0" fontId="17" fillId="5" borderId="14" xfId="4" applyFont="1" applyFill="1" applyBorder="1" applyAlignment="1">
      <alignment horizontal="center" vertical="center" wrapText="1"/>
    </xf>
    <xf numFmtId="0" fontId="17" fillId="5" borderId="7" xfId="4" applyFont="1" applyFill="1" applyBorder="1" applyAlignment="1">
      <alignment horizontal="left" vertical="center" wrapText="1"/>
    </xf>
    <xf numFmtId="0" fontId="18" fillId="5" borderId="7" xfId="4" applyFont="1" applyFill="1" applyBorder="1" applyAlignment="1">
      <alignment horizontal="left" vertical="center" wrapText="1"/>
    </xf>
    <xf numFmtId="1" fontId="18" fillId="5" borderId="14" xfId="4" applyNumberFormat="1" applyFont="1" applyFill="1" applyBorder="1" applyAlignment="1">
      <alignment horizontal="center" vertical="center" shrinkToFit="1"/>
    </xf>
    <xf numFmtId="0" fontId="17" fillId="5" borderId="7" xfId="4" applyFont="1" applyFill="1" applyBorder="1" applyAlignment="1">
      <alignment horizontal="center" vertical="center" wrapText="1"/>
    </xf>
    <xf numFmtId="1" fontId="18" fillId="5" borderId="14" xfId="4" quotePrefix="1" applyNumberFormat="1" applyFont="1" applyFill="1" applyBorder="1" applyAlignment="1">
      <alignment horizontal="center" vertical="center" shrinkToFit="1"/>
    </xf>
    <xf numFmtId="166" fontId="18" fillId="5" borderId="7" xfId="4" applyNumberFormat="1" applyFont="1" applyFill="1" applyBorder="1" applyAlignment="1">
      <alignment horizontal="right" vertical="center" shrinkToFit="1"/>
    </xf>
    <xf numFmtId="0" fontId="17" fillId="5" borderId="7" xfId="4" applyFont="1" applyFill="1" applyBorder="1" applyAlignment="1">
      <alignment horizontal="left" vertical="center"/>
    </xf>
    <xf numFmtId="0" fontId="17" fillId="5" borderId="14" xfId="4" applyFont="1" applyFill="1" applyBorder="1" applyAlignment="1">
      <alignment horizontal="left" vertical="center" wrapText="1"/>
    </xf>
    <xf numFmtId="41" fontId="17" fillId="5" borderId="15" xfId="4" applyNumberFormat="1" applyFont="1" applyFill="1" applyBorder="1" applyAlignment="1">
      <alignment horizontal="right" vertical="center" wrapText="1"/>
    </xf>
    <xf numFmtId="0" fontId="18" fillId="5" borderId="14" xfId="4" applyFont="1" applyFill="1" applyBorder="1" applyAlignment="1">
      <alignment horizontal="center" vertical="center"/>
    </xf>
    <xf numFmtId="0" fontId="18" fillId="5" borderId="8" xfId="4" applyFont="1" applyFill="1" applyBorder="1">
      <alignment vertical="center"/>
    </xf>
    <xf numFmtId="0" fontId="18" fillId="5" borderId="9" xfId="4" applyFont="1" applyFill="1" applyBorder="1">
      <alignment vertical="center"/>
    </xf>
    <xf numFmtId="0" fontId="18" fillId="5" borderId="10" xfId="4" applyFont="1" applyFill="1" applyBorder="1">
      <alignment vertical="center"/>
    </xf>
    <xf numFmtId="0" fontId="18" fillId="5" borderId="16" xfId="4" applyFont="1" applyFill="1" applyBorder="1" applyAlignment="1">
      <alignment horizontal="center" vertical="center"/>
    </xf>
    <xf numFmtId="0" fontId="18" fillId="5" borderId="17" xfId="4" applyFont="1" applyFill="1" applyBorder="1">
      <alignment vertical="center"/>
    </xf>
    <xf numFmtId="0" fontId="18" fillId="5" borderId="18" xfId="4" applyFont="1" applyFill="1" applyBorder="1">
      <alignment vertical="center"/>
    </xf>
    <xf numFmtId="41" fontId="16" fillId="5" borderId="22" xfId="4" applyNumberFormat="1" applyFont="1" applyFill="1" applyBorder="1" applyAlignment="1">
      <alignment vertical="center" wrapText="1" shrinkToFit="1"/>
    </xf>
    <xf numFmtId="41" fontId="18" fillId="5" borderId="7" xfId="4" applyNumberFormat="1" applyFont="1" applyFill="1" applyBorder="1" applyAlignment="1">
      <alignment horizontal="left" vertical="center" wrapText="1"/>
    </xf>
    <xf numFmtId="41" fontId="18" fillId="5" borderId="15" xfId="4" applyNumberFormat="1" applyFont="1" applyFill="1" applyBorder="1" applyAlignment="1">
      <alignment horizontal="left" vertical="center" wrapText="1"/>
    </xf>
    <xf numFmtId="41" fontId="18" fillId="5" borderId="7" xfId="4" applyNumberFormat="1" applyFont="1" applyFill="1" applyBorder="1" applyAlignment="1">
      <alignment horizontal="right" vertical="center" shrinkToFit="1"/>
    </xf>
    <xf numFmtId="41" fontId="18" fillId="5" borderId="15" xfId="4" applyNumberFormat="1" applyFont="1" applyFill="1" applyBorder="1" applyAlignment="1">
      <alignment horizontal="right" vertical="center" shrinkToFit="1"/>
    </xf>
    <xf numFmtId="41" fontId="18" fillId="5" borderId="10" xfId="4" applyNumberFormat="1" applyFont="1" applyFill="1" applyBorder="1">
      <alignment vertical="center"/>
    </xf>
    <xf numFmtId="41" fontId="18" fillId="5" borderId="7" xfId="4" applyNumberFormat="1" applyFont="1" applyFill="1" applyBorder="1">
      <alignment vertical="center"/>
    </xf>
    <xf numFmtId="41" fontId="18" fillId="5" borderId="19" xfId="4" applyNumberFormat="1" applyFont="1" applyFill="1" applyBorder="1">
      <alignment vertical="center"/>
    </xf>
    <xf numFmtId="41" fontId="16" fillId="5" borderId="20" xfId="4" applyNumberFormat="1" applyFont="1" applyFill="1" applyBorder="1">
      <alignment vertical="center"/>
    </xf>
    <xf numFmtId="41" fontId="16" fillId="5" borderId="0" xfId="4" applyNumberFormat="1" applyFont="1" applyFill="1" applyAlignment="1">
      <alignment horizontal="left" vertical="center"/>
    </xf>
    <xf numFmtId="41" fontId="18" fillId="5" borderId="0" xfId="4" applyNumberFormat="1" applyFont="1" applyFill="1" applyAlignment="1">
      <alignment horizontal="left" vertical="center"/>
    </xf>
    <xf numFmtId="169" fontId="16" fillId="5" borderId="22" xfId="1" applyNumberFormat="1" applyFont="1" applyFill="1" applyBorder="1" applyAlignment="1">
      <alignment vertical="top" wrapText="1"/>
    </xf>
    <xf numFmtId="169" fontId="17" fillId="5" borderId="12" xfId="1" applyNumberFormat="1" applyFont="1" applyFill="1" applyBorder="1" applyAlignment="1">
      <alignment horizontal="center" vertical="center" wrapText="1"/>
    </xf>
    <xf numFmtId="169" fontId="18" fillId="5" borderId="7" xfId="1" applyNumberFormat="1" applyFont="1" applyFill="1" applyBorder="1" applyAlignment="1">
      <alignment horizontal="left" wrapText="1"/>
    </xf>
    <xf numFmtId="169" fontId="18" fillId="5" borderId="7" xfId="1" applyNumberFormat="1" applyFont="1" applyFill="1" applyBorder="1" applyAlignment="1">
      <alignment horizontal="right" vertical="top" shrinkToFit="1"/>
    </xf>
    <xf numFmtId="169" fontId="17" fillId="5" borderId="9" xfId="1" applyNumberFormat="1" applyFont="1" applyFill="1" applyBorder="1" applyAlignment="1">
      <alignment horizontal="centerContinuous" vertical="center"/>
    </xf>
    <xf numFmtId="169" fontId="18" fillId="5" borderId="9" xfId="1" applyNumberFormat="1" applyFont="1" applyFill="1" applyBorder="1" applyAlignment="1">
      <alignment vertical="top"/>
    </xf>
    <xf numFmtId="169" fontId="18" fillId="5" borderId="10" xfId="1" applyNumberFormat="1" applyFont="1" applyFill="1" applyBorder="1" applyAlignment="1">
      <alignment vertical="top"/>
    </xf>
    <xf numFmtId="169" fontId="18" fillId="5" borderId="18" xfId="1" applyNumberFormat="1" applyFont="1" applyFill="1" applyBorder="1" applyAlignment="1">
      <alignment vertical="top"/>
    </xf>
    <xf numFmtId="169" fontId="7" fillId="0" borderId="0" xfId="0" applyNumberFormat="1" applyFont="1"/>
    <xf numFmtId="169" fontId="16" fillId="5" borderId="0" xfId="4" applyNumberFormat="1" applyFont="1" applyFill="1" applyAlignment="1">
      <alignment vertical="center" shrinkToFit="1"/>
    </xf>
    <xf numFmtId="169" fontId="17" fillId="5" borderId="12" xfId="4" applyNumberFormat="1" applyFont="1" applyFill="1" applyBorder="1" applyAlignment="1">
      <alignment horizontal="center" vertical="center" wrapText="1"/>
    </xf>
    <xf numFmtId="169" fontId="18" fillId="5" borderId="7" xfId="4" applyNumberFormat="1" applyFont="1" applyFill="1" applyBorder="1" applyAlignment="1">
      <alignment horizontal="left" wrapText="1"/>
    </xf>
    <xf numFmtId="169" fontId="18" fillId="5" borderId="7" xfId="4" applyNumberFormat="1" applyFont="1" applyFill="1" applyBorder="1" applyAlignment="1">
      <alignment horizontal="right" vertical="top" shrinkToFit="1"/>
    </xf>
    <xf numFmtId="169" fontId="17" fillId="5" borderId="9" xfId="4" applyNumberFormat="1" applyFont="1" applyFill="1" applyBorder="1" applyAlignment="1">
      <alignment horizontal="centerContinuous" vertical="center"/>
    </xf>
    <xf numFmtId="169" fontId="18" fillId="5" borderId="9" xfId="4" applyNumberFormat="1" applyFont="1" applyFill="1" applyBorder="1" applyAlignment="1">
      <alignment vertical="top"/>
    </xf>
    <xf numFmtId="169" fontId="18" fillId="5" borderId="10" xfId="4" applyNumberFormat="1" applyFont="1" applyFill="1" applyBorder="1" applyAlignment="1">
      <alignment vertical="top"/>
    </xf>
    <xf numFmtId="169" fontId="18" fillId="5" borderId="18" xfId="4" applyNumberFormat="1" applyFont="1" applyFill="1" applyBorder="1" applyAlignment="1">
      <alignment vertical="top"/>
    </xf>
    <xf numFmtId="169" fontId="16" fillId="5" borderId="22" xfId="4" applyNumberFormat="1" applyFont="1" applyFill="1" applyBorder="1" applyAlignment="1">
      <alignment vertical="center" wrapText="1" shrinkToFit="1"/>
    </xf>
    <xf numFmtId="169" fontId="18" fillId="5" borderId="7" xfId="4" applyNumberFormat="1" applyFont="1" applyFill="1" applyBorder="1" applyAlignment="1">
      <alignment horizontal="left" vertical="center" wrapText="1"/>
    </xf>
    <xf numFmtId="169" fontId="18" fillId="5" borderId="7" xfId="4" applyNumberFormat="1" applyFont="1" applyFill="1" applyBorder="1" applyAlignment="1">
      <alignment horizontal="right" vertical="center" shrinkToFit="1"/>
    </xf>
    <xf numFmtId="169" fontId="18" fillId="5" borderId="9" xfId="4" applyNumberFormat="1" applyFont="1" applyFill="1" applyBorder="1">
      <alignment vertical="center"/>
    </xf>
    <xf numFmtId="169" fontId="18" fillId="5" borderId="10" xfId="4" applyNumberFormat="1" applyFont="1" applyFill="1" applyBorder="1">
      <alignment vertical="center"/>
    </xf>
    <xf numFmtId="169" fontId="18" fillId="5" borderId="18" xfId="4" applyNumberFormat="1" applyFont="1" applyFill="1" applyBorder="1">
      <alignment vertical="center"/>
    </xf>
    <xf numFmtId="169" fontId="0" fillId="0" borderId="0" xfId="0" applyNumberFormat="1"/>
    <xf numFmtId="1" fontId="16" fillId="5" borderId="0" xfId="4" applyNumberFormat="1" applyFont="1" applyFill="1" applyAlignment="1">
      <alignment horizontal="left" vertical="center"/>
    </xf>
    <xf numFmtId="1" fontId="16" fillId="5" borderId="0" xfId="4" applyNumberFormat="1" applyFont="1" applyFill="1" applyAlignment="1">
      <alignment vertical="top"/>
    </xf>
    <xf numFmtId="2" fontId="18" fillId="5" borderId="7" xfId="4" applyNumberFormat="1" applyFont="1" applyFill="1" applyBorder="1" applyAlignment="1">
      <alignment horizontal="right" vertical="top" shrinkToFit="1"/>
    </xf>
    <xf numFmtId="41" fontId="17" fillId="5" borderId="0" xfId="4" applyNumberFormat="1" applyFont="1" applyFill="1">
      <alignment vertical="center"/>
    </xf>
    <xf numFmtId="1" fontId="16" fillId="5" borderId="0" xfId="4" applyNumberFormat="1" applyFont="1" applyFill="1" applyAlignment="1">
      <alignment vertical="top" wrapText="1"/>
    </xf>
    <xf numFmtId="0" fontId="18" fillId="5" borderId="7" xfId="4" applyFont="1" applyFill="1" applyBorder="1" applyAlignment="1">
      <alignment horizontal="right" vertical="top" shrinkToFit="1"/>
    </xf>
    <xf numFmtId="0" fontId="17" fillId="5" borderId="0" xfId="4" applyFont="1" applyFill="1" applyAlignment="1">
      <alignment horizontal="left" vertical="top" wrapText="1" indent="1"/>
    </xf>
    <xf numFmtId="0" fontId="17" fillId="5" borderId="0" xfId="4" applyFont="1" applyFill="1" applyAlignment="1">
      <alignment horizontal="left" vertical="top" wrapText="1"/>
    </xf>
    <xf numFmtId="1" fontId="16" fillId="5" borderId="0" xfId="4" applyNumberFormat="1" applyFont="1" applyFill="1" applyAlignment="1">
      <alignment horizontal="left" vertical="top"/>
    </xf>
    <xf numFmtId="41" fontId="16" fillId="5" borderId="0" xfId="4" applyNumberFormat="1" applyFont="1" applyFill="1" applyAlignment="1">
      <alignment vertical="top" wrapText="1"/>
    </xf>
    <xf numFmtId="41" fontId="17" fillId="5" borderId="0" xfId="4" applyNumberFormat="1" applyFont="1" applyFill="1" applyAlignment="1">
      <alignment horizontal="left" vertical="top" wrapText="1"/>
    </xf>
    <xf numFmtId="41" fontId="16" fillId="5" borderId="0" xfId="4" applyNumberFormat="1" applyFont="1" applyFill="1" applyAlignment="1">
      <alignment horizontal="right" vertical="top" shrinkToFit="1"/>
    </xf>
    <xf numFmtId="41" fontId="16" fillId="5" borderId="0" xfId="4" applyNumberFormat="1" applyFont="1" applyFill="1" applyAlignment="1">
      <alignment vertical="top"/>
    </xf>
    <xf numFmtId="1" fontId="16" fillId="5" borderId="22" xfId="4" applyNumberFormat="1" applyFont="1" applyFill="1" applyBorder="1" applyAlignment="1">
      <alignment vertical="top" wrapText="1"/>
    </xf>
    <xf numFmtId="1" fontId="16" fillId="5" borderId="0" xfId="1" applyNumberFormat="1" applyFont="1" applyFill="1" applyAlignment="1">
      <alignment vertical="top"/>
    </xf>
    <xf numFmtId="166" fontId="18" fillId="5" borderId="7" xfId="1" applyNumberFormat="1" applyFont="1" applyFill="1" applyBorder="1" applyAlignment="1">
      <alignment horizontal="right" vertical="top" shrinkToFit="1"/>
    </xf>
    <xf numFmtId="167" fontId="17" fillId="5" borderId="9" xfId="1" applyNumberFormat="1" applyFont="1" applyFill="1" applyBorder="1" applyAlignment="1">
      <alignment horizontal="centerContinuous" vertical="center"/>
    </xf>
    <xf numFmtId="0" fontId="17" fillId="5" borderId="14" xfId="1" quotePrefix="1" applyFont="1" applyFill="1" applyBorder="1" applyAlignment="1">
      <alignment horizontal="center" vertical="top" wrapText="1"/>
    </xf>
    <xf numFmtId="0" fontId="18" fillId="5" borderId="7" xfId="1" applyFont="1" applyFill="1" applyBorder="1" applyAlignment="1">
      <alignment horizontal="center"/>
    </xf>
    <xf numFmtId="166" fontId="18" fillId="5" borderId="7" xfId="1" applyNumberFormat="1" applyFont="1" applyFill="1" applyBorder="1" applyAlignment="1">
      <alignment horizontal="right" wrapText="1"/>
    </xf>
    <xf numFmtId="0" fontId="18" fillId="5" borderId="10" xfId="1" applyFont="1" applyFill="1" applyBorder="1" applyAlignment="1">
      <alignment vertical="top"/>
    </xf>
    <xf numFmtId="0" fontId="18" fillId="5" borderId="0" xfId="1" applyFont="1" applyFill="1" applyAlignment="1">
      <alignment horizontal="center" vertical="top"/>
    </xf>
    <xf numFmtId="0" fontId="18" fillId="5" borderId="0" xfId="1" applyFont="1" applyFill="1" applyAlignment="1">
      <alignment vertical="top"/>
    </xf>
    <xf numFmtId="167" fontId="18" fillId="5" borderId="7" xfId="1" applyNumberFormat="1" applyFont="1" applyFill="1" applyBorder="1" applyAlignment="1">
      <alignment horizontal="right" vertical="top" shrinkToFit="1"/>
    </xf>
    <xf numFmtId="41" fontId="16" fillId="5" borderId="22" xfId="4" applyNumberFormat="1" applyFont="1" applyFill="1" applyBorder="1" applyAlignment="1">
      <alignment vertical="top" wrapText="1"/>
    </xf>
    <xf numFmtId="41" fontId="16" fillId="5" borderId="0" xfId="1" applyNumberFormat="1" applyFont="1" applyFill="1" applyAlignment="1">
      <alignment vertical="top"/>
    </xf>
    <xf numFmtId="41" fontId="18" fillId="5" borderId="0" xfId="1" applyNumberFormat="1" applyFont="1" applyFill="1" applyAlignment="1">
      <alignment vertical="top"/>
    </xf>
    <xf numFmtId="41" fontId="16" fillId="5" borderId="0" xfId="1" applyNumberFormat="1" applyFont="1" applyFill="1" applyAlignment="1">
      <alignment horizontal="left" vertical="top"/>
    </xf>
    <xf numFmtId="41" fontId="17" fillId="0" borderId="0" xfId="1" applyNumberFormat="1" applyFont="1">
      <alignment vertical="center"/>
    </xf>
    <xf numFmtId="0" fontId="17" fillId="5" borderId="14" xfId="4" quotePrefix="1" applyFont="1" applyFill="1" applyBorder="1" applyAlignment="1">
      <alignment horizontal="center" vertical="top" wrapText="1"/>
    </xf>
    <xf numFmtId="0" fontId="18" fillId="5" borderId="7" xfId="4" applyFont="1" applyFill="1" applyBorder="1" applyAlignment="1">
      <alignment horizontal="center"/>
    </xf>
    <xf numFmtId="166" fontId="18" fillId="5" borderId="7" xfId="4" applyNumberFormat="1" applyFont="1" applyFill="1" applyBorder="1" applyAlignment="1">
      <alignment horizontal="right" wrapText="1"/>
    </xf>
    <xf numFmtId="0" fontId="18" fillId="5" borderId="0" xfId="4" applyFont="1" applyFill="1" applyAlignment="1">
      <alignment horizontal="center" vertical="top"/>
    </xf>
    <xf numFmtId="0" fontId="18" fillId="5" borderId="0" xfId="4" applyFont="1" applyFill="1" applyAlignment="1">
      <alignment vertical="top"/>
    </xf>
    <xf numFmtId="167" fontId="18" fillId="5" borderId="7" xfId="4" applyNumberFormat="1" applyFont="1" applyFill="1" applyBorder="1" applyAlignment="1">
      <alignment horizontal="right" wrapText="1"/>
    </xf>
    <xf numFmtId="41" fontId="18" fillId="5" borderId="0" xfId="4" applyNumberFormat="1" applyFont="1" applyFill="1" applyAlignment="1">
      <alignment vertical="top"/>
    </xf>
    <xf numFmtId="168" fontId="16" fillId="5" borderId="0" xfId="4" applyNumberFormat="1" applyFont="1" applyFill="1" applyAlignment="1">
      <alignment vertical="top" shrinkToFit="1"/>
    </xf>
    <xf numFmtId="41" fontId="16" fillId="5" borderId="0" xfId="4" applyNumberFormat="1" applyFont="1" applyFill="1" applyAlignment="1">
      <alignment vertical="top" shrinkToFit="1"/>
    </xf>
    <xf numFmtId="41" fontId="7" fillId="0" borderId="1" xfId="0" applyNumberFormat="1" applyFont="1" applyBorder="1" applyAlignment="1">
      <alignment vertical="center"/>
    </xf>
    <xf numFmtId="41" fontId="7" fillId="0" borderId="6" xfId="0" applyNumberFormat="1" applyFont="1" applyBorder="1" applyAlignment="1">
      <alignment vertical="center"/>
    </xf>
    <xf numFmtId="41" fontId="12" fillId="0" borderId="0" xfId="0" applyNumberFormat="1" applyFont="1" applyAlignment="1">
      <alignment vertical="center"/>
    </xf>
    <xf numFmtId="0" fontId="19" fillId="5" borderId="0" xfId="1" applyFont="1" applyFill="1">
      <alignment vertical="center"/>
    </xf>
    <xf numFmtId="168" fontId="16" fillId="5" borderId="0" xfId="1" applyNumberFormat="1" applyFont="1" applyFill="1" applyAlignment="1">
      <alignment vertical="top" shrinkToFit="1"/>
    </xf>
    <xf numFmtId="2" fontId="18" fillId="5" borderId="7" xfId="1" applyNumberFormat="1" applyFont="1" applyFill="1" applyBorder="1" applyAlignment="1">
      <alignment horizontal="right" vertical="top" shrinkToFit="1"/>
    </xf>
    <xf numFmtId="41" fontId="16" fillId="5" borderId="0" xfId="1" applyNumberFormat="1" applyFont="1" applyFill="1" applyAlignment="1">
      <alignment vertical="top" shrinkToFit="1"/>
    </xf>
    <xf numFmtId="41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8" fillId="5" borderId="7" xfId="4" applyFont="1" applyFill="1" applyBorder="1" applyAlignment="1">
      <alignment horizontal="right" vertical="center" shrinkToFi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5" borderId="7" xfId="4" applyFont="1" applyFill="1" applyBorder="1" applyAlignment="1">
      <alignment horizontal="center" vertical="top"/>
    </xf>
    <xf numFmtId="41" fontId="7" fillId="0" borderId="0" xfId="0" applyNumberFormat="1" applyFont="1" applyAlignment="1">
      <alignment horizontal="center" vertical="center"/>
    </xf>
    <xf numFmtId="167" fontId="18" fillId="5" borderId="7" xfId="4" applyNumberFormat="1" applyFont="1" applyFill="1" applyBorder="1" applyAlignment="1">
      <alignment horizontal="left" wrapText="1"/>
    </xf>
    <xf numFmtId="1" fontId="18" fillId="5" borderId="14" xfId="4" quotePrefix="1" applyNumberFormat="1" applyFont="1" applyFill="1" applyBorder="1" applyAlignment="1">
      <alignment horizontal="center" vertical="top" shrinkToFit="1"/>
    </xf>
    <xf numFmtId="41" fontId="7" fillId="0" borderId="1" xfId="0" applyNumberFormat="1" applyFont="1" applyBorder="1" applyAlignment="1">
      <alignment horizontal="center" vertical="center"/>
    </xf>
    <xf numFmtId="0" fontId="22" fillId="5" borderId="26" xfId="4" applyFont="1" applyFill="1" applyBorder="1" applyAlignment="1">
      <alignment horizontal="center" vertical="center"/>
    </xf>
    <xf numFmtId="0" fontId="23" fillId="5" borderId="23" xfId="4" applyFont="1" applyFill="1" applyBorder="1" applyAlignment="1">
      <alignment horizontal="center" vertical="center"/>
    </xf>
    <xf numFmtId="44" fontId="23" fillId="5" borderId="23" xfId="4" applyNumberFormat="1" applyFont="1" applyFill="1" applyBorder="1">
      <alignment vertical="center"/>
    </xf>
    <xf numFmtId="0" fontId="23" fillId="5" borderId="26" xfId="4" applyFont="1" applyFill="1" applyBorder="1" applyAlignment="1">
      <alignment horizontal="center" vertical="center"/>
    </xf>
    <xf numFmtId="0" fontId="23" fillId="5" borderId="24" xfId="4" applyFont="1" applyFill="1" applyBorder="1">
      <alignment vertical="center"/>
    </xf>
    <xf numFmtId="0" fontId="23" fillId="5" borderId="23" xfId="4" applyFont="1" applyFill="1" applyBorder="1">
      <alignment vertical="center"/>
    </xf>
    <xf numFmtId="0" fontId="24" fillId="0" borderId="0" xfId="0" applyFont="1"/>
    <xf numFmtId="0" fontId="25" fillId="0" borderId="1" xfId="0" applyFont="1" applyBorder="1" applyAlignment="1">
      <alignment vertical="center"/>
    </xf>
    <xf numFmtId="1" fontId="30" fillId="5" borderId="0" xfId="4" applyNumberFormat="1" applyFont="1" applyFill="1">
      <alignment vertical="center"/>
    </xf>
    <xf numFmtId="0" fontId="26" fillId="5" borderId="0" xfId="4" applyFont="1" applyFill="1">
      <alignment vertical="center"/>
    </xf>
    <xf numFmtId="168" fontId="30" fillId="5" borderId="0" xfId="4" applyNumberFormat="1" applyFont="1" applyFill="1" applyAlignment="1">
      <alignment vertical="center" shrinkToFit="1"/>
    </xf>
    <xf numFmtId="0" fontId="15" fillId="5" borderId="11" xfId="4" applyFill="1" applyBorder="1" applyAlignment="1">
      <alignment horizontal="center" vertical="center" wrapText="1"/>
    </xf>
    <xf numFmtId="0" fontId="15" fillId="5" borderId="12" xfId="4" applyFill="1" applyBorder="1" applyAlignment="1">
      <alignment horizontal="center" vertical="center" wrapText="1"/>
    </xf>
    <xf numFmtId="0" fontId="15" fillId="5" borderId="14" xfId="4" applyFill="1" applyBorder="1" applyAlignment="1">
      <alignment horizontal="center" vertical="center" wrapText="1"/>
    </xf>
    <xf numFmtId="0" fontId="15" fillId="5" borderId="7" xfId="4" applyFill="1" applyBorder="1" applyAlignment="1">
      <alignment horizontal="left" vertical="center" wrapText="1"/>
    </xf>
    <xf numFmtId="0" fontId="31" fillId="5" borderId="7" xfId="4" applyFont="1" applyFill="1" applyBorder="1" applyAlignment="1">
      <alignment horizontal="left" vertical="center" wrapText="1"/>
    </xf>
    <xf numFmtId="1" fontId="31" fillId="5" borderId="14" xfId="4" applyNumberFormat="1" applyFont="1" applyFill="1" applyBorder="1" applyAlignment="1">
      <alignment horizontal="center" vertical="center" shrinkToFit="1"/>
    </xf>
    <xf numFmtId="0" fontId="15" fillId="5" borderId="7" xfId="4" applyFill="1" applyBorder="1" applyAlignment="1">
      <alignment horizontal="center" vertical="center" wrapText="1"/>
    </xf>
    <xf numFmtId="166" fontId="31" fillId="5" borderId="7" xfId="4" applyNumberFormat="1" applyFont="1" applyFill="1" applyBorder="1" applyAlignment="1">
      <alignment horizontal="right" vertical="center" shrinkToFit="1"/>
    </xf>
    <xf numFmtId="0" fontId="15" fillId="5" borderId="21" xfId="4" applyFill="1" applyBorder="1" applyAlignment="1">
      <alignment horizontal="centerContinuous" vertical="center"/>
    </xf>
    <xf numFmtId="0" fontId="15" fillId="5" borderId="9" xfId="4" applyFill="1" applyBorder="1" applyAlignment="1">
      <alignment horizontal="centerContinuous" vertical="center"/>
    </xf>
    <xf numFmtId="167" fontId="15" fillId="5" borderId="9" xfId="4" applyNumberFormat="1" applyFill="1" applyBorder="1" applyAlignment="1">
      <alignment horizontal="centerContinuous" vertical="center"/>
    </xf>
    <xf numFmtId="2" fontId="31" fillId="5" borderId="7" xfId="4" applyNumberFormat="1" applyFont="1" applyFill="1" applyBorder="1" applyAlignment="1">
      <alignment horizontal="right" vertical="center" shrinkToFit="1"/>
    </xf>
    <xf numFmtId="0" fontId="15" fillId="5" borderId="7" xfId="4" applyFill="1" applyBorder="1" applyAlignment="1">
      <alignment horizontal="left" vertical="center"/>
    </xf>
    <xf numFmtId="2" fontId="15" fillId="5" borderId="7" xfId="4" applyNumberFormat="1" applyFill="1" applyBorder="1" applyAlignment="1">
      <alignment horizontal="right" vertical="center"/>
    </xf>
    <xf numFmtId="0" fontId="15" fillId="5" borderId="14" xfId="4" applyFill="1" applyBorder="1" applyAlignment="1">
      <alignment horizontal="left" vertical="center" wrapText="1"/>
    </xf>
    <xf numFmtId="41" fontId="15" fillId="5" borderId="15" xfId="4" applyNumberFormat="1" applyFill="1" applyBorder="1" applyAlignment="1">
      <alignment horizontal="right" vertical="center" wrapText="1"/>
    </xf>
    <xf numFmtId="0" fontId="31" fillId="5" borderId="14" xfId="4" applyFont="1" applyFill="1" applyBorder="1" applyAlignment="1">
      <alignment horizontal="center" vertical="center"/>
    </xf>
    <xf numFmtId="0" fontId="31" fillId="5" borderId="8" xfId="4" applyFont="1" applyFill="1" applyBorder="1">
      <alignment vertical="center"/>
    </xf>
    <xf numFmtId="0" fontId="31" fillId="5" borderId="9" xfId="4" applyFont="1" applyFill="1" applyBorder="1">
      <alignment vertical="center"/>
    </xf>
    <xf numFmtId="0" fontId="31" fillId="5" borderId="10" xfId="4" applyFont="1" applyFill="1" applyBorder="1">
      <alignment vertical="center"/>
    </xf>
    <xf numFmtId="0" fontId="31" fillId="5" borderId="16" xfId="4" applyFont="1" applyFill="1" applyBorder="1" applyAlignment="1">
      <alignment horizontal="center" vertical="center"/>
    </xf>
    <xf numFmtId="0" fontId="31" fillId="5" borderId="17" xfId="4" applyFont="1" applyFill="1" applyBorder="1">
      <alignment vertical="center"/>
    </xf>
    <xf numFmtId="0" fontId="31" fillId="5" borderId="18" xfId="4" applyFont="1" applyFill="1" applyBorder="1">
      <alignment vertical="center"/>
    </xf>
    <xf numFmtId="1" fontId="16" fillId="5" borderId="0" xfId="4" applyNumberFormat="1" applyFont="1" applyFill="1">
      <alignment vertical="center"/>
    </xf>
    <xf numFmtId="2" fontId="18" fillId="5" borderId="7" xfId="4" applyNumberFormat="1" applyFont="1" applyFill="1" applyBorder="1" applyAlignment="1">
      <alignment horizontal="right" vertical="center" shrinkToFit="1"/>
    </xf>
    <xf numFmtId="41" fontId="30" fillId="5" borderId="0" xfId="4" applyNumberFormat="1" applyFont="1" applyFill="1" applyAlignment="1">
      <alignment vertical="center" shrinkToFit="1"/>
    </xf>
    <xf numFmtId="41" fontId="15" fillId="5" borderId="12" xfId="4" applyNumberFormat="1" applyFill="1" applyBorder="1" applyAlignment="1">
      <alignment horizontal="center" vertical="center" wrapText="1"/>
    </xf>
    <xf numFmtId="41" fontId="15" fillId="5" borderId="13" xfId="4" applyNumberFormat="1" applyFill="1" applyBorder="1" applyAlignment="1">
      <alignment horizontal="center" vertical="center" wrapText="1"/>
    </xf>
    <xf numFmtId="41" fontId="31" fillId="5" borderId="7" xfId="4" applyNumberFormat="1" applyFont="1" applyFill="1" applyBorder="1" applyAlignment="1">
      <alignment horizontal="left" vertical="center" wrapText="1"/>
    </xf>
    <xf numFmtId="41" fontId="31" fillId="5" borderId="15" xfId="4" applyNumberFormat="1" applyFont="1" applyFill="1" applyBorder="1" applyAlignment="1">
      <alignment horizontal="left" vertical="center" wrapText="1"/>
    </xf>
    <xf numFmtId="41" fontId="31" fillId="5" borderId="7" xfId="4" applyNumberFormat="1" applyFont="1" applyFill="1" applyBorder="1" applyAlignment="1">
      <alignment horizontal="right" vertical="center" shrinkToFit="1"/>
    </xf>
    <xf numFmtId="41" fontId="31" fillId="5" borderId="15" xfId="4" applyNumberFormat="1" applyFont="1" applyFill="1" applyBorder="1" applyAlignment="1">
      <alignment horizontal="right" vertical="center" shrinkToFit="1"/>
    </xf>
    <xf numFmtId="41" fontId="15" fillId="5" borderId="10" xfId="4" applyNumberFormat="1" applyFill="1" applyBorder="1" applyAlignment="1">
      <alignment horizontal="centerContinuous" vertical="center"/>
    </xf>
    <xf numFmtId="41" fontId="31" fillId="5" borderId="10" xfId="4" applyNumberFormat="1" applyFont="1" applyFill="1" applyBorder="1">
      <alignment vertical="center"/>
    </xf>
    <xf numFmtId="41" fontId="31" fillId="5" borderId="7" xfId="4" applyNumberFormat="1" applyFont="1" applyFill="1" applyBorder="1">
      <alignment vertical="center"/>
    </xf>
    <xf numFmtId="41" fontId="31" fillId="5" borderId="19" xfId="4" applyNumberFormat="1" applyFont="1" applyFill="1" applyBorder="1">
      <alignment vertical="center"/>
    </xf>
    <xf numFmtId="4" fontId="29" fillId="5" borderId="0" xfId="4" applyNumberFormat="1" applyFont="1" applyFill="1" applyAlignment="1">
      <alignment horizontal="right" vertical="center" shrinkToFit="1"/>
    </xf>
    <xf numFmtId="0" fontId="29" fillId="5" borderId="0" xfId="4" applyFont="1" applyFill="1" applyAlignment="1">
      <alignment horizontal="left" vertical="center" wrapText="1"/>
    </xf>
    <xf numFmtId="41" fontId="27" fillId="5" borderId="0" xfId="4" applyNumberFormat="1" applyFont="1" applyFill="1" applyAlignment="1">
      <alignment horizontal="right" vertical="center" wrapText="1"/>
    </xf>
    <xf numFmtId="4" fontId="28" fillId="5" borderId="0" xfId="4" applyNumberFormat="1" applyFont="1" applyFill="1">
      <alignment vertical="center"/>
    </xf>
    <xf numFmtId="167" fontId="18" fillId="5" borderId="7" xfId="4" applyNumberFormat="1" applyFont="1" applyFill="1" applyBorder="1" applyAlignment="1">
      <alignment horizontal="right" vertical="center" shrinkToFit="1"/>
    </xf>
    <xf numFmtId="2" fontId="18" fillId="5" borderId="7" xfId="4" applyNumberFormat="1" applyFont="1" applyFill="1" applyBorder="1" applyAlignment="1">
      <alignment horizontal="right" vertical="center" wrapText="1"/>
    </xf>
    <xf numFmtId="0" fontId="17" fillId="5" borderId="0" xfId="4" applyFont="1" applyFill="1" applyAlignment="1">
      <alignment horizontal="left" vertical="center" wrapText="1"/>
    </xf>
    <xf numFmtId="41" fontId="17" fillId="5" borderId="0" xfId="4" applyNumberFormat="1" applyFont="1" applyFill="1" applyAlignment="1">
      <alignment horizontal="left" vertical="center" wrapText="1"/>
    </xf>
    <xf numFmtId="41" fontId="16" fillId="5" borderId="0" xfId="4" applyNumberFormat="1" applyFont="1" applyFill="1" applyAlignment="1">
      <alignment horizontal="right" vertical="center" shrinkToFit="1"/>
    </xf>
    <xf numFmtId="0" fontId="19" fillId="5" borderId="0" xfId="4" applyFont="1" applyFill="1" applyAlignment="1">
      <alignment horizontal="center" vertical="center"/>
    </xf>
    <xf numFmtId="168" fontId="16" fillId="5" borderId="0" xfId="4" applyNumberFormat="1" applyFont="1" applyFill="1" applyAlignment="1">
      <alignment horizontal="left" vertical="center" shrinkToFit="1"/>
    </xf>
    <xf numFmtId="41" fontId="30" fillId="5" borderId="0" xfId="4" applyNumberFormat="1" applyFont="1" applyFill="1" applyAlignment="1">
      <alignment horizontal="left" vertical="center"/>
    </xf>
    <xf numFmtId="41" fontId="15" fillId="0" borderId="0" xfId="4" applyNumberFormat="1">
      <alignment vertical="center"/>
    </xf>
    <xf numFmtId="41" fontId="16" fillId="5" borderId="0" xfId="4" applyNumberFormat="1" applyFont="1" applyFill="1" applyAlignment="1">
      <alignment horizontal="left" vertical="center" shrinkToFit="1"/>
    </xf>
    <xf numFmtId="0" fontId="16" fillId="5" borderId="0" xfId="4" applyFont="1" applyFill="1" applyAlignment="1">
      <alignment horizontal="center" vertical="center"/>
    </xf>
    <xf numFmtId="0" fontId="19" fillId="5" borderId="0" xfId="4" applyFont="1" applyFill="1" applyAlignment="1">
      <alignment horizontal="left" vertical="center"/>
    </xf>
    <xf numFmtId="0" fontId="18" fillId="5" borderId="0" xfId="4" applyFont="1" applyFill="1" applyAlignment="1">
      <alignment horizontal="left" vertical="center" wrapText="1"/>
    </xf>
    <xf numFmtId="0" fontId="17" fillId="5" borderId="14" xfId="4" quotePrefix="1" applyFont="1" applyFill="1" applyBorder="1" applyAlignment="1">
      <alignment horizontal="center" vertical="center" wrapText="1"/>
    </xf>
    <xf numFmtId="0" fontId="18" fillId="5" borderId="7" xfId="4" applyFont="1" applyFill="1" applyBorder="1" applyAlignment="1">
      <alignment horizontal="center" wrapText="1"/>
    </xf>
    <xf numFmtId="0" fontId="17" fillId="5" borderId="0" xfId="4" applyFont="1" applyFill="1" applyAlignment="1">
      <alignment horizontal="center" vertical="center" wrapText="1"/>
    </xf>
    <xf numFmtId="0" fontId="19" fillId="5" borderId="0" xfId="4" applyFont="1" applyFill="1" applyAlignment="1">
      <alignment vertical="center" wrapText="1"/>
    </xf>
    <xf numFmtId="41" fontId="18" fillId="5" borderId="0" xfId="4" applyNumberFormat="1" applyFont="1" applyFill="1" applyAlignment="1">
      <alignment horizontal="left" vertical="center" wrapText="1"/>
    </xf>
    <xf numFmtId="41" fontId="19" fillId="5" borderId="0" xfId="4" applyNumberFormat="1" applyFont="1" applyFill="1" applyAlignment="1">
      <alignment vertical="center" wrapText="1"/>
    </xf>
    <xf numFmtId="1" fontId="16" fillId="5" borderId="0" xfId="1" applyNumberFormat="1" applyFont="1" applyFill="1" applyAlignment="1">
      <alignment horizontal="left"/>
    </xf>
    <xf numFmtId="168" fontId="16" fillId="5" borderId="0" xfId="1" applyNumberFormat="1" applyFont="1" applyFill="1" applyAlignment="1">
      <alignment vertical="center" shrinkToFit="1"/>
    </xf>
    <xf numFmtId="166" fontId="17" fillId="5" borderId="9" xfId="1" applyNumberFormat="1" applyFont="1" applyFill="1" applyBorder="1" applyAlignment="1">
      <alignment horizontal="centerContinuous" vertical="center"/>
    </xf>
    <xf numFmtId="167" fontId="18" fillId="5" borderId="7" xfId="1" applyNumberFormat="1" applyFont="1" applyFill="1" applyBorder="1" applyAlignment="1">
      <alignment horizontal="left" wrapText="1"/>
    </xf>
    <xf numFmtId="41" fontId="16" fillId="5" borderId="0" xfId="1" applyNumberFormat="1" applyFont="1" applyFill="1" applyAlignment="1">
      <alignment vertical="center" shrinkToFit="1"/>
    </xf>
    <xf numFmtId="41" fontId="7" fillId="0" borderId="15" xfId="0" applyNumberFormat="1" applyFont="1" applyBorder="1"/>
    <xf numFmtId="0" fontId="7" fillId="0" borderId="27" xfId="0" applyFont="1" applyBorder="1" applyAlignment="1">
      <alignment vertical="center"/>
    </xf>
    <xf numFmtId="43" fontId="7" fillId="0" borderId="27" xfId="0" applyNumberFormat="1" applyFont="1" applyBorder="1" applyAlignment="1">
      <alignment vertical="center"/>
    </xf>
    <xf numFmtId="41" fontId="8" fillId="0" borderId="27" xfId="0" applyNumberFormat="1" applyFont="1" applyBorder="1" applyAlignment="1">
      <alignment vertical="center"/>
    </xf>
    <xf numFmtId="43" fontId="7" fillId="0" borderId="27" xfId="0" applyNumberFormat="1" applyFont="1" applyBorder="1" applyAlignment="1">
      <alignment horizontal="center" vertical="center"/>
    </xf>
    <xf numFmtId="41" fontId="7" fillId="0" borderId="27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21" fillId="4" borderId="0" xfId="0" applyFont="1" applyFill="1" applyAlignment="1">
      <alignment horizontal="center" vertical="center"/>
    </xf>
    <xf numFmtId="43" fontId="7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41" fontId="7" fillId="4" borderId="0" xfId="0" applyNumberFormat="1" applyFont="1" applyFill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43" fontId="6" fillId="3" borderId="32" xfId="0" applyNumberFormat="1" applyFont="1" applyFill="1" applyBorder="1" applyAlignment="1">
      <alignment horizontal="center" vertical="center"/>
    </xf>
    <xf numFmtId="41" fontId="6" fillId="3" borderId="32" xfId="0" applyNumberFormat="1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vertical="center"/>
    </xf>
    <xf numFmtId="0" fontId="7" fillId="4" borderId="32" xfId="0" applyFont="1" applyFill="1" applyBorder="1" applyAlignment="1">
      <alignment vertical="center"/>
    </xf>
    <xf numFmtId="0" fontId="21" fillId="4" borderId="32" xfId="0" applyFont="1" applyFill="1" applyBorder="1" applyAlignment="1">
      <alignment horizontal="center" vertical="center"/>
    </xf>
    <xf numFmtId="43" fontId="7" fillId="4" borderId="32" xfId="0" applyNumberFormat="1" applyFont="1" applyFill="1" applyBorder="1" applyAlignment="1">
      <alignment vertical="center"/>
    </xf>
    <xf numFmtId="0" fontId="7" fillId="4" borderId="32" xfId="0" applyFont="1" applyFill="1" applyBorder="1" applyAlignment="1">
      <alignment horizontal="center" vertical="center"/>
    </xf>
    <xf numFmtId="41" fontId="7" fillId="4" borderId="32" xfId="0" applyNumberFormat="1" applyFont="1" applyFill="1" applyBorder="1" applyAlignment="1">
      <alignment vertical="center"/>
    </xf>
    <xf numFmtId="41" fontId="7" fillId="4" borderId="33" xfId="0" applyNumberFormat="1" applyFont="1" applyFill="1" applyBorder="1" applyAlignment="1">
      <alignment vertical="center"/>
    </xf>
    <xf numFmtId="0" fontId="7" fillId="4" borderId="30" xfId="0" applyFont="1" applyFill="1" applyBorder="1" applyAlignment="1">
      <alignment vertical="center"/>
    </xf>
    <xf numFmtId="41" fontId="6" fillId="4" borderId="29" xfId="0" applyNumberFormat="1" applyFont="1" applyFill="1" applyBorder="1" applyAlignment="1">
      <alignment vertical="center"/>
    </xf>
    <xf numFmtId="41" fontId="7" fillId="4" borderId="29" xfId="0" applyNumberFormat="1" applyFont="1" applyFill="1" applyBorder="1" applyAlignment="1">
      <alignment vertical="center"/>
    </xf>
    <xf numFmtId="0" fontId="7" fillId="4" borderId="34" xfId="0" applyFont="1" applyFill="1" applyBorder="1" applyAlignment="1">
      <alignment vertical="center"/>
    </xf>
    <xf numFmtId="0" fontId="7" fillId="4" borderId="35" xfId="0" applyFont="1" applyFill="1" applyBorder="1" applyAlignment="1">
      <alignment vertical="center"/>
    </xf>
    <xf numFmtId="0" fontId="21" fillId="4" borderId="35" xfId="0" applyFont="1" applyFill="1" applyBorder="1" applyAlignment="1">
      <alignment horizontal="center" vertical="center"/>
    </xf>
    <xf numFmtId="43" fontId="7" fillId="4" borderId="35" xfId="0" applyNumberFormat="1" applyFont="1" applyFill="1" applyBorder="1" applyAlignment="1">
      <alignment vertical="center"/>
    </xf>
    <xf numFmtId="0" fontId="7" fillId="4" borderId="35" xfId="0" applyFont="1" applyFill="1" applyBorder="1" applyAlignment="1">
      <alignment horizontal="center" vertical="center"/>
    </xf>
    <xf numFmtId="41" fontId="7" fillId="4" borderId="35" xfId="0" applyNumberFormat="1" applyFont="1" applyFill="1" applyBorder="1" applyAlignment="1">
      <alignment vertical="center"/>
    </xf>
    <xf numFmtId="41" fontId="7" fillId="4" borderId="36" xfId="0" applyNumberFormat="1" applyFont="1" applyFill="1" applyBorder="1" applyAlignment="1">
      <alignment vertical="center"/>
    </xf>
    <xf numFmtId="0" fontId="6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41" fontId="6" fillId="3" borderId="39" xfId="0" applyNumberFormat="1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41" fontId="7" fillId="0" borderId="28" xfId="0" applyNumberFormat="1" applyFont="1" applyBorder="1" applyAlignment="1">
      <alignment vertical="center"/>
    </xf>
    <xf numFmtId="41" fontId="7" fillId="0" borderId="2" xfId="0" applyNumberFormat="1" applyFont="1" applyBorder="1" applyAlignment="1">
      <alignment horizontal="center" vertical="center"/>
    </xf>
    <xf numFmtId="41" fontId="10" fillId="0" borderId="2" xfId="0" applyNumberFormat="1" applyFont="1" applyBorder="1" applyAlignment="1">
      <alignment vertical="center"/>
    </xf>
    <xf numFmtId="41" fontId="7" fillId="0" borderId="38" xfId="0" applyNumberFormat="1" applyFont="1" applyBorder="1" applyAlignment="1">
      <alignment vertical="center"/>
    </xf>
    <xf numFmtId="0" fontId="6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32" fillId="0" borderId="2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43" fontId="5" fillId="0" borderId="6" xfId="0" applyNumberFormat="1" applyFont="1" applyBorder="1" applyAlignment="1">
      <alignment horizontal="center" vertical="center"/>
    </xf>
    <xf numFmtId="41" fontId="5" fillId="0" borderId="6" xfId="0" applyNumberFormat="1" applyFont="1" applyBorder="1" applyAlignment="1">
      <alignment horizontal="center" vertical="center"/>
    </xf>
    <xf numFmtId="41" fontId="5" fillId="0" borderId="44" xfId="0" applyNumberFormat="1" applyFont="1" applyBorder="1" applyAlignment="1">
      <alignment horizont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41" fontId="7" fillId="0" borderId="6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2" fillId="5" borderId="25" xfId="4" applyFont="1" applyFill="1" applyBorder="1" applyAlignment="1">
      <alignment horizontal="left" vertical="center"/>
    </xf>
    <xf numFmtId="0" fontId="22" fillId="5" borderId="24" xfId="4" applyFont="1" applyFill="1" applyBorder="1" applyAlignment="1">
      <alignment horizontal="left" vertical="center"/>
    </xf>
    <xf numFmtId="41" fontId="6" fillId="4" borderId="0" xfId="0" applyNumberFormat="1" applyFont="1" applyFill="1" applyAlignment="1">
      <alignment horizontal="center" vertical="center"/>
    </xf>
    <xf numFmtId="0" fontId="2" fillId="0" borderId="28" xfId="0" applyFont="1" applyBorder="1" applyAlignment="1">
      <alignment horizontal="right" vertical="center"/>
    </xf>
    <xf numFmtId="0" fontId="17" fillId="5" borderId="9" xfId="4" applyFont="1" applyFill="1" applyBorder="1" applyAlignment="1">
      <alignment horizontal="left" vertical="center"/>
    </xf>
    <xf numFmtId="0" fontId="17" fillId="5" borderId="7" xfId="4" applyFont="1" applyFill="1" applyBorder="1" applyAlignment="1">
      <alignment horizontal="right" vertical="top" wrapText="1"/>
    </xf>
    <xf numFmtId="0" fontId="17" fillId="5" borderId="9" xfId="4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" fontId="16" fillId="5" borderId="49" xfId="0" applyNumberFormat="1" applyFont="1" applyFill="1" applyBorder="1" applyAlignment="1">
      <alignment vertical="top"/>
    </xf>
    <xf numFmtId="4" fontId="16" fillId="5" borderId="0" xfId="0" applyNumberFormat="1" applyFont="1" applyFill="1" applyAlignment="1">
      <alignment horizontal="left" vertical="top"/>
    </xf>
    <xf numFmtId="0" fontId="17" fillId="5" borderId="50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left" vertical="top"/>
    </xf>
    <xf numFmtId="0" fontId="17" fillId="5" borderId="7" xfId="0" applyFont="1" applyFill="1" applyBorder="1" applyAlignment="1">
      <alignment horizontal="center" vertical="top" wrapText="1"/>
    </xf>
    <xf numFmtId="0" fontId="17" fillId="5" borderId="7" xfId="0" applyFont="1" applyFill="1" applyBorder="1" applyAlignment="1">
      <alignment horizontal="left" vertical="top" wrapText="1"/>
    </xf>
    <xf numFmtId="0" fontId="18" fillId="5" borderId="7" xfId="0" applyFont="1" applyFill="1" applyBorder="1" applyAlignment="1">
      <alignment horizontal="left" wrapText="1"/>
    </xf>
    <xf numFmtId="1" fontId="18" fillId="5" borderId="7" xfId="0" applyNumberFormat="1" applyFont="1" applyFill="1" applyBorder="1" applyAlignment="1">
      <alignment horizontal="center" vertical="top" shrinkToFit="1"/>
    </xf>
    <xf numFmtId="0" fontId="17" fillId="5" borderId="7" xfId="0" applyFont="1" applyFill="1" applyBorder="1" applyAlignment="1">
      <alignment horizontal="left" vertical="top" wrapText="1" indent="1"/>
    </xf>
    <xf numFmtId="167" fontId="18" fillId="5" borderId="7" xfId="0" applyNumberFormat="1" applyFont="1" applyFill="1" applyBorder="1" applyAlignment="1">
      <alignment horizontal="right" vertical="top" shrinkToFit="1"/>
    </xf>
    <xf numFmtId="4" fontId="18" fillId="5" borderId="7" xfId="0" applyNumberFormat="1" applyFont="1" applyFill="1" applyBorder="1" applyAlignment="1">
      <alignment horizontal="right" vertical="top" shrinkToFit="1"/>
    </xf>
    <xf numFmtId="0" fontId="17" fillId="5" borderId="8" xfId="0" applyFont="1" applyFill="1" applyBorder="1" applyAlignment="1">
      <alignment horizontal="centerContinuous" vertical="center"/>
    </xf>
    <xf numFmtId="0" fontId="17" fillId="5" borderId="9" xfId="0" applyFont="1" applyFill="1" applyBorder="1" applyAlignment="1">
      <alignment horizontal="centerContinuous" vertical="center"/>
    </xf>
    <xf numFmtId="167" fontId="17" fillId="5" borderId="9" xfId="0" applyNumberFormat="1" applyFont="1" applyFill="1" applyBorder="1" applyAlignment="1">
      <alignment horizontal="centerContinuous" vertical="center"/>
    </xf>
    <xf numFmtId="167" fontId="17" fillId="5" borderId="10" xfId="0" applyNumberFormat="1" applyFont="1" applyFill="1" applyBorder="1" applyAlignment="1">
      <alignment horizontal="centerContinuous" vertical="center"/>
    </xf>
    <xf numFmtId="167" fontId="16" fillId="5" borderId="0" xfId="0" applyNumberFormat="1" applyFont="1" applyFill="1" applyAlignment="1">
      <alignment horizontal="left" vertical="top"/>
    </xf>
    <xf numFmtId="0" fontId="18" fillId="5" borderId="7" xfId="0" applyFont="1" applyFill="1" applyBorder="1" applyAlignment="1">
      <alignment horizontal="center" wrapText="1"/>
    </xf>
    <xf numFmtId="167" fontId="18" fillId="5" borderId="7" xfId="0" applyNumberFormat="1" applyFont="1" applyFill="1" applyBorder="1" applyAlignment="1">
      <alignment horizontal="right" wrapText="1"/>
    </xf>
    <xf numFmtId="0" fontId="17" fillId="5" borderId="8" xfId="0" applyFont="1" applyFill="1" applyBorder="1" applyAlignment="1">
      <alignment horizontal="center" vertical="top" wrapText="1"/>
    </xf>
    <xf numFmtId="0" fontId="17" fillId="5" borderId="10" xfId="0" applyFont="1" applyFill="1" applyBorder="1" applyAlignment="1">
      <alignment horizontal="centerContinuous" vertical="center"/>
    </xf>
    <xf numFmtId="0" fontId="18" fillId="5" borderId="7" xfId="0" applyFont="1" applyFill="1" applyBorder="1" applyAlignment="1">
      <alignment horizontal="right" wrapText="1"/>
    </xf>
    <xf numFmtId="165" fontId="17" fillId="5" borderId="7" xfId="12" applyFont="1" applyFill="1" applyBorder="1" applyAlignment="1">
      <alignment vertical="top" wrapText="1"/>
    </xf>
    <xf numFmtId="0" fontId="18" fillId="5" borderId="7" xfId="0" applyFont="1" applyFill="1" applyBorder="1" applyAlignment="1">
      <alignment horizontal="center" vertical="top"/>
    </xf>
    <xf numFmtId="0" fontId="18" fillId="5" borderId="8" xfId="0" applyFont="1" applyFill="1" applyBorder="1" applyAlignment="1">
      <alignment vertical="top"/>
    </xf>
    <xf numFmtId="0" fontId="18" fillId="5" borderId="9" xfId="0" applyFont="1" applyFill="1" applyBorder="1" applyAlignment="1">
      <alignment vertical="top"/>
    </xf>
    <xf numFmtId="0" fontId="18" fillId="5" borderId="10" xfId="0" applyFont="1" applyFill="1" applyBorder="1" applyAlignment="1">
      <alignment vertical="top"/>
    </xf>
    <xf numFmtId="4" fontId="18" fillId="5" borderId="8" xfId="0" applyNumberFormat="1" applyFont="1" applyFill="1" applyBorder="1" applyAlignment="1">
      <alignment horizontal="right" vertical="top" shrinkToFit="1"/>
    </xf>
    <xf numFmtId="0" fontId="16" fillId="5" borderId="45" xfId="0" applyFont="1" applyFill="1" applyBorder="1" applyAlignment="1">
      <alignment horizontal="left" vertical="top"/>
    </xf>
    <xf numFmtId="9" fontId="18" fillId="5" borderId="7" xfId="0" applyNumberFormat="1" applyFont="1" applyFill="1" applyBorder="1" applyAlignment="1">
      <alignment vertical="top"/>
    </xf>
    <xf numFmtId="4" fontId="16" fillId="5" borderId="8" xfId="0" applyNumberFormat="1" applyFont="1" applyFill="1" applyBorder="1" applyAlignment="1">
      <alignment vertical="top"/>
    </xf>
    <xf numFmtId="166" fontId="18" fillId="5" borderId="7" xfId="0" applyNumberFormat="1" applyFont="1" applyFill="1" applyBorder="1" applyAlignment="1">
      <alignment horizontal="right" vertical="top" shrinkToFit="1"/>
    </xf>
    <xf numFmtId="166" fontId="18" fillId="5" borderId="7" xfId="0" applyNumberFormat="1" applyFont="1" applyFill="1" applyBorder="1" applyAlignment="1">
      <alignment horizontal="right" wrapText="1"/>
    </xf>
    <xf numFmtId="171" fontId="17" fillId="5" borderId="7" xfId="0" applyNumberFormat="1" applyFont="1" applyFill="1" applyBorder="1" applyAlignment="1">
      <alignment horizontal="right" vertical="top" wrapText="1" indent="1"/>
    </xf>
    <xf numFmtId="0" fontId="19" fillId="5" borderId="0" xfId="0" applyFont="1" applyFill="1" applyAlignment="1">
      <alignment vertical="center"/>
    </xf>
    <xf numFmtId="1" fontId="16" fillId="5" borderId="0" xfId="0" applyNumberFormat="1" applyFont="1" applyFill="1" applyAlignment="1">
      <alignment horizontal="left" vertical="center"/>
    </xf>
    <xf numFmtId="4" fontId="16" fillId="5" borderId="0" xfId="0" applyNumberFormat="1" applyFont="1" applyFill="1" applyAlignment="1">
      <alignment horizontal="left" vertical="center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left" vertical="center"/>
    </xf>
    <xf numFmtId="0" fontId="17" fillId="5" borderId="1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8" fillId="5" borderId="7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left" vertical="center" wrapText="1"/>
    </xf>
    <xf numFmtId="1" fontId="18" fillId="5" borderId="14" xfId="0" applyNumberFormat="1" applyFont="1" applyFill="1" applyBorder="1" applyAlignment="1">
      <alignment horizontal="center" vertical="center" shrinkToFit="1"/>
    </xf>
    <xf numFmtId="0" fontId="17" fillId="5" borderId="7" xfId="0" applyFont="1" applyFill="1" applyBorder="1" applyAlignment="1">
      <alignment horizontal="center" vertical="center" wrapText="1"/>
    </xf>
    <xf numFmtId="166" fontId="18" fillId="5" borderId="7" xfId="0" applyNumberFormat="1" applyFont="1" applyFill="1" applyBorder="1" applyAlignment="1">
      <alignment horizontal="right" vertical="center" shrinkToFit="1"/>
    </xf>
    <xf numFmtId="4" fontId="18" fillId="5" borderId="7" xfId="0" applyNumberFormat="1" applyFont="1" applyFill="1" applyBorder="1" applyAlignment="1">
      <alignment horizontal="right" vertical="center" shrinkToFit="1"/>
    </xf>
    <xf numFmtId="4" fontId="18" fillId="5" borderId="15" xfId="0" applyNumberFormat="1" applyFont="1" applyFill="1" applyBorder="1" applyAlignment="1">
      <alignment horizontal="right" vertical="center" shrinkToFit="1"/>
    </xf>
    <xf numFmtId="0" fontId="17" fillId="5" borderId="21" xfId="0" applyFont="1" applyFill="1" applyBorder="1" applyAlignment="1">
      <alignment horizontal="centerContinuous" vertical="center"/>
    </xf>
    <xf numFmtId="167" fontId="18" fillId="5" borderId="0" xfId="0" applyNumberFormat="1" applyFont="1" applyFill="1" applyAlignment="1">
      <alignment horizontal="left" vertical="center"/>
    </xf>
    <xf numFmtId="1" fontId="18" fillId="5" borderId="14" xfId="0" quotePrefix="1" applyNumberFormat="1" applyFont="1" applyFill="1" applyBorder="1" applyAlignment="1">
      <alignment horizontal="center" vertical="center" shrinkToFit="1"/>
    </xf>
    <xf numFmtId="0" fontId="17" fillId="5" borderId="7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 wrapText="1"/>
    </xf>
    <xf numFmtId="171" fontId="17" fillId="5" borderId="15" xfId="0" applyNumberFormat="1" applyFont="1" applyFill="1" applyBorder="1" applyAlignment="1">
      <alignment horizontal="right" vertical="center" wrapText="1"/>
    </xf>
    <xf numFmtId="0" fontId="18" fillId="5" borderId="14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vertical="center"/>
    </xf>
    <xf numFmtId="0" fontId="18" fillId="5" borderId="9" xfId="0" applyFont="1" applyFill="1" applyBorder="1" applyAlignment="1">
      <alignment vertical="center"/>
    </xf>
    <xf numFmtId="0" fontId="18" fillId="5" borderId="10" xfId="0" applyFont="1" applyFill="1" applyBorder="1" applyAlignment="1">
      <alignment vertical="center"/>
    </xf>
    <xf numFmtId="9" fontId="18" fillId="5" borderId="7" xfId="0" applyNumberFormat="1" applyFont="1" applyFill="1" applyBorder="1" applyAlignment="1">
      <alignment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vertical="center"/>
    </xf>
    <xf numFmtId="0" fontId="18" fillId="5" borderId="18" xfId="0" applyFont="1" applyFill="1" applyBorder="1" applyAlignment="1">
      <alignment vertical="center"/>
    </xf>
    <xf numFmtId="0" fontId="18" fillId="5" borderId="19" xfId="0" applyFont="1" applyFill="1" applyBorder="1" applyAlignment="1">
      <alignment vertical="center"/>
    </xf>
    <xf numFmtId="4" fontId="16" fillId="5" borderId="20" xfId="0" applyNumberFormat="1" applyFont="1" applyFill="1" applyBorder="1" applyAlignment="1">
      <alignment vertical="center"/>
    </xf>
    <xf numFmtId="1" fontId="16" fillId="5" borderId="0" xfId="0" applyNumberFormat="1" applyFont="1" applyFill="1" applyAlignment="1">
      <alignment horizontal="left"/>
    </xf>
    <xf numFmtId="1" fontId="19" fillId="5" borderId="0" xfId="0" applyNumberFormat="1" applyFont="1" applyFill="1" applyAlignment="1">
      <alignment vertical="top" wrapText="1"/>
    </xf>
    <xf numFmtId="0" fontId="18" fillId="5" borderId="0" xfId="0" applyFont="1" applyFill="1" applyAlignment="1">
      <alignment horizontal="left" vertical="top"/>
    </xf>
    <xf numFmtId="0" fontId="17" fillId="5" borderId="14" xfId="0" applyFont="1" applyFill="1" applyBorder="1" applyAlignment="1">
      <alignment horizontal="center" vertical="top" wrapText="1"/>
    </xf>
    <xf numFmtId="0" fontId="18" fillId="5" borderId="15" xfId="0" applyFont="1" applyFill="1" applyBorder="1" applyAlignment="1">
      <alignment horizontal="left" wrapText="1"/>
    </xf>
    <xf numFmtId="1" fontId="18" fillId="5" borderId="14" xfId="0" applyNumberFormat="1" applyFont="1" applyFill="1" applyBorder="1" applyAlignment="1">
      <alignment horizontal="center" vertical="top" shrinkToFit="1"/>
    </xf>
    <xf numFmtId="4" fontId="18" fillId="5" borderId="15" xfId="0" applyNumberFormat="1" applyFont="1" applyFill="1" applyBorder="1" applyAlignment="1">
      <alignment horizontal="right" vertical="top" shrinkToFit="1"/>
    </xf>
    <xf numFmtId="166" fontId="17" fillId="5" borderId="9" xfId="0" applyNumberFormat="1" applyFont="1" applyFill="1" applyBorder="1" applyAlignment="1">
      <alignment horizontal="centerContinuous" vertical="center"/>
    </xf>
    <xf numFmtId="166" fontId="18" fillId="5" borderId="7" xfId="0" applyNumberFormat="1" applyFont="1" applyFill="1" applyBorder="1" applyAlignment="1">
      <alignment horizontal="left" wrapText="1"/>
    </xf>
    <xf numFmtId="0" fontId="17" fillId="5" borderId="7" xfId="0" applyFont="1" applyFill="1" applyBorder="1" applyAlignment="1">
      <alignment horizontal="left" vertical="top"/>
    </xf>
    <xf numFmtId="0" fontId="17" fillId="5" borderId="14" xfId="0" applyFont="1" applyFill="1" applyBorder="1" applyAlignment="1">
      <alignment horizontal="left" vertical="top" wrapText="1" indent="1"/>
    </xf>
    <xf numFmtId="171" fontId="17" fillId="5" borderId="15" xfId="0" applyNumberFormat="1" applyFont="1" applyFill="1" applyBorder="1" applyAlignment="1">
      <alignment horizontal="right" vertical="top" wrapText="1" indent="1"/>
    </xf>
    <xf numFmtId="0" fontId="18" fillId="5" borderId="14" xfId="0" applyFont="1" applyFill="1" applyBorder="1" applyAlignment="1">
      <alignment horizontal="center" vertical="top"/>
    </xf>
    <xf numFmtId="0" fontId="18" fillId="5" borderId="16" xfId="0" applyFont="1" applyFill="1" applyBorder="1" applyAlignment="1">
      <alignment horizontal="center" vertical="top"/>
    </xf>
    <xf numFmtId="0" fontId="18" fillId="5" borderId="17" xfId="0" applyFont="1" applyFill="1" applyBorder="1" applyAlignment="1">
      <alignment vertical="top"/>
    </xf>
    <xf numFmtId="0" fontId="18" fillId="5" borderId="18" xfId="0" applyFont="1" applyFill="1" applyBorder="1" applyAlignment="1">
      <alignment vertical="top"/>
    </xf>
    <xf numFmtId="0" fontId="18" fillId="5" borderId="19" xfId="0" applyFont="1" applyFill="1" applyBorder="1" applyAlignment="1">
      <alignment vertical="top"/>
    </xf>
    <xf numFmtId="4" fontId="16" fillId="5" borderId="20" xfId="0" applyNumberFormat="1" applyFont="1" applyFill="1" applyBorder="1" applyAlignment="1">
      <alignment vertical="top"/>
    </xf>
    <xf numFmtId="1" fontId="16" fillId="5" borderId="0" xfId="0" applyNumberFormat="1" applyFont="1" applyFill="1" applyAlignment="1">
      <alignment vertical="center"/>
    </xf>
    <xf numFmtId="0" fontId="16" fillId="5" borderId="0" xfId="0" applyFont="1" applyFill="1" applyAlignment="1">
      <alignment horizontal="left" vertical="center" shrinkToFit="1"/>
    </xf>
    <xf numFmtId="167" fontId="18" fillId="5" borderId="7" xfId="0" applyNumberFormat="1" applyFont="1" applyFill="1" applyBorder="1" applyAlignment="1">
      <alignment horizontal="right" vertical="center" shrinkToFit="1"/>
    </xf>
    <xf numFmtId="0" fontId="17" fillId="5" borderId="51" xfId="0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left" vertical="center"/>
    </xf>
    <xf numFmtId="0" fontId="18" fillId="5" borderId="7" xfId="0" applyFont="1" applyFill="1" applyBorder="1" applyAlignment="1">
      <alignment horizontal="center" vertical="center" wrapText="1"/>
    </xf>
    <xf numFmtId="166" fontId="18" fillId="5" borderId="7" xfId="0" applyNumberFormat="1" applyFont="1" applyFill="1" applyBorder="1" applyAlignment="1">
      <alignment horizontal="center" vertical="center"/>
    </xf>
    <xf numFmtId="0" fontId="17" fillId="5" borderId="51" xfId="0" quotePrefix="1" applyFont="1" applyFill="1" applyBorder="1" applyAlignment="1">
      <alignment horizontal="center" vertical="center" wrapText="1"/>
    </xf>
    <xf numFmtId="166" fontId="18" fillId="5" borderId="50" xfId="0" applyNumberFormat="1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172" fontId="17" fillId="5" borderId="15" xfId="0" applyNumberFormat="1" applyFont="1" applyFill="1" applyBorder="1" applyAlignment="1">
      <alignment horizontal="right" vertical="center" wrapText="1"/>
    </xf>
  </cellXfs>
  <cellStyles count="43">
    <cellStyle name="Comma [0] 2" xfId="3" xr:uid="{4F27ACDB-0B71-4A7B-92BE-D5B211AD33EC}"/>
    <cellStyle name="Comma [0] 3" xfId="16" xr:uid="{B2314651-94A3-4291-A333-81FF67903B79}"/>
    <cellStyle name="Comma [0] 4" xfId="22" xr:uid="{B3D47FF5-D963-47A6-A26A-C6E4AF7966F1}"/>
    <cellStyle name="Comma [0] 5" xfId="24" xr:uid="{35ED4339-F941-4CCC-8DB5-33BDCE7A02C3}"/>
    <cellStyle name="Comma [0] 6" xfId="34" xr:uid="{FC744D26-C902-4284-B64C-87DCFF1A5C86}"/>
    <cellStyle name="Comma [0] 7" xfId="42" xr:uid="{C7459EE8-E2D0-4ED2-BF08-5B7FC3FD5A20}"/>
    <cellStyle name="Comma 10" xfId="12" xr:uid="{6681FF57-04F4-4623-8C7C-D7BA492C0703}"/>
    <cellStyle name="Comma 11" xfId="13" xr:uid="{0E22E76B-3DB9-4778-A743-0A786DA46B82}"/>
    <cellStyle name="Comma 12" xfId="14" xr:uid="{E559CD63-0DA5-4E6B-95AE-6640D3AEB893}"/>
    <cellStyle name="Comma 13" xfId="15" xr:uid="{A0378492-D964-4212-821D-2B6238318227}"/>
    <cellStyle name="Comma 14" xfId="17" xr:uid="{BA2D3E34-FB45-413B-B5AC-F73BA9C49BC2}"/>
    <cellStyle name="Comma 15" xfId="18" xr:uid="{6C690618-0901-4498-B065-2DE8E92435C4}"/>
    <cellStyle name="Comma 16" xfId="19" xr:uid="{2F6F534E-5260-4718-A6BB-192CD05A2CD4}"/>
    <cellStyle name="Comma 17" xfId="20" xr:uid="{66A46186-6415-471F-B827-88CC626E1B99}"/>
    <cellStyle name="Comma 18" xfId="21" xr:uid="{00EF53E5-E6D3-4F75-B3ED-17ED0CD9EC2E}"/>
    <cellStyle name="Comma 19" xfId="23" xr:uid="{C46B8DD0-B8C6-4623-9629-A1F0D4003E18}"/>
    <cellStyle name="Comma 2" xfId="2" xr:uid="{1E069216-9980-48D1-A429-C37774D05EAF}"/>
    <cellStyle name="Comma 20" xfId="25" xr:uid="{0B15829F-1334-4F01-9778-FDAE8341A509}"/>
    <cellStyle name="Comma 21" xfId="26" xr:uid="{F830824A-CCB7-4A35-AA1E-A6CBE8F2C11D}"/>
    <cellStyle name="Comma 22" xfId="27" xr:uid="{E69488FE-133A-4E16-AD3B-057A5D8937E4}"/>
    <cellStyle name="Comma 23" xfId="28" xr:uid="{0C16BD12-3823-4516-A805-4D094460EB10}"/>
    <cellStyle name="Comma 24" xfId="29" xr:uid="{A9C195B4-1A5A-4E25-B9B4-6474271E5687}"/>
    <cellStyle name="Comma 25" xfId="30" xr:uid="{ABE38B71-62D1-4972-87AB-01BB45D3983D}"/>
    <cellStyle name="Comma 26" xfId="31" xr:uid="{4BA56B2F-78DE-401E-959B-5E6136E58214}"/>
    <cellStyle name="Comma 27" xfId="32" xr:uid="{1E9DBC17-ACD6-4A40-90B6-A837BA63FBF5}"/>
    <cellStyle name="Comma 28" xfId="33" xr:uid="{840ED90C-5751-4AA6-9194-EBB96EDCD243}"/>
    <cellStyle name="Comma 29" xfId="35" xr:uid="{6BA6E3E8-4FCC-4813-9D3F-06D320466682}"/>
    <cellStyle name="Comma 3" xfId="5" xr:uid="{0339BFA0-646A-4825-BA02-596EC74DF544}"/>
    <cellStyle name="Comma 30" xfId="36" xr:uid="{3D8E9F27-0302-432B-8FBD-1012F9FB6DF9}"/>
    <cellStyle name="Comma 31" xfId="37" xr:uid="{62251F99-D73A-4523-9151-B3C6A744143E}"/>
    <cellStyle name="Comma 32" xfId="38" xr:uid="{62475308-D30E-49B1-9977-CCF8061DDC9F}"/>
    <cellStyle name="Comma 33" xfId="39" xr:uid="{6049EE59-7F04-4954-BC9D-BAF47B33911B}"/>
    <cellStyle name="Comma 34" xfId="40" xr:uid="{CF048169-5F77-4727-8DA7-A6FE66BADFC3}"/>
    <cellStyle name="Comma 35" xfId="41" xr:uid="{F0E3E265-503B-443E-9446-79A5D9D6A10A}"/>
    <cellStyle name="Comma 4" xfId="6" xr:uid="{9D7DDE89-B42F-4AEA-B0DF-ECCA196A1481}"/>
    <cellStyle name="Comma 5" xfId="7" xr:uid="{2349C10F-6B66-4D2C-9BCB-F6D72E094E73}"/>
    <cellStyle name="Comma 6" xfId="8" xr:uid="{EE74363D-5097-437F-A7A9-852A3915CB5B}"/>
    <cellStyle name="Comma 7" xfId="9" xr:uid="{A12F4985-2F67-498B-8E42-B3C58114A675}"/>
    <cellStyle name="Comma 8" xfId="10" xr:uid="{85FFD1C3-4125-49F5-9AD9-A42F2ECBC354}"/>
    <cellStyle name="Comma 9" xfId="11" xr:uid="{0391EEA6-1D75-4BEA-A5E8-537BB043B03C}"/>
    <cellStyle name="Normal" xfId="0" builtinId="0"/>
    <cellStyle name="Normal 2" xfId="1" xr:uid="{3B7E4128-0AF9-4DE9-82B0-DF37483A9AED}"/>
    <cellStyle name="Normal 3" xfId="4" xr:uid="{C5A83DC3-FFBF-4235-A27E-7D9F58BFC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USAT\AHSP%20CIPTA%20KARYA%20SE%20BINA%20KONSTRUKSI%20NO%2030%20TAHUN%202025.xlsx" TargetMode="External"/><Relationship Id="rId1" Type="http://schemas.openxmlformats.org/officeDocument/2006/relationships/externalLinkPath" Target="/DATA%20PUSAT/AHSP%20CIPTA%20KARYA%20SE%20BINA%20KONSTRUKSI%20NO%2030%20TAHU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"/>
      <sheetName val="Daftar Harga Satuan Pekerjaan"/>
      <sheetName val="Persiapan"/>
      <sheetName val="Galian Tanah"/>
      <sheetName val="Timbunan Pemadatan"/>
      <sheetName val="Angkut Material"/>
      <sheetName val="Geotekstil &amp; Geomembran "/>
      <sheetName val="Pembongkaran"/>
      <sheetName val="Rangka Atap"/>
      <sheetName val="Beton"/>
      <sheetName val="Pondasi"/>
      <sheetName val="BAJA"/>
      <sheetName val="Beton Pracetak"/>
      <sheetName val="Beton Prategang "/>
      <sheetName val="Struktur Kayu"/>
      <sheetName val="Dinding Penahan Tanah "/>
      <sheetName val="Penutup Atap"/>
      <sheetName val="Plafon"/>
      <sheetName val="Pasangan Dinding"/>
      <sheetName val="Plesteran Dan Acian"/>
      <sheetName val="Pengecatan dan Pelituran"/>
      <sheetName val="Penutup Lantai dan Dinding"/>
      <sheetName val="Pintu dan Jendela"/>
      <sheetName val="Kaca"/>
      <sheetName val="Besi dan Aluminium"/>
      <sheetName val="Kayu"/>
      <sheetName val="Ornamen"/>
      <sheetName val="Signage"/>
      <sheetName val="Sanitair"/>
      <sheetName val="Lansekap"/>
      <sheetName val="Jaringan Listrik"/>
      <sheetName val="Perpipaan dan proteksi kebakar "/>
      <sheetName val="Sistem Air Minum"/>
      <sheetName val="Sistem Air Limbah"/>
      <sheetName val="Bak Kontrol"/>
      <sheetName val="Perpipaan dalam Gedung "/>
      <sheetName val="Sistem Air Hujan"/>
      <sheetName val="Jalan Pada Pemukiman"/>
      <sheetName val="Drainase"/>
      <sheetName val="Jaringan Pipa Luar Gedung"/>
      <sheetName val="Strutur Risha "/>
      <sheetName val="Sheet1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100000</v>
          </cell>
        </row>
        <row r="10">
          <cell r="F10" t="str">
            <v>Tukang batu</v>
          </cell>
          <cell r="G10" t="str">
            <v>OH</v>
          </cell>
          <cell r="H10">
            <v>145000</v>
          </cell>
        </row>
        <row r="11">
          <cell r="F11" t="str">
            <v>Tukang kayu</v>
          </cell>
          <cell r="G11" t="str">
            <v>OH</v>
          </cell>
          <cell r="H11">
            <v>145000</v>
          </cell>
        </row>
        <row r="12">
          <cell r="F12" t="str">
            <v>Tukang besi</v>
          </cell>
          <cell r="G12" t="str">
            <v>OH</v>
          </cell>
          <cell r="H12">
            <v>145000</v>
          </cell>
        </row>
        <row r="13">
          <cell r="F13" t="str">
            <v>Tukang cat</v>
          </cell>
          <cell r="G13" t="str">
            <v>OH</v>
          </cell>
          <cell r="H13">
            <v>145000</v>
          </cell>
        </row>
        <row r="14">
          <cell r="F14" t="str">
            <v>Tukang pelitur</v>
          </cell>
          <cell r="G14" t="str">
            <v>OH</v>
          </cell>
          <cell r="H14">
            <v>145000</v>
          </cell>
        </row>
        <row r="15">
          <cell r="F15" t="str">
            <v>Tukang pipa</v>
          </cell>
          <cell r="G15" t="str">
            <v>OH</v>
          </cell>
          <cell r="H15">
            <v>145000</v>
          </cell>
        </row>
        <row r="16">
          <cell r="F16" t="str">
            <v>Tukang penganyam bronjong</v>
          </cell>
          <cell r="G16" t="str">
            <v>OH</v>
          </cell>
          <cell r="H16">
            <v>145000</v>
          </cell>
        </row>
        <row r="17">
          <cell r="F17" t="str">
            <v>Tukang tebas</v>
          </cell>
          <cell r="G17" t="str">
            <v>OH</v>
          </cell>
          <cell r="H17">
            <v>145000</v>
          </cell>
        </row>
        <row r="18">
          <cell r="F18" t="str">
            <v>Tukang las</v>
          </cell>
          <cell r="G18" t="str">
            <v>OH</v>
          </cell>
          <cell r="H18">
            <v>145000</v>
          </cell>
        </row>
        <row r="19">
          <cell r="F19" t="str">
            <v>Tukang las geotextile</v>
          </cell>
          <cell r="G19" t="str">
            <v>OH</v>
          </cell>
          <cell r="H19">
            <v>145000</v>
          </cell>
        </row>
        <row r="20">
          <cell r="F20" t="str">
            <v>Tukang listrik</v>
          </cell>
          <cell r="G20" t="str">
            <v>OH</v>
          </cell>
          <cell r="H20">
            <v>145000</v>
          </cell>
        </row>
        <row r="21">
          <cell r="F21" t="str">
            <v>Tukang alumunium</v>
          </cell>
          <cell r="G21" t="str">
            <v>OH</v>
          </cell>
          <cell r="H21">
            <v>145000</v>
          </cell>
        </row>
        <row r="22">
          <cell r="F22" t="str">
            <v>Tukang kaca</v>
          </cell>
          <cell r="G22" t="str">
            <v>OH</v>
          </cell>
        </row>
        <row r="23">
          <cell r="F23" t="str">
            <v>Tukang erection</v>
          </cell>
          <cell r="G23" t="str">
            <v>OH</v>
          </cell>
          <cell r="H23">
            <v>145000</v>
          </cell>
        </row>
        <row r="24">
          <cell r="F24" t="str">
            <v>Tukang tanam</v>
          </cell>
          <cell r="G24" t="str">
            <v>OH</v>
          </cell>
          <cell r="H24">
            <v>145000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181250</v>
          </cell>
        </row>
        <row r="26">
          <cell r="F26" t="str">
            <v xml:space="preserve">Kepala Tukang Tanam </v>
          </cell>
          <cell r="G26" t="str">
            <v xml:space="preserve">OH </v>
          </cell>
          <cell r="H26">
            <v>218750</v>
          </cell>
        </row>
        <row r="27">
          <cell r="F27" t="str">
            <v>Tukang pemelihara taman</v>
          </cell>
          <cell r="G27" t="str">
            <v xml:space="preserve">OH </v>
          </cell>
          <cell r="H27">
            <v>145000</v>
          </cell>
        </row>
        <row r="28">
          <cell r="F28" t="str">
            <v>Tukang pemelihara taman (115% Pekerja)</v>
          </cell>
          <cell r="G28" t="str">
            <v xml:space="preserve">OH </v>
          </cell>
          <cell r="H28">
            <v>114999.99999999999</v>
          </cell>
        </row>
        <row r="29">
          <cell r="F29" t="str">
            <v>Tukang gali</v>
          </cell>
          <cell r="G29" t="str">
            <v>OH</v>
          </cell>
          <cell r="H29">
            <v>120000</v>
          </cell>
        </row>
        <row r="30">
          <cell r="F30" t="str">
            <v>Tukang aspal</v>
          </cell>
          <cell r="G30" t="str">
            <v>OH</v>
          </cell>
          <cell r="H30">
            <v>120000</v>
          </cell>
        </row>
        <row r="31">
          <cell r="F31" t="str">
            <v>Kepala tukang</v>
          </cell>
          <cell r="G31" t="str">
            <v>OH</v>
          </cell>
          <cell r="H31">
            <v>175000</v>
          </cell>
        </row>
        <row r="32">
          <cell r="F32" t="str">
            <v>Mandor</v>
          </cell>
          <cell r="G32" t="str">
            <v>OH</v>
          </cell>
          <cell r="H32">
            <v>200000</v>
          </cell>
        </row>
        <row r="33">
          <cell r="F33" t="str">
            <v>Juru ukur</v>
          </cell>
          <cell r="G33" t="str">
            <v>OH</v>
          </cell>
          <cell r="H33">
            <v>175000</v>
          </cell>
        </row>
        <row r="34">
          <cell r="F34" t="str">
            <v>Pembantu juru ukur</v>
          </cell>
          <cell r="G34" t="str">
            <v>OH</v>
          </cell>
          <cell r="H34">
            <v>150000</v>
          </cell>
        </row>
        <row r="35">
          <cell r="F35" t="str">
            <v>Mekanik alat berat</v>
          </cell>
          <cell r="G35" t="str">
            <v>OH</v>
          </cell>
          <cell r="H35">
            <v>220000</v>
          </cell>
        </row>
        <row r="36">
          <cell r="F36" t="str">
            <v>Operator alat berat</v>
          </cell>
          <cell r="G36" t="str">
            <v>OH</v>
          </cell>
          <cell r="H36">
            <v>250000</v>
          </cell>
        </row>
        <row r="37">
          <cell r="F37" t="str">
            <v>Pembantu operator alat berat</v>
          </cell>
          <cell r="G37" t="str">
            <v>OH</v>
          </cell>
          <cell r="H37">
            <v>130000</v>
          </cell>
        </row>
        <row r="38">
          <cell r="F38" t="str">
            <v>Sopir</v>
          </cell>
          <cell r="G38" t="str">
            <v>OH</v>
          </cell>
          <cell r="H38">
            <v>200000</v>
          </cell>
        </row>
        <row r="39">
          <cell r="F39" t="str">
            <v>Kenek</v>
          </cell>
          <cell r="G39" t="str">
            <v>OH</v>
          </cell>
          <cell r="H39">
            <v>135000</v>
          </cell>
        </row>
        <row r="40">
          <cell r="F40" t="str">
            <v>Administrasi bor</v>
          </cell>
          <cell r="G40" t="str">
            <v>OH</v>
          </cell>
          <cell r="H40">
            <v>110000</v>
          </cell>
        </row>
        <row r="41">
          <cell r="F41" t="str">
            <v>Ahli geologist</v>
          </cell>
          <cell r="G41" t="str">
            <v>OH</v>
          </cell>
          <cell r="H41">
            <v>400000</v>
          </cell>
        </row>
        <row r="42">
          <cell r="F42" t="str">
            <v>Ahli topografi</v>
          </cell>
          <cell r="G42" t="str">
            <v>OH</v>
          </cell>
          <cell r="H42">
            <v>400000</v>
          </cell>
        </row>
        <row r="43">
          <cell r="F43" t="str">
            <v>Crew driller</v>
          </cell>
          <cell r="G43" t="str">
            <v>OH</v>
          </cell>
          <cell r="H43">
            <v>125000</v>
          </cell>
        </row>
        <row r="44">
          <cell r="F44" t="str">
            <v>Driller</v>
          </cell>
          <cell r="G44" t="str">
            <v>OH</v>
          </cell>
          <cell r="H44">
            <v>140000</v>
          </cell>
        </row>
        <row r="45">
          <cell r="F45" t="str">
            <v>Juru gambar</v>
          </cell>
          <cell r="G45" t="str">
            <v>OH</v>
          </cell>
          <cell r="H45">
            <v>150000</v>
          </cell>
        </row>
        <row r="46">
          <cell r="F46" t="str">
            <v>Koordinator driller</v>
          </cell>
          <cell r="G46" t="str">
            <v>OH</v>
          </cell>
          <cell r="H46">
            <v>155000</v>
          </cell>
        </row>
        <row r="47">
          <cell r="F47" t="str">
            <v>Operator pompa</v>
          </cell>
          <cell r="G47" t="str">
            <v>OH</v>
          </cell>
          <cell r="H47">
            <v>130000</v>
          </cell>
        </row>
        <row r="48">
          <cell r="F48" t="str">
            <v>Pembantu driller</v>
          </cell>
          <cell r="G48" t="str">
            <v>OH</v>
          </cell>
          <cell r="H48">
            <v>130000</v>
          </cell>
        </row>
        <row r="49">
          <cell r="F49" t="str">
            <v>Pembantu mekanik alat berat</v>
          </cell>
          <cell r="G49" t="str">
            <v>OH</v>
          </cell>
          <cell r="H49">
            <v>130000</v>
          </cell>
        </row>
        <row r="50">
          <cell r="F50" t="str">
            <v>Supir kendaraan &lt;  2 ton (termasuk sedan)</v>
          </cell>
          <cell r="G50" t="str">
            <v>OH</v>
          </cell>
          <cell r="H50">
            <v>160000</v>
          </cell>
        </row>
        <row r="51">
          <cell r="F51" t="str">
            <v xml:space="preserve">Tenaga Terampil Operator </v>
          </cell>
          <cell r="G51" t="str">
            <v xml:space="preserve">OH </v>
          </cell>
          <cell r="H51">
            <v>145000</v>
          </cell>
        </row>
        <row r="52">
          <cell r="F52" t="str">
            <v xml:space="preserve">Tenaga Ahli Muda </v>
          </cell>
          <cell r="G52" t="str">
            <v xml:space="preserve">OH </v>
          </cell>
          <cell r="H52">
            <v>145000</v>
          </cell>
        </row>
        <row r="56">
          <cell r="F56" t="str">
            <v>Agregat kasar</v>
          </cell>
          <cell r="G56" t="str">
            <v>m3</v>
          </cell>
          <cell r="H56">
            <v>385000</v>
          </cell>
        </row>
        <row r="57">
          <cell r="F57" t="str">
            <v xml:space="preserve">Agregar Kasar </v>
          </cell>
          <cell r="G57" t="str">
            <v xml:space="preserve">kg </v>
          </cell>
          <cell r="H57">
            <v>226.47058823529412</v>
          </cell>
        </row>
        <row r="58">
          <cell r="F58" t="str">
            <v>Agg Pokok</v>
          </cell>
          <cell r="G58" t="str">
            <v>m3</v>
          </cell>
          <cell r="H58">
            <v>350000</v>
          </cell>
        </row>
        <row r="59">
          <cell r="F59" t="str">
            <v>Agg Pengunci</v>
          </cell>
          <cell r="G59" t="str">
            <v>m3</v>
          </cell>
          <cell r="H59">
            <v>360000</v>
          </cell>
        </row>
        <row r="60">
          <cell r="F60" t="str">
            <v>Agg Penutup</v>
          </cell>
          <cell r="G60" t="str">
            <v>m3</v>
          </cell>
          <cell r="H60">
            <v>370000</v>
          </cell>
        </row>
        <row r="61">
          <cell r="F61" t="str">
            <v>Bata merah</v>
          </cell>
          <cell r="G61" t="str">
            <v>buah</v>
          </cell>
          <cell r="H61">
            <v>700</v>
          </cell>
        </row>
        <row r="62">
          <cell r="F62" t="str">
            <v>Bata merah 5 x  11 x  22 cm (per m3)</v>
          </cell>
          <cell r="G62" t="str">
            <v>m3</v>
          </cell>
          <cell r="H62">
            <v>590000</v>
          </cell>
        </row>
        <row r="63">
          <cell r="F63" t="str">
            <v>Bata ringan</v>
          </cell>
          <cell r="G63" t="str">
            <v>m3</v>
          </cell>
          <cell r="H63">
            <v>703500</v>
          </cell>
        </row>
        <row r="64">
          <cell r="F64" t="str">
            <v>Bata ringan t=10 cm</v>
          </cell>
          <cell r="G64" t="str">
            <v>m3</v>
          </cell>
          <cell r="H64">
            <v>685800</v>
          </cell>
        </row>
        <row r="65">
          <cell r="F65" t="str">
            <v>Bata ringan tebal 10 cm</v>
          </cell>
          <cell r="G65" t="str">
            <v>buah</v>
          </cell>
          <cell r="H65">
            <v>11000</v>
          </cell>
        </row>
        <row r="66">
          <cell r="F66" t="str">
            <v>Bata ringan tebal 20 cm</v>
          </cell>
          <cell r="G66" t="str">
            <v>buah</v>
          </cell>
          <cell r="H66">
            <v>20000</v>
          </cell>
        </row>
        <row r="67">
          <cell r="F67" t="str">
            <v>Bata ringan tebal 7,5 cm</v>
          </cell>
          <cell r="G67" t="str">
            <v>buah</v>
          </cell>
          <cell r="H67">
            <v>8500</v>
          </cell>
        </row>
        <row r="68">
          <cell r="F68" t="str">
            <v>Bata rooster</v>
          </cell>
          <cell r="G68" t="str">
            <v>buah</v>
          </cell>
          <cell r="H68">
            <v>15000</v>
          </cell>
        </row>
        <row r="69">
          <cell r="F69" t="str">
            <v xml:space="preserve">Bata Berongga Uk. 12x11x24 </v>
          </cell>
          <cell r="G69" t="str">
            <v xml:space="preserve">buah </v>
          </cell>
          <cell r="H69">
            <v>15000</v>
          </cell>
        </row>
        <row r="70">
          <cell r="F70" t="str">
            <v>Batu alam andesit  bakar</v>
          </cell>
          <cell r="G70" t="str">
            <v>m²</v>
          </cell>
          <cell r="H70">
            <v>179300</v>
          </cell>
        </row>
        <row r="71">
          <cell r="F71" t="str">
            <v>Batu alam andesit  non bakar</v>
          </cell>
          <cell r="G71" t="str">
            <v>m²</v>
          </cell>
          <cell r="H71">
            <v>177500</v>
          </cell>
        </row>
        <row r="72">
          <cell r="F72" t="str">
            <v>Batu belah (base camp - lokasi pekerjaan)</v>
          </cell>
          <cell r="G72" t="str">
            <v>m3</v>
          </cell>
          <cell r="H72">
            <v>339861</v>
          </cell>
        </row>
        <row r="73">
          <cell r="F73" t="str">
            <v>Batu belah (quarry - base camp)</v>
          </cell>
          <cell r="G73" t="str">
            <v>m3</v>
          </cell>
          <cell r="H73">
            <v>235000</v>
          </cell>
        </row>
        <row r="74">
          <cell r="F74" t="str">
            <v>Batu belah (quarry - lokasi pekerjaan)</v>
          </cell>
          <cell r="G74" t="str">
            <v>m3</v>
          </cell>
          <cell r="H74">
            <v>286500</v>
          </cell>
        </row>
        <row r="75">
          <cell r="F75" t="str">
            <v>Pasangan batu ukuran 20/50 t=40cm</v>
          </cell>
          <cell r="G75" t="str">
            <v>m3</v>
          </cell>
          <cell r="H75">
            <v>286500</v>
          </cell>
        </row>
        <row r="76">
          <cell r="F76" t="str">
            <v>Fondasi pasangan batu</v>
          </cell>
          <cell r="G76" t="str">
            <v>m3</v>
          </cell>
          <cell r="H76">
            <v>286500</v>
          </cell>
        </row>
        <row r="77">
          <cell r="F77" t="str">
            <v>Batu belah (quarry)</v>
          </cell>
          <cell r="G77" t="str">
            <v>m3</v>
          </cell>
          <cell r="H77">
            <v>127500</v>
          </cell>
        </row>
        <row r="78">
          <cell r="F78" t="str">
            <v>Batu candi</v>
          </cell>
          <cell r="G78" t="str">
            <v>m²</v>
          </cell>
          <cell r="H78">
            <v>152000</v>
          </cell>
        </row>
        <row r="79">
          <cell r="F79" t="str">
            <v>Batu kali (quarry - base camp)</v>
          </cell>
          <cell r="G79" t="str">
            <v>m3</v>
          </cell>
          <cell r="H79">
            <v>187400</v>
          </cell>
        </row>
        <row r="80">
          <cell r="F80" t="str">
            <v>Batu kali (quarry)</v>
          </cell>
          <cell r="G80" t="str">
            <v>m3</v>
          </cell>
          <cell r="H80">
            <v>142500</v>
          </cell>
        </row>
        <row r="81">
          <cell r="F81" t="str">
            <v>Batu Muka ukuran 12x18 cm</v>
          </cell>
          <cell r="G81" t="str">
            <v>m2</v>
          </cell>
          <cell r="H81">
            <v>97500</v>
          </cell>
        </row>
        <row r="82">
          <cell r="F82" t="str">
            <v xml:space="preserve">Batu </v>
          </cell>
          <cell r="G82" t="str">
            <v>m3</v>
          </cell>
          <cell r="H82">
            <v>97500</v>
          </cell>
        </row>
        <row r="83">
          <cell r="F83" t="str">
            <v>Batu paras</v>
          </cell>
          <cell r="G83" t="str">
            <v>m3</v>
          </cell>
          <cell r="H83">
            <v>125000</v>
          </cell>
        </row>
        <row r="84">
          <cell r="F84" t="str">
            <v>Batu pecah</v>
          </cell>
          <cell r="G84" t="str">
            <v>kg</v>
          </cell>
          <cell r="H84">
            <v>210</v>
          </cell>
        </row>
        <row r="85">
          <cell r="F85" t="str">
            <v>Batu pecah 3/5</v>
          </cell>
          <cell r="G85" t="str">
            <v>m3</v>
          </cell>
          <cell r="H85">
            <v>363800</v>
          </cell>
        </row>
        <row r="86">
          <cell r="F86" t="str">
            <v>Batu pecah 5/7</v>
          </cell>
          <cell r="G86" t="str">
            <v>m3</v>
          </cell>
          <cell r="H86">
            <v>351800</v>
          </cell>
        </row>
        <row r="87">
          <cell r="F87" t="str">
            <v>Batu putih</v>
          </cell>
          <cell r="G87" t="str">
            <v>m²</v>
          </cell>
          <cell r="H87">
            <v>123000</v>
          </cell>
        </row>
        <row r="88">
          <cell r="F88" t="str">
            <v>Batu putih breksi</v>
          </cell>
          <cell r="G88" t="str">
            <v>m²</v>
          </cell>
          <cell r="H88">
            <v>117700</v>
          </cell>
        </row>
        <row r="89">
          <cell r="F89" t="str">
            <v>Batu sikat</v>
          </cell>
          <cell r="G89" t="str">
            <v>kg</v>
          </cell>
          <cell r="H89">
            <v>6000</v>
          </cell>
        </row>
        <row r="90">
          <cell r="F90" t="str">
            <v>Batu split 1/2</v>
          </cell>
          <cell r="G90" t="str">
            <v>m3</v>
          </cell>
          <cell r="H90">
            <v>370200</v>
          </cell>
        </row>
        <row r="91">
          <cell r="F91" t="str">
            <v>Batu split 2/3</v>
          </cell>
          <cell r="G91" t="str">
            <v>m3</v>
          </cell>
          <cell r="H91">
            <v>352300</v>
          </cell>
        </row>
        <row r="92">
          <cell r="F92" t="str">
            <v>Koral Beton</v>
          </cell>
          <cell r="G92" t="str">
            <v>m3</v>
          </cell>
          <cell r="H92">
            <v>352300</v>
          </cell>
        </row>
        <row r="93">
          <cell r="F93" t="str">
            <v>Batu tempel hitam</v>
          </cell>
          <cell r="G93" t="str">
            <v>m3</v>
          </cell>
          <cell r="H93">
            <v>121600</v>
          </cell>
        </row>
        <row r="94">
          <cell r="F94" t="str">
            <v>Fly ash</v>
          </cell>
          <cell r="G94" t="str">
            <v>kg</v>
          </cell>
          <cell r="H94">
            <v>600</v>
          </cell>
        </row>
        <row r="95">
          <cell r="F95" t="str">
            <v>HB-10</v>
          </cell>
          <cell r="G95" t="str">
            <v>buah</v>
          </cell>
          <cell r="H95">
            <v>12000</v>
          </cell>
        </row>
        <row r="96">
          <cell r="F96" t="str">
            <v>HB-15</v>
          </cell>
          <cell r="G96" t="str">
            <v>buah</v>
          </cell>
          <cell r="H96">
            <v>12000</v>
          </cell>
        </row>
        <row r="97">
          <cell r="F97" t="str">
            <v>HB-20</v>
          </cell>
          <cell r="G97" t="str">
            <v>buah</v>
          </cell>
          <cell r="H97">
            <v>13000</v>
          </cell>
        </row>
        <row r="98">
          <cell r="F98" t="str">
            <v>Kerikil</v>
          </cell>
          <cell r="G98" t="str">
            <v>kg</v>
          </cell>
          <cell r="H98">
            <v>210</v>
          </cell>
        </row>
        <row r="99">
          <cell r="F99" t="str">
            <v xml:space="preserve">Kerikil </v>
          </cell>
          <cell r="G99" t="str">
            <v>m3</v>
          </cell>
          <cell r="H99">
            <v>352300</v>
          </cell>
        </row>
        <row r="100">
          <cell r="F100" t="str">
            <v>Koral bulat</v>
          </cell>
          <cell r="G100" t="str">
            <v>m3</v>
          </cell>
          <cell r="H100">
            <v>225000</v>
          </cell>
        </row>
        <row r="101">
          <cell r="F101" t="str">
            <v>Pasir Beton</v>
          </cell>
          <cell r="G101" t="str">
            <v>kg</v>
          </cell>
          <cell r="H101">
            <v>300</v>
          </cell>
        </row>
        <row r="102">
          <cell r="F102" t="str">
            <v>Pasir Beton</v>
          </cell>
          <cell r="G102" t="str">
            <v>m3</v>
          </cell>
          <cell r="H102">
            <v>370200</v>
          </cell>
        </row>
        <row r="103">
          <cell r="F103" t="str">
            <v>Pasir beton (Base camp - lokasi pekerjaan)</v>
          </cell>
          <cell r="G103" t="str">
            <v>m3</v>
          </cell>
          <cell r="H103">
            <v>422600</v>
          </cell>
        </row>
        <row r="104">
          <cell r="F104" t="str">
            <v>Pasir beton (quarry - Base camp)</v>
          </cell>
          <cell r="G104" t="str">
            <v>m3</v>
          </cell>
          <cell r="H104">
            <v>325200</v>
          </cell>
        </row>
        <row r="105">
          <cell r="F105" t="str">
            <v>Pasir beton (quarry - lokasi pekerjaan)</v>
          </cell>
          <cell r="G105" t="str">
            <v>m3</v>
          </cell>
          <cell r="H105">
            <v>370200</v>
          </cell>
        </row>
        <row r="106">
          <cell r="F106" t="str">
            <v>Pasir beton (quarry)</v>
          </cell>
          <cell r="G106" t="str">
            <v>m3</v>
          </cell>
          <cell r="H106">
            <v>170000</v>
          </cell>
        </row>
        <row r="107">
          <cell r="F107" t="str">
            <v>Pasir pasang</v>
          </cell>
          <cell r="G107" t="str">
            <v>m3</v>
          </cell>
          <cell r="H107">
            <v>200000</v>
          </cell>
        </row>
        <row r="108">
          <cell r="F108" t="str">
            <v>Pasir pasang (quarry - base camp)</v>
          </cell>
          <cell r="G108" t="str">
            <v>m3</v>
          </cell>
          <cell r="H108">
            <v>200000</v>
          </cell>
        </row>
        <row r="109">
          <cell r="F109" t="str">
            <v>Pasir pasang (quarry - lokasi pekerjaan)</v>
          </cell>
          <cell r="G109" t="str">
            <v>m3</v>
          </cell>
          <cell r="H109">
            <v>275000</v>
          </cell>
        </row>
        <row r="110">
          <cell r="F110" t="str">
            <v>Pasir pasang (quarry)</v>
          </cell>
          <cell r="G110" t="str">
            <v>m3</v>
          </cell>
          <cell r="H110">
            <v>150000</v>
          </cell>
        </row>
        <row r="111">
          <cell r="F111" t="str">
            <v>Pasir urug (quarry - base camp)</v>
          </cell>
          <cell r="G111" t="str">
            <v>m3</v>
          </cell>
          <cell r="H111">
            <v>165500</v>
          </cell>
        </row>
        <row r="112">
          <cell r="F112" t="str">
            <v>Pasir urug (quarry - lokasi pekerjaan)</v>
          </cell>
          <cell r="G112" t="str">
            <v>m3</v>
          </cell>
          <cell r="H112">
            <v>254700</v>
          </cell>
        </row>
        <row r="113">
          <cell r="F113" t="str">
            <v>Pasir Urug (quarry)</v>
          </cell>
          <cell r="G113" t="str">
            <v>m3</v>
          </cell>
          <cell r="H113">
            <v>120000</v>
          </cell>
        </row>
        <row r="114">
          <cell r="F114" t="str">
            <v>Urukan Pasir Uruk</v>
          </cell>
          <cell r="G114" t="str">
            <v>m3</v>
          </cell>
          <cell r="H114">
            <v>488180</v>
          </cell>
        </row>
        <row r="115">
          <cell r="F115" t="str">
            <v>Serbuk batu granit</v>
          </cell>
          <cell r="G115" t="str">
            <v>kg</v>
          </cell>
          <cell r="H115">
            <v>12000</v>
          </cell>
        </row>
        <row r="116">
          <cell r="F116" t="str">
            <v>Serbuk batu traso</v>
          </cell>
          <cell r="G116" t="str">
            <v>kg</v>
          </cell>
          <cell r="H116">
            <v>13000</v>
          </cell>
        </row>
        <row r="117">
          <cell r="F117" t="str">
            <v>Sirtu (base camp - lokasi pekerjaan)</v>
          </cell>
          <cell r="G117" t="str">
            <v>m3</v>
          </cell>
          <cell r="H117">
            <v>288700</v>
          </cell>
        </row>
        <row r="118">
          <cell r="F118" t="str">
            <v>Sirtu (quarry - base camp)</v>
          </cell>
          <cell r="G118" t="str">
            <v>m3</v>
          </cell>
          <cell r="H118">
            <v>184400</v>
          </cell>
        </row>
        <row r="119">
          <cell r="F119" t="str">
            <v>Sirtu (quarry - lokasi pekerjaan)</v>
          </cell>
          <cell r="G119" t="str">
            <v>m3</v>
          </cell>
          <cell r="H119">
            <v>261800</v>
          </cell>
        </row>
        <row r="120">
          <cell r="F120" t="str">
            <v>Sirtu (quarry)</v>
          </cell>
          <cell r="G120" t="str">
            <v>m3</v>
          </cell>
          <cell r="H120">
            <v>120000</v>
          </cell>
        </row>
        <row r="121">
          <cell r="F121" t="str">
            <v>Tanah biasa (quarry - lokasi pekerjaan)</v>
          </cell>
          <cell r="G121" t="str">
            <v>m3</v>
          </cell>
          <cell r="H121">
            <v>146900</v>
          </cell>
        </row>
        <row r="122">
          <cell r="F122" t="str">
            <v>Tanah biasa (quarry)</v>
          </cell>
          <cell r="G122" t="str">
            <v>m3</v>
          </cell>
          <cell r="H122">
            <v>44000</v>
          </cell>
        </row>
        <row r="123">
          <cell r="F123" t="str">
            <v>Tanah liat  (quarry)</v>
          </cell>
          <cell r="G123" t="str">
            <v>m3</v>
          </cell>
          <cell r="H123">
            <v>64500</v>
          </cell>
        </row>
        <row r="124">
          <cell r="F124" t="str">
            <v>Tanah liat (quarry-lokasi pekerjaan)</v>
          </cell>
          <cell r="G124" t="str">
            <v>m3</v>
          </cell>
          <cell r="H124">
            <v>160000</v>
          </cell>
        </row>
        <row r="125">
          <cell r="F125" t="str">
            <v>Tanah padas  (quarry - lokasi pekerjaan)</v>
          </cell>
          <cell r="G125" t="str">
            <v>m3</v>
          </cell>
          <cell r="H125">
            <v>163600</v>
          </cell>
        </row>
        <row r="126">
          <cell r="F126" t="str">
            <v>Tanah padas  (quarry)</v>
          </cell>
          <cell r="G126" t="str">
            <v>m3</v>
          </cell>
          <cell r="H126">
            <v>47500</v>
          </cell>
        </row>
        <row r="127">
          <cell r="F127" t="str">
            <v>Tanah Pilihan (quarry - lokasi pekerjaan)</v>
          </cell>
          <cell r="G127" t="str">
            <v>m3</v>
          </cell>
          <cell r="H127">
            <v>146900</v>
          </cell>
        </row>
        <row r="128">
          <cell r="F128" t="str">
            <v>Tanah Pilihan (quarry)</v>
          </cell>
          <cell r="G128" t="str">
            <v>m3</v>
          </cell>
          <cell r="H128">
            <v>48000</v>
          </cell>
        </row>
        <row r="129">
          <cell r="F129" t="str">
            <v>Tanah Subur</v>
          </cell>
          <cell r="G129" t="str">
            <v>m3</v>
          </cell>
          <cell r="H129">
            <v>165000</v>
          </cell>
        </row>
        <row r="131">
          <cell r="F131" t="str">
            <v>Bambu cerucuk Ø 10 cm panjang 600 cm</v>
          </cell>
          <cell r="G131" t="str">
            <v>batang</v>
          </cell>
          <cell r="H131">
            <v>17800</v>
          </cell>
        </row>
        <row r="132">
          <cell r="F132" t="str">
            <v>Bambu cerucuk Ø 15 cm panjang 600 cm</v>
          </cell>
          <cell r="G132" t="str">
            <v>batang</v>
          </cell>
          <cell r="H132">
            <v>22600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14800</v>
          </cell>
        </row>
        <row r="134">
          <cell r="F134" t="str">
            <v>Bambu Ø 6 - 8 cm, pjg 6m</v>
          </cell>
          <cell r="G134" t="str">
            <v>batang</v>
          </cell>
          <cell r="H134">
            <v>12900</v>
          </cell>
        </row>
        <row r="135">
          <cell r="F135" t="str">
            <v>Bambu panjang 4,5 m</v>
          </cell>
          <cell r="G135" t="str">
            <v>batang</v>
          </cell>
          <cell r="H135">
            <v>14500</v>
          </cell>
        </row>
        <row r="136">
          <cell r="F136" t="str">
            <v>bambu panjang 2 meter</v>
          </cell>
          <cell r="G136" t="str">
            <v>batang</v>
          </cell>
          <cell r="H136">
            <v>7000</v>
          </cell>
        </row>
        <row r="137">
          <cell r="F137" t="str">
            <v xml:space="preserve">Anyaman Bambu </v>
          </cell>
          <cell r="G137" t="str">
            <v xml:space="preserve">lembar </v>
          </cell>
          <cell r="H137">
            <v>50000</v>
          </cell>
        </row>
        <row r="138">
          <cell r="F138" t="str">
            <v>Bilik bambu</v>
          </cell>
          <cell r="G138" t="str">
            <v>m2</v>
          </cell>
          <cell r="H138">
            <v>21000</v>
          </cell>
        </row>
        <row r="139">
          <cell r="F139" t="str">
            <v>Blockboard tebal 18 mm</v>
          </cell>
          <cell r="G139" t="str">
            <v>m2</v>
          </cell>
          <cell r="H139">
            <v>410600</v>
          </cell>
        </row>
        <row r="140">
          <cell r="F140" t="str">
            <v>Dolken kayu φ 8-10 panjang 400 cm</v>
          </cell>
          <cell r="G140" t="str">
            <v>m'</v>
          </cell>
          <cell r="H140">
            <v>5000</v>
          </cell>
        </row>
        <row r="141">
          <cell r="F141" t="str">
            <v>Dolken kayu φ 8-10 panjang 400 cm</v>
          </cell>
          <cell r="G141" t="str">
            <v>batang</v>
          </cell>
          <cell r="H141">
            <v>20000</v>
          </cell>
        </row>
        <row r="142">
          <cell r="F142" t="str">
            <v>Kayu</v>
          </cell>
          <cell r="G142" t="str">
            <v>m3</v>
          </cell>
          <cell r="H142">
            <v>11950000</v>
          </cell>
        </row>
        <row r="143">
          <cell r="F143" t="str">
            <v>Kayu Balok Borneo</v>
          </cell>
          <cell r="G143" t="str">
            <v>M3</v>
          </cell>
          <cell r="H143">
            <v>2700000</v>
          </cell>
        </row>
        <row r="144">
          <cell r="F144" t="str">
            <v>Kayu balok 6/12 kelas I</v>
          </cell>
          <cell r="G144" t="str">
            <v>m3</v>
          </cell>
          <cell r="H144">
            <v>25000000</v>
          </cell>
        </row>
        <row r="145">
          <cell r="F145" t="str">
            <v>Kayu balok 6/12 kelas II</v>
          </cell>
          <cell r="G145" t="str">
            <v>m3</v>
          </cell>
          <cell r="H145">
            <v>11950000</v>
          </cell>
        </row>
        <row r="146">
          <cell r="F146" t="str">
            <v xml:space="preserve">Kayu balok kelas II </v>
          </cell>
          <cell r="G146" t="str">
            <v>M3</v>
          </cell>
          <cell r="H146">
            <v>20000000</v>
          </cell>
        </row>
        <row r="147">
          <cell r="F147" t="str">
            <v>Kayu balok 6/15 kelas I</v>
          </cell>
          <cell r="G147" t="str">
            <v>m3</v>
          </cell>
          <cell r="H147">
            <v>25000000</v>
          </cell>
        </row>
        <row r="148">
          <cell r="F148" t="str">
            <v>Kayu balok 6/15 kelas II</v>
          </cell>
          <cell r="G148" t="str">
            <v>m3</v>
          </cell>
          <cell r="H148">
            <v>11950000</v>
          </cell>
        </row>
        <row r="149">
          <cell r="F149" t="str">
            <v>Kayu balok 6/15 kelas II (batang)</v>
          </cell>
          <cell r="G149" t="str">
            <v>batang</v>
          </cell>
          <cell r="H149">
            <v>414000</v>
          </cell>
        </row>
        <row r="150">
          <cell r="F150" t="str">
            <v>Tiang kayu 8/12 kelas II tinggi 4m</v>
          </cell>
          <cell r="G150" t="str">
            <v>m3</v>
          </cell>
          <cell r="H150">
            <v>11950000</v>
          </cell>
        </row>
        <row r="151">
          <cell r="F151" t="str">
            <v>Tiang kayu 5/7 kelas II tinggi 3m</v>
          </cell>
          <cell r="G151" t="str">
            <v>m3</v>
          </cell>
          <cell r="H151">
            <v>11950000</v>
          </cell>
        </row>
        <row r="152">
          <cell r="F152" t="str">
            <v>Kaso 5/7</v>
          </cell>
          <cell r="G152" t="str">
            <v>m3</v>
          </cell>
          <cell r="H152">
            <v>10214200</v>
          </cell>
        </row>
        <row r="153">
          <cell r="F153" t="str">
            <v>Kaso 5/7 kayu kelas II</v>
          </cell>
          <cell r="G153" t="str">
            <v>m3</v>
          </cell>
          <cell r="H153">
            <v>10214200</v>
          </cell>
        </row>
        <row r="154">
          <cell r="F154" t="str">
            <v>Kayu kaso 5/7 kelas III</v>
          </cell>
          <cell r="G154" t="str">
            <v>m3</v>
          </cell>
          <cell r="H154">
            <v>3500000</v>
          </cell>
        </row>
        <row r="155">
          <cell r="F155" t="str">
            <v>Kayu Meranti (papan)</v>
          </cell>
          <cell r="G155" t="str">
            <v>m³</v>
          </cell>
          <cell r="H155">
            <v>6966600</v>
          </cell>
        </row>
        <row r="156">
          <cell r="F156" t="str">
            <v>Papan Kayu ukuran 2/20 cm</v>
          </cell>
          <cell r="G156" t="str">
            <v>m3</v>
          </cell>
          <cell r="H156">
            <v>2500000</v>
          </cell>
        </row>
        <row r="157">
          <cell r="F157" t="str">
            <v xml:space="preserve">Papan Cor </v>
          </cell>
          <cell r="G157" t="str">
            <v>m3</v>
          </cell>
          <cell r="H157">
            <v>2500000</v>
          </cell>
        </row>
        <row r="158">
          <cell r="F158" t="str">
            <v>Kayu papan 3/20 cm</v>
          </cell>
          <cell r="G158" t="str">
            <v>m3</v>
          </cell>
          <cell r="H158">
            <v>2825000</v>
          </cell>
        </row>
        <row r="159">
          <cell r="F159" t="str">
            <v>Kayu papan kelas I</v>
          </cell>
          <cell r="G159" t="str">
            <v>m3</v>
          </cell>
          <cell r="H159">
            <v>26000000</v>
          </cell>
        </row>
        <row r="160">
          <cell r="F160" t="str">
            <v>Kayu papan kelas II</v>
          </cell>
          <cell r="G160" t="str">
            <v>m3</v>
          </cell>
          <cell r="H160">
            <v>14000000</v>
          </cell>
        </row>
        <row r="161">
          <cell r="F161" t="str">
            <v>Kayu papan kelas III</v>
          </cell>
          <cell r="G161" t="str">
            <v>m3</v>
          </cell>
          <cell r="H161">
            <v>8000000</v>
          </cell>
        </row>
        <row r="162">
          <cell r="F162" t="str">
            <v>Kayu Papan tebal 9 mm</v>
          </cell>
          <cell r="G162" t="str">
            <v>M3</v>
          </cell>
          <cell r="H162">
            <v>4750000</v>
          </cell>
        </row>
        <row r="163">
          <cell r="F163" t="str">
            <v>Kayu papan kelas III (m2)</v>
          </cell>
          <cell r="G163" t="str">
            <v>m2</v>
          </cell>
          <cell r="H163">
            <v>160000</v>
          </cell>
        </row>
        <row r="164">
          <cell r="F164" t="str">
            <v>Kayu sengon (balok)</v>
          </cell>
          <cell r="G164" t="str">
            <v>m3</v>
          </cell>
          <cell r="H164">
            <v>4000000</v>
          </cell>
        </row>
        <row r="165">
          <cell r="F165" t="str">
            <v>Kayu Sengon (papan)</v>
          </cell>
          <cell r="G165" t="str">
            <v>m³</v>
          </cell>
          <cell r="H165">
            <v>3573600</v>
          </cell>
        </row>
        <row r="166">
          <cell r="F166" t="str">
            <v>List kayu 2x4 cm</v>
          </cell>
          <cell r="G166" t="str">
            <v>m3</v>
          </cell>
          <cell r="H166">
            <v>6000000</v>
          </cell>
        </row>
        <row r="167">
          <cell r="F167" t="str">
            <v>List kayu profil</v>
          </cell>
          <cell r="G167" t="str">
            <v>m'</v>
          </cell>
          <cell r="H167">
            <v>5000</v>
          </cell>
        </row>
        <row r="168">
          <cell r="F168" t="str">
            <v>List kayu profil kelas II</v>
          </cell>
          <cell r="G168" t="str">
            <v>M</v>
          </cell>
          <cell r="H168">
            <v>5500</v>
          </cell>
        </row>
        <row r="169">
          <cell r="F169" t="str">
            <v>Multiplek tebal 4 mm</v>
          </cell>
          <cell r="G169" t="str">
            <v>lembar</v>
          </cell>
          <cell r="H169">
            <v>116700</v>
          </cell>
        </row>
        <row r="170">
          <cell r="F170" t="str">
            <v>Multiplek tebal 9 mm</v>
          </cell>
          <cell r="G170" t="str">
            <v>lembar</v>
          </cell>
          <cell r="H170">
            <v>116700</v>
          </cell>
        </row>
        <row r="171">
          <cell r="F171" t="str">
            <v>Multiplek tebal 12 mm</v>
          </cell>
          <cell r="G171" t="str">
            <v>lembar</v>
          </cell>
          <cell r="H171">
            <v>152600</v>
          </cell>
        </row>
        <row r="172">
          <cell r="F172" t="str">
            <v>Multiplek tebal 18 mm</v>
          </cell>
          <cell r="G172" t="str">
            <v>lembar</v>
          </cell>
          <cell r="H172">
            <v>226600</v>
          </cell>
        </row>
        <row r="173">
          <cell r="F173" t="str">
            <v>Perancah kayu</v>
          </cell>
          <cell r="G173" t="str">
            <v>m3</v>
          </cell>
          <cell r="H173">
            <v>2500000</v>
          </cell>
        </row>
        <row r="174">
          <cell r="F174" t="str">
            <v>Phenol film 12mm</v>
          </cell>
          <cell r="G174" t="str">
            <v>lembar</v>
          </cell>
          <cell r="H174">
            <v>230000</v>
          </cell>
        </row>
        <row r="175">
          <cell r="F175" t="str">
            <v>Pintu Double teakwood rangka kayu</v>
          </cell>
          <cell r="G175" t="str">
            <v>m2</v>
          </cell>
          <cell r="H175">
            <v>150000</v>
          </cell>
        </row>
        <row r="176">
          <cell r="F176" t="str">
            <v>Pintu panel kayu lapis timbal uk. 1x2 m</v>
          </cell>
          <cell r="G176" t="str">
            <v>unit</v>
          </cell>
          <cell r="H176">
            <v>10000000</v>
          </cell>
        </row>
        <row r="177">
          <cell r="F177" t="str">
            <v>Plywood 12 mm</v>
          </cell>
          <cell r="G177" t="str">
            <v>lembar</v>
          </cell>
          <cell r="H177">
            <v>167300</v>
          </cell>
        </row>
        <row r="178">
          <cell r="F178" t="str">
            <v>Plywood 4 mm m3</v>
          </cell>
          <cell r="G178" t="str">
            <v>m3</v>
          </cell>
          <cell r="H178">
            <v>6298700</v>
          </cell>
        </row>
        <row r="179">
          <cell r="F179" t="str">
            <v>Plywood 3 mm</v>
          </cell>
          <cell r="G179" t="str">
            <v>lembar</v>
          </cell>
          <cell r="H179">
            <v>62500</v>
          </cell>
        </row>
        <row r="180">
          <cell r="F180" t="str">
            <v>Plywood 4 mm</v>
          </cell>
          <cell r="G180" t="str">
            <v>lembar</v>
          </cell>
          <cell r="H180">
            <v>75000</v>
          </cell>
        </row>
        <row r="181">
          <cell r="F181" t="str">
            <v>Plywood 6 mm</v>
          </cell>
          <cell r="G181" t="str">
            <v>lembar</v>
          </cell>
          <cell r="H181">
            <v>84200</v>
          </cell>
        </row>
        <row r="182">
          <cell r="F182" t="str">
            <v>Plywood 9 mm (120x240)</v>
          </cell>
          <cell r="G182" t="str">
            <v>lembar</v>
          </cell>
          <cell r="H182">
            <v>127000</v>
          </cell>
        </row>
        <row r="183">
          <cell r="F183" t="str">
            <v>Reng 2x3 cm</v>
          </cell>
          <cell r="G183" t="str">
            <v>m3</v>
          </cell>
          <cell r="H183">
            <v>8750000</v>
          </cell>
        </row>
        <row r="184">
          <cell r="F184" t="str">
            <v>Reng 3x4 cm</v>
          </cell>
          <cell r="G184" t="str">
            <v>m3</v>
          </cell>
          <cell r="H184">
            <v>9302000</v>
          </cell>
        </row>
        <row r="185">
          <cell r="F185" t="str">
            <v>Teakwood 4 mm (120x240)</v>
          </cell>
          <cell r="G185" t="str">
            <v>lembar</v>
          </cell>
          <cell r="H185">
            <v>76300</v>
          </cell>
        </row>
        <row r="186">
          <cell r="F186" t="str">
            <v>Teakwood 4 mm (90x210)</v>
          </cell>
          <cell r="G186" t="str">
            <v>lembar</v>
          </cell>
          <cell r="H186">
            <v>65600</v>
          </cell>
        </row>
        <row r="187">
          <cell r="F187" t="str">
            <v>Teakwood 9 mm (90x210)</v>
          </cell>
          <cell r="G187" t="str">
            <v>lembar</v>
          </cell>
          <cell r="H187">
            <v>114000</v>
          </cell>
        </row>
        <row r="188">
          <cell r="F188" t="str">
            <v>Tripleks  t=9mm</v>
          </cell>
          <cell r="G188" t="str">
            <v>lembar</v>
          </cell>
          <cell r="H188">
            <v>101200</v>
          </cell>
        </row>
        <row r="189">
          <cell r="F189" t="str">
            <v>Veeneer tebal 2 mm</v>
          </cell>
          <cell r="G189" t="str">
            <v>m2</v>
          </cell>
          <cell r="H189">
            <v>150000</v>
          </cell>
        </row>
        <row r="191">
          <cell r="F191" t="str">
            <v>Assesoris  PVC</v>
          </cell>
          <cell r="G191" t="str">
            <v>m'</v>
          </cell>
          <cell r="H191">
            <v>5700</v>
          </cell>
        </row>
        <row r="192">
          <cell r="F192" t="str">
            <v>Pipa HDPE 40/33 mm</v>
          </cell>
          <cell r="G192" t="str">
            <v>m'</v>
          </cell>
          <cell r="H192">
            <v>13300</v>
          </cell>
        </row>
        <row r="193">
          <cell r="F193" t="str">
            <v>Pipa PVC  tipe D Ø 2"</v>
          </cell>
          <cell r="G193" t="str">
            <v>m'</v>
          </cell>
          <cell r="H193">
            <v>23500</v>
          </cell>
        </row>
        <row r="194">
          <cell r="F194" t="str">
            <v>Pipa PVC AW Ø 1"</v>
          </cell>
          <cell r="G194" t="str">
            <v>m'</v>
          </cell>
          <cell r="H194">
            <v>11250</v>
          </cell>
        </row>
        <row r="195">
          <cell r="F195" t="str">
            <v>PIPA PVC AW ; DN. 1"
(25 mm) dan
aksesoris</v>
          </cell>
          <cell r="G195" t="str">
            <v>m'</v>
          </cell>
          <cell r="H195">
            <v>11500</v>
          </cell>
        </row>
        <row r="196">
          <cell r="F196" t="str">
            <v>Pipa PVC AW ; DN. 1"
(25 mm) + fitting &amp;
aksesoris</v>
          </cell>
          <cell r="G196" t="str">
            <v>m'</v>
          </cell>
          <cell r="H196">
            <v>11700</v>
          </cell>
        </row>
        <row r="197">
          <cell r="F197" t="str">
            <v>Pipa PVC AW Ø 1/2"</v>
          </cell>
          <cell r="G197" t="str">
            <v>batang</v>
          </cell>
          <cell r="H197">
            <v>27500</v>
          </cell>
        </row>
        <row r="198">
          <cell r="F198" t="str">
            <v>Pipa PVC AW Ø 1/2" (m)</v>
          </cell>
          <cell r="G198" t="str">
            <v>m'</v>
          </cell>
          <cell r="H198">
            <v>6875</v>
          </cell>
        </row>
        <row r="199">
          <cell r="F199" t="str">
            <v>PIPA PVC AW ; DN.
1/2" (15 mm) dan
aksesoris</v>
          </cell>
          <cell r="G199" t="str">
            <v>m'</v>
          </cell>
          <cell r="H199">
            <v>6900</v>
          </cell>
        </row>
        <row r="200">
          <cell r="F200" t="str">
            <v>Pipa PVC AW ; DN.
1/2" (15 mm) +
fitting &amp; aksesoris</v>
          </cell>
          <cell r="G200" t="str">
            <v>m'</v>
          </cell>
          <cell r="H200">
            <v>7100</v>
          </cell>
        </row>
        <row r="201">
          <cell r="F201" t="str">
            <v>Pipa PVC AW Ø 10"</v>
          </cell>
          <cell r="G201" t="str">
            <v>m'</v>
          </cell>
          <cell r="H201">
            <v>150000</v>
          </cell>
        </row>
        <row r="202">
          <cell r="F202" t="str">
            <v>Pipa PVC AW Ø 1-1/2"</v>
          </cell>
          <cell r="G202" t="str">
            <v>m'</v>
          </cell>
          <cell r="H202">
            <v>20000</v>
          </cell>
        </row>
        <row r="203">
          <cell r="F203" t="str">
            <v>PIPA PVC AW ; DN. 1-
1/2" (40 mm) dan
aksesoris</v>
          </cell>
          <cell r="G203" t="str">
            <v>m'</v>
          </cell>
          <cell r="H203">
            <v>20500</v>
          </cell>
        </row>
        <row r="204">
          <cell r="F204" t="str">
            <v>Pipa PVC AW ; DN. 1-
1/2" (40 mm) +
fitting &amp; aksesoris</v>
          </cell>
          <cell r="G204" t="str">
            <v>m'</v>
          </cell>
          <cell r="H204">
            <v>22000</v>
          </cell>
        </row>
        <row r="205">
          <cell r="F205" t="str">
            <v>Pipa PVC AW Ø 1-1/4"</v>
          </cell>
          <cell r="G205" t="str">
            <v>m'</v>
          </cell>
          <cell r="H205">
            <v>18500</v>
          </cell>
        </row>
        <row r="206">
          <cell r="F206" t="str">
            <v>PIPA PVC AW ; DN. 1-
1/4" (32 mm) dan
aksesoris</v>
          </cell>
          <cell r="G206" t="str">
            <v>m'</v>
          </cell>
          <cell r="H206">
            <v>18900</v>
          </cell>
        </row>
        <row r="207">
          <cell r="F207" t="str">
            <v>Pipa PVC AW ; DN. 1-
1/4" (32 mm) +
fitting &amp; aksesoris</v>
          </cell>
          <cell r="G207" t="str">
            <v>m'</v>
          </cell>
          <cell r="H207">
            <v>19000</v>
          </cell>
        </row>
        <row r="208">
          <cell r="F208" t="str">
            <v>Pipa PVC AW Ø 12"</v>
          </cell>
          <cell r="G208" t="str">
            <v>m'</v>
          </cell>
          <cell r="H208">
            <v>177500</v>
          </cell>
        </row>
        <row r="209">
          <cell r="F209" t="str">
            <v>Pipa PVC AW ; DN. 12" (300 mm) + fitting &amp; aksesoris</v>
          </cell>
          <cell r="G209" t="str">
            <v>m'</v>
          </cell>
          <cell r="H209">
            <v>179000</v>
          </cell>
        </row>
        <row r="210">
          <cell r="F210" t="str">
            <v>Pipa PVC AW Ø 14"</v>
          </cell>
          <cell r="G210" t="str">
            <v>m'</v>
          </cell>
          <cell r="H210">
            <v>200000</v>
          </cell>
        </row>
        <row r="211">
          <cell r="F211" t="str">
            <v>Pipa PVC AW ; DN. 14" (350 mm) + fitting &amp; aksesoris</v>
          </cell>
          <cell r="G211" t="str">
            <v>m'</v>
          </cell>
          <cell r="H211">
            <v>201000</v>
          </cell>
        </row>
        <row r="212">
          <cell r="F212" t="str">
            <v>Pipa PVC AW Ø 16"</v>
          </cell>
          <cell r="G212" t="str">
            <v>m'</v>
          </cell>
          <cell r="H212">
            <v>233750</v>
          </cell>
        </row>
        <row r="213">
          <cell r="F213" t="str">
            <v>Pipa PVC AW ; DN. 16" (400 mm) + fitting &amp; aksesoris</v>
          </cell>
          <cell r="G213" t="str">
            <v>m'</v>
          </cell>
          <cell r="H213">
            <v>234000</v>
          </cell>
        </row>
        <row r="214">
          <cell r="F214" t="str">
            <v>Pipa PVC AW Ø 2"</v>
          </cell>
          <cell r="G214" t="str">
            <v>m'</v>
          </cell>
          <cell r="H214">
            <v>26000</v>
          </cell>
        </row>
        <row r="215">
          <cell r="F215" t="str">
            <v>PIPA PVC AW ; DN. 2"
(50 mm) dan
aksesoris</v>
          </cell>
          <cell r="G215" t="str">
            <v>m'</v>
          </cell>
          <cell r="H215">
            <v>26500</v>
          </cell>
        </row>
        <row r="216">
          <cell r="F216" t="str">
            <v>Pipa PVC AW ; DN. 2" (50 mm) + fitting &amp; aksesoris</v>
          </cell>
          <cell r="G216" t="str">
            <v>m'</v>
          </cell>
          <cell r="H216">
            <v>28000</v>
          </cell>
        </row>
        <row r="217">
          <cell r="F217" t="str">
            <v>Pipa PVC AW Ø 2-1/2"</v>
          </cell>
          <cell r="G217" t="str">
            <v>m'</v>
          </cell>
          <cell r="H217">
            <v>33625</v>
          </cell>
        </row>
        <row r="218">
          <cell r="F218" t="str">
            <v>PIPA PVC AW ; DN. 2-
1/2" (65 mm) dan
aksesoris</v>
          </cell>
          <cell r="G218" t="str">
            <v>m'</v>
          </cell>
          <cell r="H218">
            <v>33900</v>
          </cell>
        </row>
        <row r="219">
          <cell r="F219" t="str">
            <v>Pipa PVC AW ; DN. 2-1/2" (65 mm) + fitting &amp; aksesoris</v>
          </cell>
          <cell r="G219" t="str">
            <v>m'</v>
          </cell>
          <cell r="H219">
            <v>40000</v>
          </cell>
        </row>
        <row r="220">
          <cell r="F220" t="str">
            <v>Pipa PVC AW Ø 3"</v>
          </cell>
          <cell r="G220" t="str">
            <v>m'</v>
          </cell>
          <cell r="H220">
            <v>51075</v>
          </cell>
        </row>
        <row r="221">
          <cell r="F221" t="str">
            <v>PIPA PVC AW ; DN. 3"
(80 mm) dan
aksesoris</v>
          </cell>
          <cell r="G221" t="str">
            <v>m'</v>
          </cell>
          <cell r="H221">
            <v>51500</v>
          </cell>
        </row>
        <row r="222">
          <cell r="F222" t="str">
            <v>Pipa PVC AW ; DN. 3"
(80 mm) + fitting &amp;
aksesoris</v>
          </cell>
          <cell r="G222" t="str">
            <v>m'</v>
          </cell>
          <cell r="H222">
            <v>53000</v>
          </cell>
        </row>
        <row r="223">
          <cell r="F223" t="str">
            <v>Pipa PVC AW Ø 3/4"</v>
          </cell>
          <cell r="G223" t="str">
            <v>batang</v>
          </cell>
          <cell r="H223">
            <v>35000</v>
          </cell>
        </row>
        <row r="224">
          <cell r="F224" t="str">
            <v>Pipa PVC AW Ø 3/4" (m)</v>
          </cell>
          <cell r="G224" t="str">
            <v>m'</v>
          </cell>
          <cell r="H224">
            <v>8750</v>
          </cell>
        </row>
        <row r="225">
          <cell r="F225" t="str">
            <v>PIPA PVC AW ; DN.
3/4" (20 mm) dan
aksesoris</v>
          </cell>
          <cell r="G225" t="str">
            <v>m'</v>
          </cell>
          <cell r="H225">
            <v>8900</v>
          </cell>
        </row>
        <row r="226">
          <cell r="F226" t="str">
            <v>Pipa PVC AW ; DN.
3/4" (20 mm) +
fitting &amp; aksesoris</v>
          </cell>
          <cell r="G226" t="str">
            <v>m'</v>
          </cell>
          <cell r="H226">
            <v>9300</v>
          </cell>
        </row>
        <row r="227">
          <cell r="F227" t="str">
            <v>Pipa PVC AW Ø 4"</v>
          </cell>
          <cell r="G227" t="str">
            <v>m'</v>
          </cell>
          <cell r="H227">
            <v>72375</v>
          </cell>
        </row>
        <row r="228">
          <cell r="F228" t="str">
            <v>PIPA PVC AW ; DN. 4"
(100 mm) dan
aksesoris</v>
          </cell>
          <cell r="G228" t="str">
            <v>m'</v>
          </cell>
          <cell r="H228">
            <v>72700</v>
          </cell>
        </row>
        <row r="229">
          <cell r="F229" t="str">
            <v>Pipa PVC AW ; DN. 4"
(100 mm) + fitting &amp;
aksesoris</v>
          </cell>
          <cell r="G229" t="str">
            <v>m'</v>
          </cell>
          <cell r="H229">
            <v>74000</v>
          </cell>
        </row>
        <row r="230">
          <cell r="F230" t="str">
            <v>Pipa PVC AW Ø 5"</v>
          </cell>
          <cell r="G230" t="str">
            <v>m'</v>
          </cell>
          <cell r="H230">
            <v>100000</v>
          </cell>
        </row>
        <row r="231">
          <cell r="F231" t="str">
            <v>Pipa PVC AW ; DN. 5"
(125 mm) + fitting &amp;
aksesoris</v>
          </cell>
          <cell r="G231" t="str">
            <v>m'</v>
          </cell>
          <cell r="H231">
            <v>101000</v>
          </cell>
        </row>
        <row r="232">
          <cell r="F232" t="str">
            <v>Pipa PVC AW Ø 6"</v>
          </cell>
          <cell r="G232" t="str">
            <v>m'</v>
          </cell>
          <cell r="H232">
            <v>107500</v>
          </cell>
        </row>
        <row r="233">
          <cell r="F233" t="str">
            <v>Pemasangan 1 m pipa PVC AW, DN. 6" (150 mm)</v>
          </cell>
          <cell r="G233" t="str">
            <v>m'</v>
          </cell>
          <cell r="H233">
            <v>108000</v>
          </cell>
        </row>
        <row r="234">
          <cell r="F234" t="str">
            <v>Pipa PVC AW Ø 8"</v>
          </cell>
          <cell r="G234" t="str">
            <v>m'</v>
          </cell>
          <cell r="H234">
            <v>132500</v>
          </cell>
        </row>
        <row r="235">
          <cell r="F235" t="str">
            <v>Pipa PVC AW ; DN. 8"
(200 mm) + fitting &amp;
aksesoris</v>
          </cell>
          <cell r="G235" t="str">
            <v>m'</v>
          </cell>
          <cell r="H235">
            <v>133000</v>
          </cell>
        </row>
        <row r="236">
          <cell r="F236" t="str">
            <v>Pipa PVC D Ø 10"</v>
          </cell>
          <cell r="G236" t="str">
            <v>m'</v>
          </cell>
          <cell r="H236">
            <v>232900</v>
          </cell>
        </row>
        <row r="237">
          <cell r="F237" t="str">
            <v>Pipa PVC D ; DN.
10" (250 mm) +
fitting &amp; aksesoris</v>
          </cell>
          <cell r="G237" t="str">
            <v>m'</v>
          </cell>
          <cell r="H237">
            <v>233000</v>
          </cell>
        </row>
        <row r="238">
          <cell r="F238" t="str">
            <v>Pipa PVC AW ; DN.
10" (250 mm) +
fitting &amp; aksesoris</v>
          </cell>
          <cell r="G238" t="str">
            <v>m'</v>
          </cell>
          <cell r="H238">
            <v>232000</v>
          </cell>
        </row>
        <row r="239">
          <cell r="F239" t="str">
            <v>Pipa PVC D Ø 1-1/2"</v>
          </cell>
          <cell r="G239" t="str">
            <v>m'</v>
          </cell>
          <cell r="H239">
            <v>11175</v>
          </cell>
        </row>
        <row r="240">
          <cell r="F240" t="str">
            <v>Pipa PVC D ; DN. 1-1/2" (40 mm) + fitting &amp; aksesoris</v>
          </cell>
          <cell r="G240" t="str">
            <v>m'</v>
          </cell>
          <cell r="H240">
            <v>12000</v>
          </cell>
        </row>
        <row r="241">
          <cell r="F241" t="str">
            <v>Pipa PVC D Ø 1-1/4"</v>
          </cell>
          <cell r="G241" t="str">
            <v>m'</v>
          </cell>
          <cell r="H241">
            <v>10000</v>
          </cell>
        </row>
        <row r="242">
          <cell r="F242" t="str">
            <v>Pipa PVC D ; DN. 1-1/4" (32 mm) + fitting &amp; aksesoris</v>
          </cell>
          <cell r="G242" t="str">
            <v>m'</v>
          </cell>
          <cell r="H242">
            <v>11000</v>
          </cell>
        </row>
        <row r="243">
          <cell r="F243" t="str">
            <v>Pipa PVC D Ø 12"</v>
          </cell>
          <cell r="G243" t="str">
            <v>m'</v>
          </cell>
          <cell r="H243">
            <v>319750</v>
          </cell>
        </row>
        <row r="244">
          <cell r="F244" t="str">
            <v>Pipa PVC D ; DN.
12" (300 mm) +
fitting &amp; aksesoris</v>
          </cell>
          <cell r="G244" t="str">
            <v>m'</v>
          </cell>
          <cell r="H244">
            <v>320000</v>
          </cell>
        </row>
        <row r="245">
          <cell r="F245" t="str">
            <v>Pipa PVC D Ø 14"</v>
          </cell>
          <cell r="G245" t="str">
            <v>m'</v>
          </cell>
          <cell r="H245">
            <v>325000</v>
          </cell>
        </row>
        <row r="246">
          <cell r="F246" t="str">
            <v>Pipa PVC D ; DN.
14" (350 mm) +
fitting &amp; aksesoris</v>
          </cell>
          <cell r="G246" t="str">
            <v>m'</v>
          </cell>
          <cell r="H246">
            <v>323000</v>
          </cell>
        </row>
        <row r="247">
          <cell r="F247" t="str">
            <v>Pipa PVC D Ø 16"</v>
          </cell>
          <cell r="G247" t="str">
            <v>m'</v>
          </cell>
          <cell r="H247">
            <v>362500</v>
          </cell>
        </row>
        <row r="248">
          <cell r="F248" t="str">
            <v>Pipa PVC D ; DN.
16" (400 mm) +
fitting &amp; aksesoris</v>
          </cell>
          <cell r="G248" t="str">
            <v>m'</v>
          </cell>
          <cell r="H248">
            <v>363000</v>
          </cell>
        </row>
        <row r="249">
          <cell r="F249" t="str">
            <v>Pipa PVC D Ø 2"</v>
          </cell>
          <cell r="G249" t="str">
            <v>m'</v>
          </cell>
          <cell r="H249">
            <v>14750</v>
          </cell>
        </row>
        <row r="250">
          <cell r="F250" t="str">
            <v>Pipa PVC D ; DN. 2" (50 mm) + fitting &amp; aksesoris</v>
          </cell>
          <cell r="G250" t="str">
            <v>m'</v>
          </cell>
          <cell r="H250">
            <v>15000</v>
          </cell>
        </row>
        <row r="251">
          <cell r="F251" t="str">
            <v>Pipa PVC D Ø 2-1/2"</v>
          </cell>
          <cell r="G251" t="str">
            <v>m'</v>
          </cell>
          <cell r="H251">
            <v>20625</v>
          </cell>
        </row>
        <row r="252">
          <cell r="F252" t="str">
            <v>Pipa PVC D ; DN.
2-1/2" (65 mm) +
fitting &amp; aksesoris</v>
          </cell>
          <cell r="G252" t="str">
            <v>m'</v>
          </cell>
          <cell r="H252">
            <v>21000</v>
          </cell>
        </row>
        <row r="253">
          <cell r="F253" t="str">
            <v>Pipa PVC D Ø 3"</v>
          </cell>
          <cell r="G253" t="str">
            <v>m'</v>
          </cell>
          <cell r="H253">
            <v>28600</v>
          </cell>
        </row>
        <row r="254">
          <cell r="F254" t="str">
            <v>Pipa PVC D ; DN.
3" (80 mm) + fitting &amp;
aksesoris</v>
          </cell>
          <cell r="G254" t="str">
            <v>m'</v>
          </cell>
          <cell r="H254">
            <v>29000</v>
          </cell>
        </row>
        <row r="255">
          <cell r="F255" t="str">
            <v>Pipa PVC D Ø 4"</v>
          </cell>
          <cell r="G255" t="str">
            <v>m'</v>
          </cell>
          <cell r="H255">
            <v>39575</v>
          </cell>
        </row>
        <row r="256">
          <cell r="F256" t="str">
            <v>Pipa PVC D ; DN. 4" (100 mm) + fitting &amp; aksesoris</v>
          </cell>
          <cell r="G256" t="str">
            <v>m'</v>
          </cell>
          <cell r="H256">
            <v>40000</v>
          </cell>
        </row>
        <row r="257">
          <cell r="F257" t="str">
            <v>Pipa PVC D Ø 5"</v>
          </cell>
          <cell r="G257" t="str">
            <v>m'</v>
          </cell>
          <cell r="H257">
            <v>63200</v>
          </cell>
        </row>
        <row r="258">
          <cell r="F258" t="str">
            <v>Pipa PVC D ; DN. 5" (125 mm) + fitting &amp; aksesoris</v>
          </cell>
          <cell r="G258" t="str">
            <v>m'</v>
          </cell>
          <cell r="H258">
            <v>64000</v>
          </cell>
        </row>
        <row r="259">
          <cell r="F259" t="str">
            <v>Pipa PVC D Ø 6"</v>
          </cell>
          <cell r="G259" t="str">
            <v>m'</v>
          </cell>
          <cell r="H259">
            <v>79775</v>
          </cell>
        </row>
        <row r="260">
          <cell r="F260" t="str">
            <v>Pipa PVC D ; DN. 6" (150 mm) + fitting &amp; aksesoris</v>
          </cell>
          <cell r="G260" t="str">
            <v>m'</v>
          </cell>
          <cell r="H260">
            <v>80000</v>
          </cell>
        </row>
        <row r="261">
          <cell r="F261" t="str">
            <v>Pipa PVC D Ø 8"</v>
          </cell>
          <cell r="G261" t="str">
            <v>m'</v>
          </cell>
          <cell r="H261">
            <v>139575</v>
          </cell>
        </row>
        <row r="262">
          <cell r="F262" t="str">
            <v>Pipa PVC D ; DN. 8" (200 mm) + fitting &amp; aksesoris</v>
          </cell>
          <cell r="G262" t="str">
            <v>m'</v>
          </cell>
          <cell r="H262">
            <v>140000</v>
          </cell>
        </row>
        <row r="263">
          <cell r="F263" t="str">
            <v>Pipa PVC dia. 1"</v>
          </cell>
          <cell r="G263" t="str">
            <v>m'</v>
          </cell>
          <cell r="H263">
            <v>11250</v>
          </cell>
        </row>
        <row r="264">
          <cell r="F264" t="str">
            <v>Pipa PVC dia. 2"</v>
          </cell>
          <cell r="G264" t="str">
            <v>m'</v>
          </cell>
          <cell r="H264">
            <v>26000</v>
          </cell>
        </row>
        <row r="265">
          <cell r="F265" t="str">
            <v>Pipa Tembaga B280 1/4"</v>
          </cell>
          <cell r="G265" t="str">
            <v>m'</v>
          </cell>
          <cell r="H265">
            <v>34300</v>
          </cell>
        </row>
        <row r="266">
          <cell r="F266" t="str">
            <v xml:space="preserve">Duct Tape </v>
          </cell>
          <cell r="G266" t="str">
            <v xml:space="preserve">gulung </v>
          </cell>
          <cell r="H266">
            <v>9050</v>
          </cell>
        </row>
        <row r="267">
          <cell r="F267" t="str">
            <v>Pipa Tembaga B280 3/8"</v>
          </cell>
          <cell r="G267" t="str">
            <v>m'</v>
          </cell>
          <cell r="H267">
            <v>45300</v>
          </cell>
        </row>
        <row r="268">
          <cell r="F268" t="str">
            <v>Pipa Tembaga B280 1/2"</v>
          </cell>
          <cell r="G268" t="str">
            <v>m'</v>
          </cell>
          <cell r="H268">
            <v>46400</v>
          </cell>
        </row>
        <row r="269">
          <cell r="F269" t="str">
            <v>Pipa Tembaga B280 5/8"</v>
          </cell>
          <cell r="G269" t="str">
            <v>m'</v>
          </cell>
          <cell r="H269">
            <v>101600</v>
          </cell>
        </row>
        <row r="270">
          <cell r="F270" t="str">
            <v>Pipa Tembaga B280 3/4"</v>
          </cell>
          <cell r="G270" t="str">
            <v>m'</v>
          </cell>
          <cell r="H270">
            <v>122700</v>
          </cell>
        </row>
        <row r="271">
          <cell r="F271" t="str">
            <v>Pipa Tembaga B280 7/8"</v>
          </cell>
          <cell r="G271" t="str">
            <v>m'</v>
          </cell>
          <cell r="H271">
            <v>351600</v>
          </cell>
        </row>
        <row r="272">
          <cell r="F272" t="str">
            <v>Pipa Tembaga B280 1"</v>
          </cell>
          <cell r="G272" t="str">
            <v>m'</v>
          </cell>
          <cell r="H272">
            <v>370000</v>
          </cell>
        </row>
        <row r="273">
          <cell r="F273" t="str">
            <v>Pipa Tembaga B280 1-1/8"</v>
          </cell>
          <cell r="G273" t="str">
            <v>m'</v>
          </cell>
          <cell r="H273">
            <v>375000</v>
          </cell>
        </row>
        <row r="274">
          <cell r="F274" t="str">
            <v>Pipa Tembaga B280 1-3/8"</v>
          </cell>
          <cell r="G274" t="str">
            <v>m'</v>
          </cell>
          <cell r="H274">
            <v>380000</v>
          </cell>
        </row>
        <row r="275">
          <cell r="F275" t="str">
            <v>Pipa Tembaga B280 1-5/8"</v>
          </cell>
          <cell r="G275" t="str">
            <v>m'</v>
          </cell>
          <cell r="H275">
            <v>290000</v>
          </cell>
        </row>
        <row r="276">
          <cell r="F276" t="str">
            <v>PRV SET dia. 50 mm dan aksesoris</v>
          </cell>
          <cell r="G276" t="str">
            <v xml:space="preserve">unit </v>
          </cell>
          <cell r="H276">
            <v>6131000</v>
          </cell>
        </row>
        <row r="277">
          <cell r="F277" t="str">
            <v>PRV SET dia. 65 mm dan aksesoris</v>
          </cell>
          <cell r="G277" t="str">
            <v xml:space="preserve">unit </v>
          </cell>
          <cell r="H277">
            <v>8397000</v>
          </cell>
        </row>
        <row r="278">
          <cell r="F278" t="str">
            <v>PRV SET dia. 80 mm dan aksesoris</v>
          </cell>
          <cell r="G278" t="str">
            <v xml:space="preserve">unit </v>
          </cell>
          <cell r="H278">
            <v>8550000</v>
          </cell>
        </row>
        <row r="279">
          <cell r="F279" t="str">
            <v>PRV SET dia. 100 mm dan aksesoris</v>
          </cell>
          <cell r="G279" t="str">
            <v xml:space="preserve">unit </v>
          </cell>
          <cell r="H279">
            <v>14250000</v>
          </cell>
        </row>
        <row r="280">
          <cell r="F280" t="str">
            <v>PRV SET dia. 150 mm dan aksesoris</v>
          </cell>
          <cell r="G280" t="str">
            <v xml:space="preserve">unit </v>
          </cell>
          <cell r="H280">
            <v>14500000</v>
          </cell>
        </row>
        <row r="281">
          <cell r="F281" t="str">
            <v>PRV SET dia. 200 mm dan aksesoris</v>
          </cell>
          <cell r="G281" t="str">
            <v xml:space="preserve">unit </v>
          </cell>
          <cell r="H281">
            <v>15500000</v>
          </cell>
        </row>
        <row r="282">
          <cell r="F282" t="str">
            <v>MCV Set dia. 80 mm</v>
          </cell>
          <cell r="G282" t="str">
            <v xml:space="preserve">unit </v>
          </cell>
          <cell r="H282">
            <v>20500000</v>
          </cell>
        </row>
        <row r="283">
          <cell r="F283" t="str">
            <v>MCV Set dia. 100 mm</v>
          </cell>
          <cell r="G283" t="str">
            <v xml:space="preserve">unit </v>
          </cell>
          <cell r="H283">
            <v>20900000</v>
          </cell>
        </row>
        <row r="284">
          <cell r="F284" t="str">
            <v>MCV Set dia. 150 mm</v>
          </cell>
          <cell r="G284" t="str">
            <v xml:space="preserve">unit </v>
          </cell>
          <cell r="H284">
            <v>30300000</v>
          </cell>
        </row>
        <row r="285">
          <cell r="F285" t="str">
            <v>BCV Set dia. 50 mm</v>
          </cell>
          <cell r="G285" t="str">
            <v xml:space="preserve">set </v>
          </cell>
          <cell r="H285">
            <v>1700000</v>
          </cell>
        </row>
        <row r="286">
          <cell r="F286" t="str">
            <v>Flow Switch dia. 50 mm</v>
          </cell>
          <cell r="G286" t="str">
            <v xml:space="preserve">buah </v>
          </cell>
          <cell r="H286">
            <v>83000</v>
          </cell>
        </row>
        <row r="287">
          <cell r="F287" t="str">
            <v xml:space="preserve">Sigh Glass </v>
          </cell>
          <cell r="G287" t="str">
            <v xml:space="preserve">buah </v>
          </cell>
          <cell r="H287">
            <v>85000</v>
          </cell>
        </row>
        <row r="288">
          <cell r="F288" t="str">
            <v xml:space="preserve">Flow Switch </v>
          </cell>
          <cell r="G288" t="str">
            <v xml:space="preserve">buah </v>
          </cell>
          <cell r="H288">
            <v>104000</v>
          </cell>
        </row>
        <row r="289">
          <cell r="F289" t="str">
            <v xml:space="preserve">Test Drain Valve </v>
          </cell>
          <cell r="G289" t="str">
            <v xml:space="preserve">buah </v>
          </cell>
          <cell r="H289">
            <v>750000</v>
          </cell>
        </row>
        <row r="290">
          <cell r="F290" t="str">
            <v xml:space="preserve">Coupling 1 set </v>
          </cell>
          <cell r="G290" t="str">
            <v xml:space="preserve">set </v>
          </cell>
          <cell r="H290">
            <v>115000</v>
          </cell>
        </row>
        <row r="291">
          <cell r="F291" t="str">
            <v xml:space="preserve">Temper Switch </v>
          </cell>
          <cell r="G291" t="str">
            <v xml:space="preserve">buah </v>
          </cell>
          <cell r="H291">
            <v>700000</v>
          </cell>
        </row>
        <row r="292">
          <cell r="F292" t="str">
            <v>BCV Set dia. 65 mm</v>
          </cell>
          <cell r="G292" t="str">
            <v xml:space="preserve">set </v>
          </cell>
          <cell r="H292">
            <v>1900000</v>
          </cell>
        </row>
        <row r="293">
          <cell r="F293" t="str">
            <v>BCV Set dia. 80 mm</v>
          </cell>
          <cell r="G293" t="str">
            <v xml:space="preserve">set </v>
          </cell>
          <cell r="H293">
            <v>2100000</v>
          </cell>
        </row>
        <row r="294">
          <cell r="F294" t="str">
            <v>BCV Set dia. 100 mm</v>
          </cell>
          <cell r="G294" t="str">
            <v xml:space="preserve">set </v>
          </cell>
          <cell r="H294">
            <v>2400000</v>
          </cell>
        </row>
        <row r="295">
          <cell r="F295" t="str">
            <v>BCV Set dia. 150 mm</v>
          </cell>
          <cell r="G295" t="str">
            <v xml:space="preserve">set </v>
          </cell>
          <cell r="H295">
            <v>2600000</v>
          </cell>
        </row>
        <row r="296">
          <cell r="F296" t="str">
            <v>Automatic Air Vent  dia. 50 mm</v>
          </cell>
          <cell r="G296" t="str">
            <v xml:space="preserve">unit </v>
          </cell>
          <cell r="H296">
            <v>635000</v>
          </cell>
        </row>
        <row r="297">
          <cell r="F297" t="str">
            <v>Automatic Air Vent  dia. 80 mm</v>
          </cell>
          <cell r="G297" t="str">
            <v>unit</v>
          </cell>
          <cell r="H297">
            <v>766500</v>
          </cell>
        </row>
        <row r="298">
          <cell r="F298" t="str">
            <v>Automatic Air Vent  dia. 100 mm</v>
          </cell>
          <cell r="G298" t="str">
            <v xml:space="preserve">unit </v>
          </cell>
          <cell r="H298">
            <v>980000</v>
          </cell>
        </row>
        <row r="299">
          <cell r="F299" t="str">
            <v>Automatic Air Vent  dia. 150 mm</v>
          </cell>
          <cell r="G299" t="str">
            <v>unit</v>
          </cell>
          <cell r="H299">
            <v>1150000</v>
          </cell>
        </row>
        <row r="300">
          <cell r="F300" t="str">
            <v>Flow Meter Analog dia. 100 mm</v>
          </cell>
          <cell r="G300" t="str">
            <v xml:space="preserve">unit </v>
          </cell>
          <cell r="H300">
            <v>1300000</v>
          </cell>
        </row>
        <row r="301">
          <cell r="F301" t="str">
            <v>Flow Meter Analog dia. 200 mm</v>
          </cell>
          <cell r="G301" t="str">
            <v xml:space="preserve">unit </v>
          </cell>
          <cell r="H301">
            <v>1500000</v>
          </cell>
        </row>
        <row r="302">
          <cell r="F302" t="str">
            <v>Landing Velve 2,5"</v>
          </cell>
          <cell r="G302" t="str">
            <v xml:space="preserve">unit </v>
          </cell>
          <cell r="H302">
            <v>1259000</v>
          </cell>
        </row>
        <row r="303">
          <cell r="F303" t="str">
            <v>Orifice Plate dia. 25 mm</v>
          </cell>
          <cell r="G303" t="str">
            <v xml:space="preserve">unit </v>
          </cell>
          <cell r="H303">
            <v>1500000</v>
          </cell>
        </row>
        <row r="304">
          <cell r="F304" t="str">
            <v xml:space="preserve">Sprinkler Head Pendant dan Aksesoris </v>
          </cell>
          <cell r="G304" t="str">
            <v xml:space="preserve">unit </v>
          </cell>
          <cell r="H304">
            <v>85000</v>
          </cell>
        </row>
        <row r="305">
          <cell r="F305" t="str">
            <v xml:space="preserve">Sprinkler Head Upright dan Aksesoris </v>
          </cell>
          <cell r="G305" t="str">
            <v xml:space="preserve">unit </v>
          </cell>
          <cell r="H305">
            <v>82900</v>
          </cell>
        </row>
        <row r="306">
          <cell r="F306" t="str">
            <v xml:space="preserve">Hydrant Pillar dan Aksesoris </v>
          </cell>
          <cell r="G306" t="str">
            <v xml:space="preserve">unit </v>
          </cell>
          <cell r="H306">
            <v>3750000</v>
          </cell>
        </row>
        <row r="307">
          <cell r="F307" t="str">
            <v xml:space="preserve">Indoor Hydrant Box dan Aksesoris </v>
          </cell>
          <cell r="G307" t="str">
            <v xml:space="preserve">unit </v>
          </cell>
          <cell r="H307">
            <v>1200000</v>
          </cell>
        </row>
        <row r="308">
          <cell r="F308" t="str">
            <v xml:space="preserve">Outdoor Hydrant Box dan Aksesoris </v>
          </cell>
          <cell r="G308" t="str">
            <v xml:space="preserve">unit </v>
          </cell>
          <cell r="H308">
            <v>1700000</v>
          </cell>
        </row>
        <row r="309">
          <cell r="F309" t="str">
            <v xml:space="preserve">Siamesse Connection dan Aksesoris </v>
          </cell>
          <cell r="G309" t="str">
            <v xml:space="preserve">unit </v>
          </cell>
          <cell r="H309">
            <v>2200000</v>
          </cell>
        </row>
        <row r="310">
          <cell r="F310" t="str">
            <v xml:space="preserve">Fire Extinguisher 3 kg  dan Aksesoris </v>
          </cell>
          <cell r="G310" t="str">
            <v xml:space="preserve">Unit </v>
          </cell>
          <cell r="H310">
            <v>171500</v>
          </cell>
        </row>
        <row r="311">
          <cell r="F311" t="str">
            <v xml:space="preserve">Fire Extinguisher 5 kg  dan Aksesoris </v>
          </cell>
          <cell r="G311" t="str">
            <v>unit</v>
          </cell>
          <cell r="H311">
            <v>227900</v>
          </cell>
        </row>
        <row r="312">
          <cell r="F312" t="str">
            <v xml:space="preserve">Fire Extinguisher 25 kg  dan Aksesoris </v>
          </cell>
          <cell r="G312" t="str">
            <v xml:space="preserve">unit </v>
          </cell>
          <cell r="H312">
            <v>1900000</v>
          </cell>
        </row>
        <row r="313">
          <cell r="F313" t="str">
            <v xml:space="preserve">Jockey Fire Pump Vertical Multi Stage 25 USGPM </v>
          </cell>
          <cell r="G313" t="str">
            <v xml:space="preserve">unit </v>
          </cell>
          <cell r="H313">
            <v>7400000</v>
          </cell>
        </row>
        <row r="314">
          <cell r="F314" t="str">
            <v xml:space="preserve">Main Fire Pump Centrifugal  End Suction 1.000 USGPM </v>
          </cell>
          <cell r="G314" t="str">
            <v xml:space="preserve">unit </v>
          </cell>
          <cell r="H314">
            <v>10000000</v>
          </cell>
        </row>
        <row r="315">
          <cell r="F315" t="str">
            <v xml:space="preserve">Diesel Fire Pump Centrifugal End Suction dan Aksesoris </v>
          </cell>
          <cell r="G315" t="str">
            <v xml:space="preserve">unit </v>
          </cell>
          <cell r="H315">
            <v>12000000</v>
          </cell>
        </row>
        <row r="316">
          <cell r="F316" t="str">
            <v xml:space="preserve">Main Fire Pump Centrifugal End Suction dan Aksesoris </v>
          </cell>
          <cell r="G316" t="str">
            <v xml:space="preserve">Unit </v>
          </cell>
          <cell r="H316">
            <v>14000000</v>
          </cell>
        </row>
        <row r="317">
          <cell r="F317" t="str">
            <v>Diesel Fire Pump Centrifugal End Suction dan Aksesoris</v>
          </cell>
          <cell r="G317" t="str">
            <v xml:space="preserve">unit </v>
          </cell>
          <cell r="H317">
            <v>12000000</v>
          </cell>
        </row>
        <row r="318">
          <cell r="F318" t="str">
            <v>Pipa PVC dia. 63 mm</v>
          </cell>
          <cell r="G318" t="str">
            <v>m'</v>
          </cell>
          <cell r="H318">
            <v>14750</v>
          </cell>
        </row>
        <row r="319">
          <cell r="F319" t="str">
            <v>Pipa PVC, DN. 2-1/2"
(65 mm)</v>
          </cell>
          <cell r="G319" t="str">
            <v>m'</v>
          </cell>
          <cell r="H319">
            <v>15000</v>
          </cell>
        </row>
        <row r="320">
          <cell r="F320" t="str">
            <v>Pipa PVC dia. 90 mm</v>
          </cell>
          <cell r="G320" t="str">
            <v>m'</v>
          </cell>
          <cell r="H320">
            <v>28600</v>
          </cell>
        </row>
        <row r="321">
          <cell r="F321" t="str">
            <v>Pipa PVC, DN. 3" (80
mm)</v>
          </cell>
          <cell r="G321" t="str">
            <v>m'</v>
          </cell>
          <cell r="H321">
            <v>29000</v>
          </cell>
        </row>
        <row r="322">
          <cell r="F322" t="str">
            <v>Pipa PVC dia. 110 mm</v>
          </cell>
          <cell r="G322" t="str">
            <v>m'</v>
          </cell>
          <cell r="H322">
            <v>39575</v>
          </cell>
        </row>
        <row r="323">
          <cell r="F323" t="str">
            <v>Pipa PVC, DN. 4" (100
mm)</v>
          </cell>
          <cell r="G323" t="str">
            <v>m'</v>
          </cell>
          <cell r="H323">
            <v>40000</v>
          </cell>
        </row>
        <row r="324">
          <cell r="F324" t="str">
            <v>Pipa PVC dia. 150 mm</v>
          </cell>
          <cell r="G324" t="str">
            <v>m'</v>
          </cell>
          <cell r="H324">
            <v>63200</v>
          </cell>
        </row>
        <row r="325">
          <cell r="F325" t="str">
            <v>Pipa PVC, DN. 6" (150
mm)</v>
          </cell>
          <cell r="G325" t="str">
            <v>m'</v>
          </cell>
          <cell r="H325">
            <v>64000</v>
          </cell>
        </row>
        <row r="326">
          <cell r="F326" t="str">
            <v>Pipa PVC dia. 200 mm</v>
          </cell>
          <cell r="G326" t="str">
            <v>m'</v>
          </cell>
          <cell r="H326">
            <v>139575</v>
          </cell>
        </row>
        <row r="327">
          <cell r="F327" t="str">
            <v>Pipa PVC, DN. 8" (200
mm)</v>
          </cell>
          <cell r="G327" t="str">
            <v>m'</v>
          </cell>
          <cell r="H327">
            <v>140000</v>
          </cell>
        </row>
        <row r="328">
          <cell r="F328" t="str">
            <v>Pipa PVC dia. 250 mm</v>
          </cell>
          <cell r="G328" t="str">
            <v>m'</v>
          </cell>
          <cell r="H328">
            <v>287500</v>
          </cell>
        </row>
        <row r="329">
          <cell r="F329" t="str">
            <v>Pipa PVC, DN. 10"
(250 mm)</v>
          </cell>
          <cell r="G329" t="str">
            <v>m'</v>
          </cell>
          <cell r="H329">
            <v>288000</v>
          </cell>
        </row>
        <row r="330">
          <cell r="F330" t="str">
            <v>Sewa Tripot</v>
          </cell>
          <cell r="G330" t="str">
            <v xml:space="preserve">hari </v>
          </cell>
          <cell r="H330">
            <v>108000</v>
          </cell>
        </row>
        <row r="331">
          <cell r="F331" t="str">
            <v>Pipa PVC dia. 300 mm</v>
          </cell>
          <cell r="G331" t="str">
            <v>m'</v>
          </cell>
          <cell r="H331">
            <v>305000</v>
          </cell>
        </row>
        <row r="332">
          <cell r="F332" t="str">
            <v>Pipa PVC, DN. 12"
(300 mm)</v>
          </cell>
          <cell r="G332" t="str">
            <v>m'</v>
          </cell>
          <cell r="H332">
            <v>306000</v>
          </cell>
        </row>
        <row r="333">
          <cell r="F333" t="str">
            <v>Pipa PVC dia. 400 mm</v>
          </cell>
          <cell r="G333" t="str">
            <v>m'</v>
          </cell>
          <cell r="H333">
            <v>336700</v>
          </cell>
        </row>
        <row r="334">
          <cell r="F334" t="str">
            <v>Pipa PVC, DN. 16"
(400 mm)</v>
          </cell>
          <cell r="G334" t="str">
            <v>m'</v>
          </cell>
          <cell r="H334">
            <v>337000</v>
          </cell>
        </row>
        <row r="335">
          <cell r="F335" t="str">
            <v>Pipa PVC dia. 450 mm</v>
          </cell>
          <cell r="G335" t="str">
            <v>m'</v>
          </cell>
          <cell r="H335">
            <v>368000</v>
          </cell>
        </row>
        <row r="336">
          <cell r="F336" t="str">
            <v>Pipa PVC, DN. 18"
(450 mm)</v>
          </cell>
          <cell r="G336" t="str">
            <v>m'</v>
          </cell>
          <cell r="H336">
            <v>369000</v>
          </cell>
        </row>
        <row r="337">
          <cell r="F337" t="str">
            <v>Pipa PVC dia. 500 mm</v>
          </cell>
          <cell r="G337" t="str">
            <v>m'</v>
          </cell>
          <cell r="H337">
            <v>398500</v>
          </cell>
        </row>
        <row r="338">
          <cell r="F338" t="str">
            <v>Pipa PVC, DN. 20"
(500 mm)</v>
          </cell>
          <cell r="G338" t="str">
            <v>m'</v>
          </cell>
          <cell r="H338">
            <v>399000</v>
          </cell>
        </row>
        <row r="339">
          <cell r="F339" t="str">
            <v>Pipa PVC dia. 600 mm</v>
          </cell>
          <cell r="G339" t="str">
            <v>m'</v>
          </cell>
          <cell r="H339">
            <v>425000</v>
          </cell>
        </row>
        <row r="340">
          <cell r="F340" t="str">
            <v>Pipa PVC, DN. 24"
(600 mm)</v>
          </cell>
          <cell r="G340" t="str">
            <v>m'</v>
          </cell>
          <cell r="H340">
            <v>426000</v>
          </cell>
        </row>
        <row r="341">
          <cell r="F341" t="str">
            <v>Pipa PVC dia. 800 mm</v>
          </cell>
          <cell r="G341" t="str">
            <v>m'</v>
          </cell>
          <cell r="H341">
            <v>487000</v>
          </cell>
        </row>
        <row r="342">
          <cell r="F342" t="str">
            <v>Pipa PVC, DN. 32"
(800 mm</v>
          </cell>
          <cell r="G342" t="str">
            <v>m'</v>
          </cell>
          <cell r="H342">
            <v>488000</v>
          </cell>
        </row>
        <row r="343">
          <cell r="F343" t="str">
            <v>Pipa PVC dia. 900 mm</v>
          </cell>
          <cell r="G343" t="str">
            <v>m'</v>
          </cell>
          <cell r="H343">
            <v>515000</v>
          </cell>
        </row>
        <row r="344">
          <cell r="F344" t="str">
            <v>Pipa PVC, DN. 36"
(900 mm</v>
          </cell>
          <cell r="G344" t="str">
            <v>m'</v>
          </cell>
          <cell r="H344">
            <v>516000</v>
          </cell>
        </row>
        <row r="345">
          <cell r="F345" t="str">
            <v>Pipa PVC dia. 1000 mm</v>
          </cell>
          <cell r="G345" t="str">
            <v>m'</v>
          </cell>
          <cell r="H345">
            <v>547000</v>
          </cell>
        </row>
        <row r="346">
          <cell r="F346" t="str">
            <v>Pipa PVC, DN. 40"
(1000 mm)</v>
          </cell>
          <cell r="G346" t="str">
            <v>m'</v>
          </cell>
          <cell r="H346">
            <v>548000</v>
          </cell>
        </row>
        <row r="347">
          <cell r="F347" t="str">
            <v>Pipa PVC dia. 1100 mm</v>
          </cell>
          <cell r="G347" t="str">
            <v>m'</v>
          </cell>
          <cell r="H347">
            <v>589000</v>
          </cell>
        </row>
        <row r="348">
          <cell r="F348" t="str">
            <v>Pipa PVC, DN. 44"
(1100 mm)</v>
          </cell>
          <cell r="G348" t="str">
            <v>m'</v>
          </cell>
          <cell r="H348">
            <v>590000</v>
          </cell>
        </row>
        <row r="349">
          <cell r="F349" t="str">
            <v>Pipa PVC dia. 1200 mm</v>
          </cell>
          <cell r="G349" t="str">
            <v>m'</v>
          </cell>
          <cell r="H349">
            <v>617000</v>
          </cell>
        </row>
        <row r="350">
          <cell r="F350" t="str">
            <v>Pipa PVC, DN. 48"
(1200 mm)</v>
          </cell>
          <cell r="G350" t="str">
            <v>m'</v>
          </cell>
          <cell r="H350">
            <v>618000</v>
          </cell>
        </row>
        <row r="351">
          <cell r="F351" t="str">
            <v>Pipa PVC dia. 15 mm</v>
          </cell>
          <cell r="G351" t="str">
            <v>m'</v>
          </cell>
          <cell r="H351">
            <v>5200</v>
          </cell>
        </row>
        <row r="352">
          <cell r="F352" t="str">
            <v>Pipa PVC, DN. 1/2"
(15 mm)</v>
          </cell>
          <cell r="G352" t="str">
            <v>m'</v>
          </cell>
          <cell r="H352">
            <v>5300</v>
          </cell>
        </row>
        <row r="353">
          <cell r="F353" t="str">
            <v>Pipa PVC dia. 20 mm</v>
          </cell>
          <cell r="G353" t="str">
            <v>m'</v>
          </cell>
          <cell r="H353">
            <v>7500</v>
          </cell>
        </row>
        <row r="354">
          <cell r="F354" t="str">
            <v>Pipa PVC, DN. 3/4"
(20 mm)</v>
          </cell>
          <cell r="G354" t="str">
            <v>m'</v>
          </cell>
          <cell r="H354">
            <v>7600</v>
          </cell>
        </row>
        <row r="355">
          <cell r="F355" t="str">
            <v>Pipa PVC dia. 25 mm</v>
          </cell>
          <cell r="G355" t="str">
            <v>m'</v>
          </cell>
          <cell r="H355">
            <v>8300</v>
          </cell>
        </row>
        <row r="356">
          <cell r="F356" t="str">
            <v>Pipa PVC, DN. 1" (25 mm)</v>
          </cell>
          <cell r="G356" t="str">
            <v>m'</v>
          </cell>
          <cell r="H356">
            <v>8400</v>
          </cell>
        </row>
        <row r="357">
          <cell r="F357" t="str">
            <v>Pipa PVC dia. 32 mm</v>
          </cell>
          <cell r="G357" t="str">
            <v>m'</v>
          </cell>
          <cell r="H357">
            <v>9700</v>
          </cell>
        </row>
        <row r="358">
          <cell r="F358" t="str">
            <v>Pipa PVC, DN. 1-1/4"
(32 mm</v>
          </cell>
          <cell r="G358" t="str">
            <v>m'</v>
          </cell>
          <cell r="H358">
            <v>10000</v>
          </cell>
        </row>
        <row r="359">
          <cell r="F359" t="str">
            <v>Pipa PVC dia. 40 mm</v>
          </cell>
          <cell r="G359" t="str">
            <v>m'</v>
          </cell>
          <cell r="H359">
            <v>10500</v>
          </cell>
        </row>
        <row r="360">
          <cell r="F360" t="str">
            <v>Pipa PVC, DN. 1-1/2"
(40 mm)</v>
          </cell>
          <cell r="G360" t="str">
            <v>m'</v>
          </cell>
          <cell r="H360">
            <v>10600</v>
          </cell>
        </row>
        <row r="361">
          <cell r="F361" t="str">
            <v>Pipa PVC dia. 50 mm</v>
          </cell>
          <cell r="G361" t="str">
            <v>m'</v>
          </cell>
          <cell r="H361">
            <v>13700</v>
          </cell>
        </row>
        <row r="362">
          <cell r="F362" t="str">
            <v>Pipa PVC, DN. 2" (50 mm)</v>
          </cell>
          <cell r="G362" t="str">
            <v>m'</v>
          </cell>
          <cell r="H362">
            <v>13800</v>
          </cell>
        </row>
        <row r="363">
          <cell r="F363" t="str">
            <v>Gergaji Pipa</v>
          </cell>
          <cell r="G363" t="str">
            <v xml:space="preserve">hari </v>
          </cell>
          <cell r="H363">
            <v>32500</v>
          </cell>
        </row>
        <row r="364">
          <cell r="F364" t="str">
            <v>Peralatan potong pipa
T1/manual (gergaji) /
saw</v>
          </cell>
          <cell r="G364" t="str">
            <v xml:space="preserve">hari </v>
          </cell>
          <cell r="H364">
            <v>35000</v>
          </cell>
        </row>
        <row r="365">
          <cell r="F365" t="str">
            <v>Pipa Galvanis dia. 63 mm</v>
          </cell>
          <cell r="G365" t="str">
            <v>m'</v>
          </cell>
          <cell r="H365">
            <v>183333.33333333334</v>
          </cell>
        </row>
        <row r="366">
          <cell r="F366" t="str">
            <v>Pipa Galvanis, DN. 2-
1/2" (65 mm)</v>
          </cell>
          <cell r="G366" t="str">
            <v>m'</v>
          </cell>
          <cell r="H366">
            <v>185000</v>
          </cell>
        </row>
        <row r="367">
          <cell r="F367" t="str">
            <v>Pipa Galvanis dia. 100 mm</v>
          </cell>
          <cell r="G367" t="str">
            <v>m'</v>
          </cell>
          <cell r="H367">
            <v>309000</v>
          </cell>
        </row>
        <row r="368">
          <cell r="F368" t="str">
            <v>Pipa Galvanis, DN. 4"
(100 mm)</v>
          </cell>
          <cell r="G368" t="str">
            <v>m'</v>
          </cell>
          <cell r="H368">
            <v>310000</v>
          </cell>
        </row>
        <row r="369">
          <cell r="F369" t="str">
            <v>Pipa Galvanis dia. 125 mm</v>
          </cell>
          <cell r="G369" t="str">
            <v>m'</v>
          </cell>
          <cell r="H369">
            <v>435000</v>
          </cell>
        </row>
        <row r="370">
          <cell r="F370" t="str">
            <v>Pipa Galvanis, DN. 5"
(125 mm)</v>
          </cell>
          <cell r="G370" t="str">
            <v>m'</v>
          </cell>
          <cell r="H370">
            <v>436000</v>
          </cell>
        </row>
        <row r="371">
          <cell r="F371" t="str">
            <v>Pipa Galvanis dia. 150 mm</v>
          </cell>
          <cell r="G371" t="str">
            <v>m'</v>
          </cell>
          <cell r="H371">
            <v>395000</v>
          </cell>
        </row>
        <row r="372">
          <cell r="F372" t="str">
            <v>Pipa Galvanis, DN. 6"
(150 mm)</v>
          </cell>
          <cell r="G372" t="str">
            <v>m'</v>
          </cell>
          <cell r="H372">
            <v>396000</v>
          </cell>
        </row>
        <row r="373">
          <cell r="F373" t="str">
            <v>Pipa Galvanis dia. 200 mm</v>
          </cell>
          <cell r="G373" t="str">
            <v>m'</v>
          </cell>
          <cell r="H373">
            <v>417000</v>
          </cell>
        </row>
        <row r="374">
          <cell r="F374" t="str">
            <v>Pipa Galvanis, DN. 8"
(200 mm)</v>
          </cell>
          <cell r="G374" t="str">
            <v>m'</v>
          </cell>
          <cell r="H374">
            <v>418000</v>
          </cell>
        </row>
        <row r="375">
          <cell r="F375" t="str">
            <v>Pipa Galvanis dia. 250 mm</v>
          </cell>
          <cell r="G375" t="str">
            <v>m'</v>
          </cell>
          <cell r="H375">
            <v>467000</v>
          </cell>
        </row>
        <row r="376">
          <cell r="F376" t="str">
            <v>Pipa Galvanis,
DN.10" (250 mm)</v>
          </cell>
          <cell r="G376" t="str">
            <v>m'</v>
          </cell>
          <cell r="H376">
            <v>468000</v>
          </cell>
        </row>
        <row r="377">
          <cell r="F377" t="str">
            <v>Pipa Galvanis dia. 300 mm</v>
          </cell>
          <cell r="G377" t="str">
            <v>m'</v>
          </cell>
          <cell r="H377">
            <v>512000</v>
          </cell>
        </row>
        <row r="378">
          <cell r="F378" t="str">
            <v>Pipa Galvanis, DN. 12"
(300 mm</v>
          </cell>
          <cell r="G378" t="str">
            <v>m'</v>
          </cell>
          <cell r="H378">
            <v>513000</v>
          </cell>
        </row>
        <row r="379">
          <cell r="F379" t="str">
            <v>Pipa Galvanis dia. 400 mm</v>
          </cell>
          <cell r="G379" t="str">
            <v>m'</v>
          </cell>
          <cell r="H379">
            <v>593000</v>
          </cell>
        </row>
        <row r="380">
          <cell r="F380" t="str">
            <v>Pipa Galvanis, DN. 16"
(400 mm)</v>
          </cell>
          <cell r="G380" t="str">
            <v>m'</v>
          </cell>
          <cell r="H380">
            <v>594000</v>
          </cell>
        </row>
        <row r="381">
          <cell r="F381" t="str">
            <v>Pipa Galvanis dia. 450 mm</v>
          </cell>
          <cell r="G381" t="str">
            <v>m'</v>
          </cell>
          <cell r="H381">
            <v>612000</v>
          </cell>
        </row>
        <row r="382">
          <cell r="F382" t="str">
            <v>Pipa Galvanis, DN. 18"
(450 mm</v>
          </cell>
          <cell r="G382" t="str">
            <v>m'</v>
          </cell>
          <cell r="H382">
            <v>61300</v>
          </cell>
        </row>
        <row r="383">
          <cell r="F383" t="str">
            <v>Pipa Galvanis dia. 500 mm</v>
          </cell>
          <cell r="G383" t="str">
            <v>m'</v>
          </cell>
          <cell r="H383">
            <v>655000</v>
          </cell>
        </row>
        <row r="384">
          <cell r="F384" t="str">
            <v>Pipa Galvanis, DN. 20"
(500 mm)</v>
          </cell>
          <cell r="G384" t="str">
            <v>m'</v>
          </cell>
          <cell r="H384">
            <v>656000</v>
          </cell>
        </row>
        <row r="385">
          <cell r="F385" t="str">
            <v>Pipa Galvanis dia. 600 mm</v>
          </cell>
          <cell r="G385" t="str">
            <v>m'</v>
          </cell>
          <cell r="H385">
            <v>697000</v>
          </cell>
        </row>
        <row r="386">
          <cell r="F386" t="str">
            <v>Pipa Galvanis, DN. 24" (600 mm)</v>
          </cell>
          <cell r="G386" t="str">
            <v>m'</v>
          </cell>
          <cell r="H386">
            <v>698000</v>
          </cell>
        </row>
        <row r="387">
          <cell r="F387" t="str">
            <v>Pipa Galvanis dia. 800 mm</v>
          </cell>
          <cell r="G387" t="str">
            <v>m'</v>
          </cell>
          <cell r="H387">
            <v>715000</v>
          </cell>
        </row>
        <row r="388">
          <cell r="F388" t="str">
            <v>Pipa Galvanis, DN. 32" (800 mm)</v>
          </cell>
          <cell r="G388" t="str">
            <v>m'</v>
          </cell>
          <cell r="H388">
            <v>716000</v>
          </cell>
        </row>
        <row r="389">
          <cell r="F389" t="str">
            <v>Pipa Galvanis dia. 900 mm</v>
          </cell>
          <cell r="G389" t="str">
            <v>m'</v>
          </cell>
          <cell r="H389">
            <v>756000</v>
          </cell>
        </row>
        <row r="390">
          <cell r="F390" t="str">
            <v>Pipa Galvanis, DN. 36" (900 mm)</v>
          </cell>
          <cell r="G390" t="str">
            <v>m'</v>
          </cell>
          <cell r="H390">
            <v>757000</v>
          </cell>
        </row>
        <row r="391">
          <cell r="F391" t="str">
            <v>Pipa Galvanis dia. 1000 mm</v>
          </cell>
          <cell r="G391" t="str">
            <v>m'</v>
          </cell>
          <cell r="H391">
            <v>799000</v>
          </cell>
        </row>
        <row r="392">
          <cell r="F392" t="str">
            <v>Pipa Galvanis,
DN. 40" (1000 mm)</v>
          </cell>
          <cell r="G392" t="str">
            <v>m'</v>
          </cell>
          <cell r="H392">
            <v>780000</v>
          </cell>
        </row>
        <row r="393">
          <cell r="F393" t="str">
            <v>Pipa Galvanis dia. 1100 mm</v>
          </cell>
          <cell r="G393" t="str">
            <v>m'</v>
          </cell>
          <cell r="H393">
            <v>830000</v>
          </cell>
        </row>
        <row r="394">
          <cell r="F394" t="str">
            <v>Pipa Galvanis,
DN. 44" (1100 mm)</v>
          </cell>
          <cell r="G394" t="str">
            <v>m'</v>
          </cell>
          <cell r="H394">
            <v>831000</v>
          </cell>
        </row>
        <row r="395">
          <cell r="F395" t="str">
            <v>Pipa Galvanis dia. 1200 mm</v>
          </cell>
          <cell r="G395" t="str">
            <v>m'</v>
          </cell>
          <cell r="H395">
            <v>867000</v>
          </cell>
        </row>
        <row r="396">
          <cell r="F396" t="str">
            <v>Pipa Galvanis,
DN. 48" (1200 mm</v>
          </cell>
          <cell r="G396" t="str">
            <v>m'</v>
          </cell>
          <cell r="H396">
            <v>868000</v>
          </cell>
        </row>
        <row r="397">
          <cell r="F397" t="str">
            <v>Pipa Galvanis dia. 15 mm</v>
          </cell>
          <cell r="G397" t="str">
            <v>m'</v>
          </cell>
          <cell r="H397">
            <v>51000</v>
          </cell>
        </row>
        <row r="398">
          <cell r="F398" t="str">
            <v>Pipa Galvanis,
DN. 1/2" (15 mm)</v>
          </cell>
          <cell r="G398" t="str">
            <v>m'</v>
          </cell>
          <cell r="H398">
            <v>52000</v>
          </cell>
        </row>
        <row r="399">
          <cell r="F399" t="str">
            <v>Pipa Galvanis dia. 20 mm</v>
          </cell>
          <cell r="G399" t="str">
            <v>m'</v>
          </cell>
          <cell r="H399">
            <v>67000</v>
          </cell>
        </row>
        <row r="400">
          <cell r="F400" t="str">
            <v>Pipa Galvanis,
DN. 3/4" (20 mm)</v>
          </cell>
          <cell r="G400" t="str">
            <v>m'</v>
          </cell>
          <cell r="H400">
            <v>68000</v>
          </cell>
        </row>
        <row r="401">
          <cell r="F401" t="str">
            <v>Pipa Galvanis dia. 25 mm</v>
          </cell>
          <cell r="G401" t="str">
            <v>m'</v>
          </cell>
          <cell r="H401">
            <v>71000</v>
          </cell>
        </row>
        <row r="402">
          <cell r="F402" t="str">
            <v>Pipa Galvanis, DN. 1"
(25 mm)</v>
          </cell>
          <cell r="G402" t="str">
            <v>m'</v>
          </cell>
          <cell r="H402">
            <v>72000</v>
          </cell>
        </row>
        <row r="403">
          <cell r="F403" t="str">
            <v>Pipa Galvanis dia. 32 mm</v>
          </cell>
          <cell r="G403" t="str">
            <v>m'</v>
          </cell>
          <cell r="H403">
            <v>79000</v>
          </cell>
        </row>
        <row r="404">
          <cell r="F404" t="str">
            <v>Pipa Galvanis,
DN. 1-1/4" (32 mm)</v>
          </cell>
          <cell r="G404" t="str">
            <v>m'</v>
          </cell>
          <cell r="H404">
            <v>80000</v>
          </cell>
        </row>
        <row r="405">
          <cell r="F405" t="str">
            <v>Pipa Galvanis dia. 40 mm</v>
          </cell>
          <cell r="G405" t="str">
            <v>m'</v>
          </cell>
          <cell r="H405">
            <v>86000</v>
          </cell>
        </row>
        <row r="406">
          <cell r="F406" t="str">
            <v>Pipa Galvanis,
DN. 1-1/2" (40 mm)</v>
          </cell>
          <cell r="G406" t="str">
            <v>m'</v>
          </cell>
          <cell r="H406">
            <v>87000</v>
          </cell>
        </row>
        <row r="407">
          <cell r="F407" t="str">
            <v>Pipa Galvanis dia. 50 mm</v>
          </cell>
          <cell r="G407" t="str">
            <v>m'</v>
          </cell>
          <cell r="H407">
            <v>94000</v>
          </cell>
        </row>
        <row r="408">
          <cell r="F408" t="str">
            <v>Pipa Galvanis, DN. 2"
(50 mm</v>
          </cell>
          <cell r="G408" t="str">
            <v>m'</v>
          </cell>
          <cell r="H408">
            <v>95000</v>
          </cell>
        </row>
        <row r="409">
          <cell r="F409" t="str">
            <v>Cilinder Saw</v>
          </cell>
          <cell r="G409" t="str">
            <v xml:space="preserve">hari </v>
          </cell>
          <cell r="H409">
            <v>75000</v>
          </cell>
        </row>
        <row r="410">
          <cell r="F410" t="str">
            <v>Peralatan potong pipa
T2/mekanik / cilinder saw</v>
          </cell>
          <cell r="G410" t="str">
            <v xml:space="preserve">hari </v>
          </cell>
          <cell r="H410">
            <v>75000</v>
          </cell>
        </row>
        <row r="411">
          <cell r="F411" t="str">
            <v>Pipa HDPE dia. 63 mm</v>
          </cell>
          <cell r="G411" t="str">
            <v>m'</v>
          </cell>
          <cell r="H411">
            <v>24700</v>
          </cell>
        </row>
        <row r="412">
          <cell r="F412" t="str">
            <v>Pipa HDPE, DN. 2-1/2"
(65 mm)</v>
          </cell>
          <cell r="G412" t="str">
            <v>m'</v>
          </cell>
          <cell r="H412">
            <v>25000</v>
          </cell>
        </row>
        <row r="413">
          <cell r="F413" t="str">
            <v>Pipa HDPE dia. 100 mm</v>
          </cell>
          <cell r="G413" t="str">
            <v>m'</v>
          </cell>
          <cell r="H413">
            <v>49000</v>
          </cell>
        </row>
        <row r="414">
          <cell r="F414" t="str">
            <v>Pipa HDPE, DN. 4"
(100 mm)</v>
          </cell>
          <cell r="G414" t="str">
            <v>m'</v>
          </cell>
          <cell r="H414">
            <v>50000</v>
          </cell>
        </row>
        <row r="415">
          <cell r="F415" t="str">
            <v>Pipa HDPE dia. 125 mm</v>
          </cell>
          <cell r="G415" t="str">
            <v>m'</v>
          </cell>
          <cell r="H415">
            <v>57000</v>
          </cell>
        </row>
        <row r="416">
          <cell r="F416" t="str">
            <v>Pipa HDPE, DN. 5"
(125 mm)</v>
          </cell>
          <cell r="G416" t="str">
            <v>m'</v>
          </cell>
          <cell r="H416">
            <v>58000</v>
          </cell>
        </row>
        <row r="417">
          <cell r="F417" t="str">
            <v>Pipa HDPE dia. 150 mm</v>
          </cell>
          <cell r="G417" t="str">
            <v>m'</v>
          </cell>
          <cell r="H417">
            <v>63000</v>
          </cell>
        </row>
        <row r="418">
          <cell r="F418" t="str">
            <v>Pipa HDPE, DN. 6"
(150 mm</v>
          </cell>
          <cell r="G418" t="str">
            <v>m'</v>
          </cell>
          <cell r="H418">
            <v>64000</v>
          </cell>
        </row>
        <row r="419">
          <cell r="F419" t="str">
            <v>Pipa HDPE dia. 200 mm</v>
          </cell>
          <cell r="G419" t="str">
            <v>m'</v>
          </cell>
          <cell r="H419">
            <v>74000</v>
          </cell>
        </row>
        <row r="420">
          <cell r="F420" t="str">
            <v>Pipa HDPE, DN. 8"
(200 mm)</v>
          </cell>
          <cell r="G420" t="str">
            <v>m'</v>
          </cell>
          <cell r="H420">
            <v>75000</v>
          </cell>
        </row>
        <row r="421">
          <cell r="F421" t="str">
            <v>Pipa HDPE dia. 250 mm</v>
          </cell>
          <cell r="G421" t="str">
            <v>m'</v>
          </cell>
          <cell r="H421">
            <v>81000</v>
          </cell>
        </row>
        <row r="422">
          <cell r="F422" t="str">
            <v>Pipa HDPE, DN.10"
(250 mm)</v>
          </cell>
          <cell r="G422" t="str">
            <v>m'</v>
          </cell>
          <cell r="H422">
            <v>82000</v>
          </cell>
        </row>
        <row r="423">
          <cell r="F423" t="str">
            <v>Pipa HDPE dia. 300 mm</v>
          </cell>
          <cell r="G423" t="str">
            <v>m'</v>
          </cell>
          <cell r="H423">
            <v>93000</v>
          </cell>
        </row>
        <row r="424">
          <cell r="F424" t="str">
            <v>Pipa HDPE, DN. 12"
(300 mm</v>
          </cell>
          <cell r="G424" t="str">
            <v>m'</v>
          </cell>
          <cell r="H424">
            <v>94000</v>
          </cell>
        </row>
        <row r="425">
          <cell r="F425" t="str">
            <v>Pipa HDPE dia. 400 mm</v>
          </cell>
          <cell r="G425" t="str">
            <v>m'</v>
          </cell>
          <cell r="H425">
            <v>101000</v>
          </cell>
        </row>
        <row r="426">
          <cell r="F426" t="str">
            <v>Pipa HDPE, DN. 16"
(400 mm)</v>
          </cell>
          <cell r="G426" t="str">
            <v>m'</v>
          </cell>
          <cell r="H426">
            <v>102000</v>
          </cell>
        </row>
        <row r="427">
          <cell r="F427" t="str">
            <v>Pipa HDPE dia. 450 mm</v>
          </cell>
          <cell r="G427" t="str">
            <v>m'</v>
          </cell>
          <cell r="H427">
            <v>123000</v>
          </cell>
        </row>
        <row r="428">
          <cell r="F428" t="str">
            <v>Pipa HDPE, DN. 18"
(450 mm)</v>
          </cell>
          <cell r="G428" t="str">
            <v>m'</v>
          </cell>
          <cell r="H428">
            <v>124000</v>
          </cell>
        </row>
        <row r="429">
          <cell r="F429" t="str">
            <v>Pipa HDPE dia. 500 mm</v>
          </cell>
          <cell r="G429" t="str">
            <v>m'</v>
          </cell>
          <cell r="H429">
            <v>142000</v>
          </cell>
        </row>
        <row r="430">
          <cell r="F430" t="str">
            <v>Pipa HDPE, DN. 20"
(500 mm)</v>
          </cell>
          <cell r="G430" t="str">
            <v>m'</v>
          </cell>
          <cell r="H430">
            <v>143000</v>
          </cell>
        </row>
        <row r="431">
          <cell r="F431" t="str">
            <v>Pipa HDPE dia. 600 mm</v>
          </cell>
          <cell r="G431" t="str">
            <v>m'</v>
          </cell>
          <cell r="H431">
            <v>156000</v>
          </cell>
        </row>
        <row r="432">
          <cell r="F432" t="str">
            <v>Pipa HDPE, DN. 24"
(600 mm</v>
          </cell>
          <cell r="G432" t="str">
            <v>m'</v>
          </cell>
          <cell r="H432">
            <v>157000</v>
          </cell>
        </row>
        <row r="433">
          <cell r="F433" t="str">
            <v>Pipa HDPE dia. 800 mm</v>
          </cell>
          <cell r="G433" t="str">
            <v>m'</v>
          </cell>
          <cell r="H433">
            <v>164000</v>
          </cell>
        </row>
        <row r="434">
          <cell r="F434" t="str">
            <v>Pipa HDPE, DN. 32"
(800 mm)</v>
          </cell>
          <cell r="G434" t="str">
            <v>m'</v>
          </cell>
          <cell r="H434">
            <v>165000</v>
          </cell>
        </row>
        <row r="435">
          <cell r="F435" t="str">
            <v>Pipa HDPE dia. 900 mm</v>
          </cell>
          <cell r="G435" t="str">
            <v>m'</v>
          </cell>
          <cell r="H435">
            <v>172000</v>
          </cell>
        </row>
        <row r="436">
          <cell r="F436" t="str">
            <v>Pipa HDPE, DN. 36"
(900 mm)</v>
          </cell>
          <cell r="G436" t="str">
            <v>m'</v>
          </cell>
          <cell r="H436">
            <v>173000</v>
          </cell>
        </row>
        <row r="437">
          <cell r="F437" t="str">
            <v>Pipa HDPE dia. 1000 mm</v>
          </cell>
          <cell r="G437" t="str">
            <v>m'</v>
          </cell>
          <cell r="H437">
            <v>186000</v>
          </cell>
        </row>
        <row r="438">
          <cell r="F438" t="str">
            <v>Pipa HDPE, DN. 40"
(1000 mm)</v>
          </cell>
          <cell r="G438" t="str">
            <v>m'</v>
          </cell>
          <cell r="H438">
            <v>187000</v>
          </cell>
        </row>
        <row r="439">
          <cell r="F439" t="str">
            <v>Pipa HDPE dia. 1100 mm</v>
          </cell>
          <cell r="G439" t="str">
            <v>m'</v>
          </cell>
          <cell r="H439">
            <v>197000</v>
          </cell>
        </row>
        <row r="440">
          <cell r="F440" t="str">
            <v>Pipa HDPE, DN. 44"
(1100 mm)</v>
          </cell>
          <cell r="G440" t="str">
            <v>m'</v>
          </cell>
          <cell r="H440">
            <v>198000</v>
          </cell>
        </row>
        <row r="441">
          <cell r="F441" t="str">
            <v>Pipa HDPE dia. 1200 mm</v>
          </cell>
          <cell r="G441" t="str">
            <v>m'</v>
          </cell>
          <cell r="H441">
            <v>215000</v>
          </cell>
        </row>
        <row r="442">
          <cell r="F442" t="str">
            <v>Pipa HDPE, DN. 48"
(1200 mm)</v>
          </cell>
          <cell r="G442" t="str">
            <v>m'</v>
          </cell>
          <cell r="H442">
            <v>216000</v>
          </cell>
        </row>
        <row r="443">
          <cell r="F443" t="str">
            <v>Pipa HDPE dia. 15 mm</v>
          </cell>
          <cell r="G443" t="str">
            <v>m'</v>
          </cell>
          <cell r="H443">
            <v>12500</v>
          </cell>
        </row>
        <row r="444">
          <cell r="F444" t="str">
            <v>Pipa HDPE, DN. 1/2"
(15 mm)</v>
          </cell>
          <cell r="G444" t="str">
            <v>m'</v>
          </cell>
          <cell r="H444">
            <v>13000</v>
          </cell>
        </row>
        <row r="445">
          <cell r="F445" t="str">
            <v>Pipa HDPE dia. 20 mm</v>
          </cell>
          <cell r="G445" t="str">
            <v>m'</v>
          </cell>
          <cell r="H445">
            <v>17900</v>
          </cell>
        </row>
        <row r="446">
          <cell r="F446" t="str">
            <v>Pipa HDPE, DN. 3/4"
(20 mm)</v>
          </cell>
          <cell r="G446" t="str">
            <v>m'</v>
          </cell>
          <cell r="H446">
            <v>18000</v>
          </cell>
        </row>
        <row r="447">
          <cell r="F447" t="str">
            <v>Pipa HDPE dia. 25 mm</v>
          </cell>
          <cell r="G447" t="str">
            <v>m'</v>
          </cell>
          <cell r="H447">
            <v>20700</v>
          </cell>
        </row>
        <row r="448">
          <cell r="F448" t="str">
            <v>Pipa HDPE, DN. 1"
(25 mm)</v>
          </cell>
          <cell r="G448" t="str">
            <v>m'</v>
          </cell>
          <cell r="H448">
            <v>21000</v>
          </cell>
        </row>
        <row r="449">
          <cell r="F449" t="str">
            <v>Pipa HDPE dia. 32 mm</v>
          </cell>
          <cell r="G449" t="str">
            <v>m'</v>
          </cell>
          <cell r="H449">
            <v>21300</v>
          </cell>
        </row>
        <row r="450">
          <cell r="F450" t="str">
            <v>Pipa HDPE,
DN. 1-1/4" (32 mm)</v>
          </cell>
          <cell r="G450" t="str">
            <v>m'</v>
          </cell>
          <cell r="H450">
            <v>22000</v>
          </cell>
        </row>
        <row r="451">
          <cell r="F451" t="str">
            <v>Pipa HDPE dia. 40 mm</v>
          </cell>
          <cell r="G451" t="str">
            <v>m'</v>
          </cell>
          <cell r="H451">
            <v>22500</v>
          </cell>
        </row>
        <row r="452">
          <cell r="F452" t="str">
            <v>Pipa HDPE,
DN. 1-1/2" (40 mm)</v>
          </cell>
          <cell r="G452" t="str">
            <v>m'</v>
          </cell>
          <cell r="H452">
            <v>23000</v>
          </cell>
        </row>
        <row r="453">
          <cell r="F453" t="str">
            <v>Pipa HDPE dia. 50 mm</v>
          </cell>
          <cell r="G453" t="str">
            <v>m'</v>
          </cell>
          <cell r="H453">
            <v>23100</v>
          </cell>
        </row>
        <row r="454">
          <cell r="F454" t="str">
            <v>Pipa HDPE, DN. 2"
(50 mm)</v>
          </cell>
          <cell r="G454" t="str">
            <v>m'</v>
          </cell>
          <cell r="H454">
            <v>24000</v>
          </cell>
        </row>
        <row r="455">
          <cell r="F455" t="str">
            <v>Pipa Baja dia. 63 mm</v>
          </cell>
          <cell r="G455" t="str">
            <v>m'</v>
          </cell>
          <cell r="H455">
            <v>520000</v>
          </cell>
        </row>
        <row r="456">
          <cell r="F456" t="str">
            <v>Pipa Baja Karbon, DN.
2-1/2" (65 mm)</v>
          </cell>
          <cell r="G456" t="str">
            <v>m'</v>
          </cell>
          <cell r="H456">
            <v>525000</v>
          </cell>
        </row>
        <row r="457">
          <cell r="F457" t="str">
            <v>Pipa Baja dia. 100 mm</v>
          </cell>
          <cell r="G457" t="str">
            <v>m'</v>
          </cell>
          <cell r="H457">
            <v>645000</v>
          </cell>
        </row>
        <row r="458">
          <cell r="F458" t="str">
            <v>Pipa Baja Karbon, DN.
4" (100 mm)</v>
          </cell>
          <cell r="G458" t="str">
            <v>m'</v>
          </cell>
          <cell r="H458">
            <v>650000</v>
          </cell>
        </row>
        <row r="459">
          <cell r="F459" t="str">
            <v>Pipa Baja dia. 125 mm</v>
          </cell>
          <cell r="G459" t="str">
            <v>m'</v>
          </cell>
          <cell r="H459">
            <v>766000</v>
          </cell>
        </row>
        <row r="460">
          <cell r="F460" t="str">
            <v>Pipa Baja Karbon, DN.
5" (125 mm)</v>
          </cell>
          <cell r="G460" t="str">
            <v>m'</v>
          </cell>
          <cell r="H460">
            <v>770000</v>
          </cell>
        </row>
        <row r="461">
          <cell r="F461" t="str">
            <v>Pipa Baja dia. 150 mm</v>
          </cell>
          <cell r="G461" t="str">
            <v>m'</v>
          </cell>
          <cell r="H461">
            <v>810000</v>
          </cell>
        </row>
        <row r="462">
          <cell r="F462" t="str">
            <v>Pipa Baja Karbon, DN.
6" (150 mm)</v>
          </cell>
          <cell r="G462" t="str">
            <v>m'</v>
          </cell>
          <cell r="H462">
            <v>815000</v>
          </cell>
        </row>
        <row r="463">
          <cell r="F463" t="str">
            <v>Pipa Baja dia. 200 mm</v>
          </cell>
          <cell r="G463" t="str">
            <v>m'</v>
          </cell>
          <cell r="H463">
            <v>890000</v>
          </cell>
        </row>
        <row r="464">
          <cell r="F464" t="str">
            <v>Pipa Baja Karbon, DN.
8" (200 mm)</v>
          </cell>
          <cell r="G464" t="str">
            <v>m'</v>
          </cell>
          <cell r="H464">
            <v>895000</v>
          </cell>
        </row>
        <row r="465">
          <cell r="F465" t="str">
            <v>Pipa Baja dia. 250 mm</v>
          </cell>
          <cell r="G465" t="str">
            <v>m'</v>
          </cell>
          <cell r="H465">
            <v>940000</v>
          </cell>
        </row>
        <row r="466">
          <cell r="F466" t="str">
            <v>Pipa Baja Karbon, DN.
10" (250 mm)</v>
          </cell>
          <cell r="G466" t="str">
            <v>m'</v>
          </cell>
          <cell r="H466">
            <v>945000</v>
          </cell>
        </row>
        <row r="467">
          <cell r="F467" t="str">
            <v>Pipa Baja dia. 300 mm</v>
          </cell>
          <cell r="G467" t="str">
            <v>m'</v>
          </cell>
          <cell r="H467">
            <v>1050000</v>
          </cell>
        </row>
        <row r="468">
          <cell r="F468" t="str">
            <v>Pipa Baja Karbon, DN.
12" (300 mm)</v>
          </cell>
          <cell r="G468" t="str">
            <v>m'</v>
          </cell>
          <cell r="H468">
            <v>1055000</v>
          </cell>
        </row>
        <row r="469">
          <cell r="F469" t="str">
            <v>Pipa Baja dia. 400 mm</v>
          </cell>
          <cell r="G469" t="str">
            <v>m'</v>
          </cell>
          <cell r="H469">
            <v>2300000</v>
          </cell>
        </row>
        <row r="470">
          <cell r="F470" t="str">
            <v>Pipa Baja Karbon, DN. 16"
(400 mm)</v>
          </cell>
          <cell r="G470" t="str">
            <v>m'</v>
          </cell>
          <cell r="H470">
            <v>2305000</v>
          </cell>
        </row>
        <row r="471">
          <cell r="F471" t="str">
            <v>Pipa Baja dia. 450 mm</v>
          </cell>
          <cell r="G471" t="str">
            <v>m'</v>
          </cell>
          <cell r="H471">
            <v>2450000</v>
          </cell>
        </row>
        <row r="472">
          <cell r="F472" t="str">
            <v>Pipa Baja Karbon, DN. 18"
(450 mm</v>
          </cell>
          <cell r="G472" t="str">
            <v>m'</v>
          </cell>
          <cell r="H472">
            <v>2455000</v>
          </cell>
        </row>
        <row r="473">
          <cell r="F473" t="str">
            <v>Pipa Baja dia. 500 mm</v>
          </cell>
          <cell r="G473" t="str">
            <v>m'</v>
          </cell>
          <cell r="H473">
            <v>2560000</v>
          </cell>
        </row>
        <row r="474">
          <cell r="F474" t="str">
            <v>Pipa Baja Karbon, DN.
20" (500 mm)</v>
          </cell>
          <cell r="G474" t="str">
            <v>m'</v>
          </cell>
          <cell r="H474">
            <v>2565000</v>
          </cell>
        </row>
        <row r="475">
          <cell r="F475" t="str">
            <v>Pipa Baja dia. 600 mm</v>
          </cell>
          <cell r="G475" t="str">
            <v>m'</v>
          </cell>
          <cell r="H475">
            <v>2650000</v>
          </cell>
        </row>
        <row r="476">
          <cell r="F476" t="str">
            <v>Pipa Baja Karbon, DN. 24"
(600 mm)</v>
          </cell>
          <cell r="G476" t="str">
            <v>m'</v>
          </cell>
          <cell r="H476">
            <v>2655000</v>
          </cell>
        </row>
        <row r="477">
          <cell r="F477" t="str">
            <v>Pipa Baja dia. 800 mm</v>
          </cell>
          <cell r="G477" t="str">
            <v>m'</v>
          </cell>
          <cell r="H477">
            <v>2790000</v>
          </cell>
        </row>
        <row r="478">
          <cell r="F478" t="str">
            <v>Pipa Baja Karbon, DN. 32"
(800 mm)</v>
          </cell>
          <cell r="G478" t="str">
            <v>m'</v>
          </cell>
          <cell r="H478">
            <v>2795000</v>
          </cell>
        </row>
        <row r="479">
          <cell r="F479" t="str">
            <v>Pipa Baja dia. 900 mm</v>
          </cell>
          <cell r="G479" t="str">
            <v>m'</v>
          </cell>
          <cell r="H479">
            <v>2950000</v>
          </cell>
        </row>
        <row r="480">
          <cell r="F480" t="str">
            <v>Pipa Baja Karbon, DN. 36"
(900 mm)</v>
          </cell>
          <cell r="G480" t="str">
            <v>m'</v>
          </cell>
          <cell r="H480">
            <v>2955000</v>
          </cell>
        </row>
        <row r="481">
          <cell r="F481" t="str">
            <v>Pipa Baja dia. 1000 mm</v>
          </cell>
          <cell r="G481" t="str">
            <v>m'</v>
          </cell>
          <cell r="H481">
            <v>3110000</v>
          </cell>
        </row>
        <row r="482">
          <cell r="F482" t="str">
            <v>Pipa Baja Karbon, DN. 40"
(1000 mm)</v>
          </cell>
          <cell r="G482" t="str">
            <v>m'</v>
          </cell>
          <cell r="H482">
            <v>3115000</v>
          </cell>
        </row>
        <row r="483">
          <cell r="F483" t="str">
            <v>Pipa Baja dia. 1100 mm</v>
          </cell>
          <cell r="G483" t="str">
            <v>m'</v>
          </cell>
          <cell r="H483">
            <v>3230000</v>
          </cell>
        </row>
        <row r="484">
          <cell r="F484" t="str">
            <v>Pipa Baja Karbon, DN. 44"
(1100 mm)</v>
          </cell>
          <cell r="G484" t="str">
            <v>m'</v>
          </cell>
          <cell r="H484">
            <v>3235000</v>
          </cell>
        </row>
        <row r="485">
          <cell r="F485" t="str">
            <v>Pipa Baja dia. 1200 mm</v>
          </cell>
          <cell r="G485" t="str">
            <v>m'</v>
          </cell>
          <cell r="H485">
            <v>3350000</v>
          </cell>
        </row>
        <row r="486">
          <cell r="F486" t="str">
            <v>Pipa Baja Karbon, DN. 48"
(1200 mm</v>
          </cell>
          <cell r="G486" t="str">
            <v>m'</v>
          </cell>
          <cell r="H486">
            <v>3355000</v>
          </cell>
        </row>
        <row r="487">
          <cell r="F487" t="str">
            <v>PVC  Ø 1 1/4"  s  10 tekanan nominal 10 bar (1,0 mpa) 4m</v>
          </cell>
          <cell r="G487" t="str">
            <v>batang</v>
          </cell>
          <cell r="H487">
            <v>79700</v>
          </cell>
        </row>
        <row r="488">
          <cell r="F488" t="str">
            <v>PVC  Ø 1 1/5"  s  10 tekanan nominal 10 bar (1,0 mpa) 6m</v>
          </cell>
          <cell r="G488" t="str">
            <v>batang</v>
          </cell>
          <cell r="H488">
            <v>145400</v>
          </cell>
        </row>
        <row r="489">
          <cell r="F489" t="str">
            <v>PVC  Ø 1"  s  10 tekanan nominal 10 bar (1,0 mpa) 4m</v>
          </cell>
          <cell r="G489" t="str">
            <v>batang</v>
          </cell>
          <cell r="H489">
            <v>51600</v>
          </cell>
        </row>
        <row r="490">
          <cell r="F490" t="str">
            <v>PVC  Ø 1/2"  s  10 tekanan nominal 10 bar (1,0 mpa) 4m</v>
          </cell>
          <cell r="G490" t="str">
            <v>batang</v>
          </cell>
          <cell r="H490">
            <v>30700</v>
          </cell>
        </row>
        <row r="491">
          <cell r="F491" t="str">
            <v>PVC  Ø 2"  s  12,5 tekanan nominal 10 bar (1,0 mpa) 6m</v>
          </cell>
          <cell r="G491" t="str">
            <v>batang</v>
          </cell>
          <cell r="H491">
            <v>214900</v>
          </cell>
        </row>
        <row r="492">
          <cell r="F492" t="str">
            <v>PVC  Ø 3"  s  12,5 tekanan nominal 10 bar (1,0 mpa) 6m</v>
          </cell>
          <cell r="G492" t="str">
            <v>batang</v>
          </cell>
          <cell r="H492">
            <v>423300</v>
          </cell>
        </row>
        <row r="493">
          <cell r="F493" t="str">
            <v>PVC  Ø 3/4"  s  10 tekanan nominal 10 bar (1,0 mpa) 4m</v>
          </cell>
          <cell r="G493" t="str">
            <v>batang</v>
          </cell>
          <cell r="H493">
            <v>33400</v>
          </cell>
        </row>
        <row r="494">
          <cell r="F494" t="str">
            <v>PVC  Ø 4"  s  12,5 tekanan nominal 10 bar (1,0 mpa) 6m</v>
          </cell>
          <cell r="G494" t="str">
            <v>batang</v>
          </cell>
          <cell r="H494">
            <v>641300</v>
          </cell>
        </row>
        <row r="495">
          <cell r="F495" t="str">
            <v>PVC  Ø 6"  s  12,5 tekanan nominal 10 bar (1,0 mpa) 6m</v>
          </cell>
          <cell r="G495" t="str">
            <v>batang</v>
          </cell>
          <cell r="H495">
            <v>1823000</v>
          </cell>
        </row>
        <row r="496">
          <cell r="F496" t="str">
            <v>PVC  Ø 8"  s  12,5 tekanan nominal 10 bar (1,0 mpa) 6m</v>
          </cell>
          <cell r="G496" t="str">
            <v>batang</v>
          </cell>
          <cell r="H496">
            <v>2043200</v>
          </cell>
        </row>
        <row r="497">
          <cell r="F497" t="str">
            <v>MATERIAL PIPA GALVANIS</v>
          </cell>
        </row>
        <row r="498">
          <cell r="F498" t="str">
            <v>Assesoris  galvanis</v>
          </cell>
          <cell r="G498" t="str">
            <v>m'</v>
          </cell>
          <cell r="H498">
            <v>5500</v>
          </cell>
        </row>
        <row r="499">
          <cell r="F499" t="str">
            <v>Pipa  galvanis medium B Ø  1  1/2" panjang  6  m</v>
          </cell>
          <cell r="G499" t="str">
            <v>batang</v>
          </cell>
          <cell r="H499">
            <v>405700</v>
          </cell>
        </row>
        <row r="500">
          <cell r="F500" t="str">
            <v>Pipa  galvanis medium B Ø  1" panjang  6  m</v>
          </cell>
          <cell r="G500" t="str">
            <v>batang</v>
          </cell>
          <cell r="H500">
            <v>263000</v>
          </cell>
        </row>
        <row r="501">
          <cell r="F501" t="str">
            <v>Pipa  galvanis medium B Ø  1/2" panjang  6  m</v>
          </cell>
          <cell r="G501" t="str">
            <v>m'</v>
          </cell>
          <cell r="H501">
            <v>24400</v>
          </cell>
        </row>
        <row r="502">
          <cell r="F502" t="str">
            <v>Pipa  galvanis medium B Ø  2  1/2" panjang  6  m</v>
          </cell>
          <cell r="G502" t="str">
            <v>batang</v>
          </cell>
          <cell r="H502">
            <v>550000</v>
          </cell>
        </row>
        <row r="503">
          <cell r="F503" t="str">
            <v>Pipa  galvanis medium B Ø  3" panjang  6  m</v>
          </cell>
          <cell r="G503" t="str">
            <v>batang</v>
          </cell>
          <cell r="H503">
            <v>1035100</v>
          </cell>
        </row>
        <row r="504">
          <cell r="F504" t="str">
            <v>Pipa  galvanis medium B Ø  3/4" panjang  6  m</v>
          </cell>
          <cell r="G504" t="str">
            <v>batang</v>
          </cell>
          <cell r="H504">
            <v>181200</v>
          </cell>
        </row>
        <row r="505">
          <cell r="F505" t="str">
            <v>Pipa  galvanis medium B Ø  4" panjang  6  m</v>
          </cell>
          <cell r="G505" t="str">
            <v>batang</v>
          </cell>
          <cell r="H505">
            <v>1475300</v>
          </cell>
        </row>
        <row r="506">
          <cell r="F506" t="str">
            <v>Pipa besi stainless  steel Ø1"  t=1.5 mm</v>
          </cell>
          <cell r="G506" t="str">
            <v>m'</v>
          </cell>
          <cell r="H506">
            <v>44800</v>
          </cell>
        </row>
        <row r="507">
          <cell r="F507" t="str">
            <v>Pipa besi stainless  steel Ø2"  t=1.5 mm</v>
          </cell>
          <cell r="G507" t="str">
            <v>m'</v>
          </cell>
          <cell r="H507">
            <v>92400</v>
          </cell>
        </row>
        <row r="508">
          <cell r="F508" t="str">
            <v>Pipa galvanis  medium A Ø 1 1/2"  panjang 6 m</v>
          </cell>
          <cell r="G508" t="str">
            <v>batang</v>
          </cell>
          <cell r="H508">
            <v>461800</v>
          </cell>
        </row>
        <row r="509">
          <cell r="F509" t="str">
            <v>Pipa galvanis  medium A Ø 1"  panjang 6 m</v>
          </cell>
          <cell r="G509" t="str">
            <v>batang</v>
          </cell>
          <cell r="H509">
            <v>266100</v>
          </cell>
        </row>
        <row r="510">
          <cell r="F510" t="str">
            <v>Pipa galvanis  medium A Ø 1/2"  panjang 6 m</v>
          </cell>
          <cell r="G510" t="str">
            <v>batang</v>
          </cell>
          <cell r="H510">
            <v>132500</v>
          </cell>
        </row>
        <row r="511">
          <cell r="F511" t="str">
            <v>Pipa galvanis  medium A Ø 2"  panjang 6 m</v>
          </cell>
          <cell r="G511" t="str">
            <v>batang</v>
          </cell>
          <cell r="H511">
            <v>528600</v>
          </cell>
        </row>
        <row r="512">
          <cell r="F512" t="str">
            <v>Pipa galvanis  medium A Ø 3"  panjang 6 m</v>
          </cell>
          <cell r="G512" t="str">
            <v>batang</v>
          </cell>
          <cell r="H512">
            <v>1021000</v>
          </cell>
        </row>
        <row r="513">
          <cell r="F513" t="str">
            <v>Pipa galvanis  medium A Ø 3/4"  panjang 6 m</v>
          </cell>
          <cell r="G513" t="str">
            <v>batang</v>
          </cell>
          <cell r="H513">
            <v>177900</v>
          </cell>
        </row>
        <row r="514">
          <cell r="F514" t="str">
            <v>Pipa galvanis  medium A Ø 4"  panjang 6 m</v>
          </cell>
          <cell r="G514" t="str">
            <v>batang</v>
          </cell>
          <cell r="H514">
            <v>1487200</v>
          </cell>
        </row>
        <row r="515">
          <cell r="F515" t="str">
            <v>Pipa galvanis  medium A Ø 5"  panjang 6 m</v>
          </cell>
          <cell r="G515" t="str">
            <v>batang</v>
          </cell>
          <cell r="H515">
            <v>1981200</v>
          </cell>
        </row>
        <row r="516">
          <cell r="F516" t="str">
            <v>Pipa galvanis  medium A Ø 6"  panjang 6 m</v>
          </cell>
          <cell r="G516" t="str">
            <v>batang</v>
          </cell>
          <cell r="H516">
            <v>1558300</v>
          </cell>
        </row>
        <row r="517">
          <cell r="F517" t="str">
            <v>Pipa galvanis  medium A Ø 8"  panjang 6 m</v>
          </cell>
          <cell r="G517" t="str">
            <v>batang</v>
          </cell>
          <cell r="H517">
            <v>2267400</v>
          </cell>
        </row>
        <row r="518">
          <cell r="F518" t="str">
            <v>Pipa galvanis  medium B  Ø 2"  panjang 6 m</v>
          </cell>
          <cell r="G518" t="str">
            <v>batang</v>
          </cell>
          <cell r="H518">
            <v>598800</v>
          </cell>
        </row>
        <row r="519">
          <cell r="F519" t="str">
            <v>Pipa galvanis  medium B  Ø 5"  panjang 6 m</v>
          </cell>
          <cell r="G519" t="str">
            <v>batang</v>
          </cell>
          <cell r="H519">
            <v>2031000</v>
          </cell>
        </row>
        <row r="520">
          <cell r="F520" t="str">
            <v>Pipa galvanis  medium B  Ø 6"  panjang 6 m</v>
          </cell>
          <cell r="G520" t="str">
            <v>batang</v>
          </cell>
          <cell r="H520">
            <v>2451200</v>
          </cell>
        </row>
        <row r="521">
          <cell r="F521" t="str">
            <v>Pipa galvanis  medium B  Ø 8"  panjang 6 m</v>
          </cell>
          <cell r="G521" t="str">
            <v>batang</v>
          </cell>
          <cell r="H521">
            <v>3466200</v>
          </cell>
        </row>
        <row r="522">
          <cell r="F522" t="str">
            <v xml:space="preserve">Pipa galvanis  medium Class  Ø 1 1/2" +Aksesoris </v>
          </cell>
          <cell r="G522" t="str">
            <v>m'</v>
          </cell>
          <cell r="H522">
            <v>82466.666666666672</v>
          </cell>
        </row>
        <row r="523">
          <cell r="F523" t="str">
            <v>Pipa galvanis MED CLASS ; DN. 1-1/2" (40 mm) + fitting &amp; aksesoris</v>
          </cell>
          <cell r="G523" t="str">
            <v>m'</v>
          </cell>
          <cell r="H523">
            <v>82500</v>
          </cell>
        </row>
        <row r="524">
          <cell r="F524" t="str">
            <v xml:space="preserve">Pipa galvanis  medium Class  Ø 1 1/4" +Aksesoris </v>
          </cell>
          <cell r="G524" t="str">
            <v>m'</v>
          </cell>
          <cell r="H524">
            <v>80633.333333333328</v>
          </cell>
        </row>
        <row r="525">
          <cell r="F525" t="str">
            <v>Pipa galvanis MED
CLASS ; DN. 1-1/4"
(32 mm) + fitting &amp;
aksesoris</v>
          </cell>
          <cell r="G525" t="str">
            <v>m'</v>
          </cell>
          <cell r="H525">
            <v>81000</v>
          </cell>
        </row>
        <row r="526">
          <cell r="F526" t="str">
            <v>Pipa galvanis  medium Class Ø 1" + Aksesoris</v>
          </cell>
          <cell r="G526" t="str">
            <v>m'</v>
          </cell>
          <cell r="H526">
            <v>49850</v>
          </cell>
        </row>
        <row r="527">
          <cell r="F527" t="str">
            <v>Pipa galvanis MED
CLASS ; DN. 1" (25
mm) + fitting &amp;
aksesoris</v>
          </cell>
          <cell r="G527" t="str">
            <v>m'</v>
          </cell>
          <cell r="H527">
            <v>50000</v>
          </cell>
        </row>
        <row r="528">
          <cell r="F528" t="str">
            <v>Pipa galvanis  medium Class Ø 1/2" + Aksesoris</v>
          </cell>
          <cell r="G528" t="str">
            <v>m'</v>
          </cell>
          <cell r="H528">
            <v>27583.333333333332</v>
          </cell>
        </row>
        <row r="529">
          <cell r="F529" t="str">
            <v>Pipa galvanis MED CLASS ; DN. 1/2" (15 mm) + fitting &amp; aksesoris</v>
          </cell>
          <cell r="G529" t="str">
            <v>m'</v>
          </cell>
          <cell r="H529">
            <v>28000</v>
          </cell>
        </row>
        <row r="530">
          <cell r="F530" t="str">
            <v xml:space="preserve">Pipa galvanis  medium Class Ø 2" +Aksesoris </v>
          </cell>
          <cell r="G530" t="str">
            <v>m'</v>
          </cell>
          <cell r="H530">
            <v>93600</v>
          </cell>
        </row>
        <row r="531">
          <cell r="F531" t="str">
            <v>Pipa galvanis MED CLASS ; DN. 2" (50 mm) + fitting &amp; aksesoris</v>
          </cell>
          <cell r="G531" t="str">
            <v>m'</v>
          </cell>
          <cell r="H531">
            <v>94000</v>
          </cell>
        </row>
        <row r="532">
          <cell r="F532" t="str">
            <v xml:space="preserve">Pipa galvanis  medium Class Ø 2-1/2" +Aksesoris </v>
          </cell>
          <cell r="G532" t="str">
            <v>m'</v>
          </cell>
          <cell r="H532">
            <v>94666.666666666672</v>
          </cell>
        </row>
        <row r="533">
          <cell r="F533" t="str">
            <v>Pipa galvanis MED CLASS ; DN. 2-1/2" (65 mm) + fitting &amp; aksesoris</v>
          </cell>
          <cell r="G533" t="str">
            <v>m'</v>
          </cell>
          <cell r="H533">
            <v>95000</v>
          </cell>
        </row>
        <row r="534">
          <cell r="F534" t="str">
            <v xml:space="preserve">Pipa galvanis  medium Class Ø 3" +Aksesoris </v>
          </cell>
          <cell r="G534" t="str">
            <v>m'</v>
          </cell>
          <cell r="H534">
            <v>175666.66666666666</v>
          </cell>
        </row>
        <row r="535">
          <cell r="F535" t="str">
            <v>Pipa galvanis MED CLASS ; DN. 3" (80 mm) + fitting &amp; aksesoris</v>
          </cell>
          <cell r="G535" t="str">
            <v>m'</v>
          </cell>
          <cell r="H535">
            <v>176000</v>
          </cell>
        </row>
        <row r="536">
          <cell r="F536" t="str">
            <v xml:space="preserve">Pipa galvanis  medium Class Ø 3/4" + Aksesoris </v>
          </cell>
          <cell r="G536" t="str">
            <v>m'</v>
          </cell>
          <cell r="H536">
            <v>35150</v>
          </cell>
        </row>
        <row r="537">
          <cell r="F537" t="str">
            <v>Pipa galvanis MED CLASS ; DN. 3/4" (20 mm) + fitting &amp; aksesoris</v>
          </cell>
          <cell r="G537" t="str">
            <v>m'</v>
          </cell>
          <cell r="H537">
            <v>36000</v>
          </cell>
        </row>
        <row r="538">
          <cell r="F538" t="str">
            <v xml:space="preserve">Pipa galvanis  medium Class Ø 4" +Aksesoris </v>
          </cell>
          <cell r="G538" t="str">
            <v>m'</v>
          </cell>
          <cell r="H538">
            <v>253366.66666666666</v>
          </cell>
        </row>
        <row r="539">
          <cell r="F539" t="str">
            <v>Pipa galvanis MED CLASS ; DN. 4" (100 mm) + fitting &amp; aksesoris</v>
          </cell>
          <cell r="G539" t="str">
            <v>m'</v>
          </cell>
          <cell r="H539">
            <v>253500</v>
          </cell>
        </row>
        <row r="540">
          <cell r="F540" t="str">
            <v xml:space="preserve">Pipa galvanis  medium Class Ø 5" +Aksesoris </v>
          </cell>
          <cell r="G540" t="str">
            <v>m'</v>
          </cell>
          <cell r="H540">
            <v>335700</v>
          </cell>
        </row>
        <row r="541">
          <cell r="F541" t="str">
            <v>Pipa galvanis MED CLASS ; DN. 5" (125 mm) + fitting &amp; aksesoris</v>
          </cell>
          <cell r="G541" t="str">
            <v>m'</v>
          </cell>
          <cell r="H541">
            <v>336000</v>
          </cell>
        </row>
        <row r="542">
          <cell r="F542" t="str">
            <v xml:space="preserve">Pipa galvanis  medium Class Ø 6" + Aksesoris </v>
          </cell>
          <cell r="G542" t="str">
            <v>m'</v>
          </cell>
          <cell r="H542">
            <v>265216.66666666663</v>
          </cell>
        </row>
        <row r="543">
          <cell r="F543" t="str">
            <v>Pipa galvanis MED CLASS ; DN. 6" (150 mm) + fitting &amp; aksesoris</v>
          </cell>
          <cell r="G543" t="str">
            <v>m'</v>
          </cell>
          <cell r="H543">
            <v>266000</v>
          </cell>
        </row>
        <row r="544">
          <cell r="F544" t="str">
            <v xml:space="preserve">Pipa galvanis  medium Class Ø 8" + Aksesois </v>
          </cell>
          <cell r="G544" t="str">
            <v>m'</v>
          </cell>
          <cell r="H544">
            <v>383400</v>
          </cell>
        </row>
        <row r="545">
          <cell r="F545" t="str">
            <v>Pipa galvanis MED CLASS ; DN. 8" (200 mm) + fitting &amp; aksesoris</v>
          </cell>
          <cell r="G545" t="str">
            <v>m'</v>
          </cell>
          <cell r="H545">
            <v>384000</v>
          </cell>
        </row>
        <row r="546">
          <cell r="F546" t="str">
            <v xml:space="preserve">Pipa galvanis  medium Class Ø 10" + Aksesois </v>
          </cell>
          <cell r="G546" t="str">
            <v>m'</v>
          </cell>
          <cell r="H546">
            <v>390500</v>
          </cell>
        </row>
        <row r="547">
          <cell r="F547" t="str">
            <v>Pipa galvanis MED CLASS ; DN. 10" (250 mm) + fitting &amp; aksesoris</v>
          </cell>
          <cell r="G547" t="str">
            <v>m'</v>
          </cell>
          <cell r="H547">
            <v>391000</v>
          </cell>
        </row>
        <row r="548">
          <cell r="F548" t="str">
            <v xml:space="preserve">Pipa galvanis  medium Class Ø 12" + Aksesois </v>
          </cell>
          <cell r="G548" t="str">
            <v>m'</v>
          </cell>
          <cell r="H548">
            <v>399500</v>
          </cell>
        </row>
        <row r="549">
          <cell r="F549" t="str">
            <v>Pipa galvanis MED CLASS ; DN. 12" (300 mm) + fitting &amp; aksesoris</v>
          </cell>
          <cell r="G549" t="str">
            <v>m'</v>
          </cell>
          <cell r="H549">
            <v>340000</v>
          </cell>
        </row>
        <row r="550">
          <cell r="F550" t="str">
            <v xml:space="preserve">Pipa galvanis  medium Class Ø 14" + Aksesois </v>
          </cell>
          <cell r="G550" t="str">
            <v>m'</v>
          </cell>
          <cell r="H550">
            <v>410500</v>
          </cell>
        </row>
        <row r="551">
          <cell r="F551" t="str">
            <v>Pipa galvanis MED CLASS ; DN. 14" (350 mm) + fitting &amp; aksesoris</v>
          </cell>
          <cell r="G551" t="str">
            <v>m'</v>
          </cell>
          <cell r="H551">
            <v>411000</v>
          </cell>
        </row>
        <row r="552">
          <cell r="F552" t="str">
            <v xml:space="preserve">Pipa galvanis  medium Class Ø 16" + Aksesois </v>
          </cell>
          <cell r="G552" t="str">
            <v>m'</v>
          </cell>
          <cell r="H552">
            <v>417500</v>
          </cell>
        </row>
        <row r="553">
          <cell r="F553" t="str">
            <v>Pipa galvanis MED CLASS ; DN. 16" (400 mm) + fitting &amp; aksesoris</v>
          </cell>
          <cell r="G553" t="str">
            <v>m'</v>
          </cell>
          <cell r="H553">
            <v>418000</v>
          </cell>
        </row>
        <row r="554">
          <cell r="F554" t="str">
            <v xml:space="preserve">Pipa galvanis SCH 40 Ø 1/2" + Aksesois </v>
          </cell>
          <cell r="G554" t="str">
            <v>m'</v>
          </cell>
          <cell r="H554">
            <v>39666.666666666664</v>
          </cell>
        </row>
        <row r="555">
          <cell r="F555" t="str">
            <v>Pipa galvanis SCH 40 ; DN. 1/2" (15 mm) + fitting &amp; aksesoris</v>
          </cell>
          <cell r="G555" t="str">
            <v>m'</v>
          </cell>
          <cell r="H555">
            <v>40000</v>
          </cell>
        </row>
        <row r="556">
          <cell r="F556" t="str">
            <v xml:space="preserve">Pipa galvanis SCH 40 Ø 3/4" + Aksesois </v>
          </cell>
          <cell r="G556" t="str">
            <v>m'</v>
          </cell>
          <cell r="H556">
            <v>47666.666666666664</v>
          </cell>
        </row>
        <row r="557">
          <cell r="F557" t="str">
            <v>Pipa galvanis SCH 40 ; DN. 3/4" (20 mm) + fitting &amp; aksesoris</v>
          </cell>
          <cell r="G557" t="str">
            <v>m'</v>
          </cell>
          <cell r="H557">
            <v>48000</v>
          </cell>
        </row>
        <row r="558">
          <cell r="F558" t="str">
            <v xml:space="preserve">Pipa galvanis SCH 40 Ø 1" + Aksesois </v>
          </cell>
          <cell r="G558" t="str">
            <v>m'</v>
          </cell>
          <cell r="H558">
            <v>66333.333333333343</v>
          </cell>
        </row>
        <row r="559">
          <cell r="F559" t="str">
            <v>Pipa galvanis SCH 40 ; DN. 1" (25 mm) + fitting &amp; aksesoris</v>
          </cell>
          <cell r="G559" t="str">
            <v>m'</v>
          </cell>
          <cell r="H559">
            <v>66500</v>
          </cell>
        </row>
        <row r="560">
          <cell r="F560" t="str">
            <v xml:space="preserve">Pipa galvanis SCH 40 Ø 1-1/4" + Aksesois </v>
          </cell>
          <cell r="G560" t="str">
            <v>m'</v>
          </cell>
          <cell r="H560">
            <v>88000</v>
          </cell>
        </row>
        <row r="561">
          <cell r="F561" t="str">
            <v>Pipa galvanis SCH 40 ; DN. 1-1/4" (32 mm) + fitting &amp; aksesoris</v>
          </cell>
          <cell r="G561" t="str">
            <v>m'</v>
          </cell>
          <cell r="H561">
            <v>88500</v>
          </cell>
        </row>
        <row r="562">
          <cell r="F562" t="str">
            <v xml:space="preserve">Pipa galvanis SCH 40 Ø 1-1/2" + Aksesois </v>
          </cell>
          <cell r="G562" t="str">
            <v>m'</v>
          </cell>
          <cell r="H562">
            <v>102500</v>
          </cell>
        </row>
        <row r="563">
          <cell r="F563" t="str">
            <v>Pipa galvanis SCH 40 ; DN. 1-1/2" (40 mm) + fitting &amp; aksesoris</v>
          </cell>
          <cell r="G563" t="str">
            <v>m'</v>
          </cell>
          <cell r="H563">
            <v>103000</v>
          </cell>
        </row>
        <row r="564">
          <cell r="F564" t="str">
            <v xml:space="preserve">Pipa galvanis SCH 40 Ø 2" + Aksesois </v>
          </cell>
          <cell r="G564" t="str">
            <v>m'</v>
          </cell>
          <cell r="H564">
            <v>188833.33333333334</v>
          </cell>
        </row>
        <row r="565">
          <cell r="F565" t="str">
            <v>Pipa galvanis SCH 40 ; DN. 2" (50 mm) + fitting &amp; aksesoris</v>
          </cell>
          <cell r="G565" t="str">
            <v>m'</v>
          </cell>
          <cell r="H565">
            <v>189000</v>
          </cell>
        </row>
        <row r="566">
          <cell r="F566" t="str">
            <v xml:space="preserve">Pipa galvanis SCH 40 Ø 2-1/2" + Aksesois </v>
          </cell>
          <cell r="G566" t="str">
            <v>m'</v>
          </cell>
          <cell r="H566">
            <v>205500</v>
          </cell>
        </row>
        <row r="567">
          <cell r="F567" t="str">
            <v>Pipa galvanis SCH 40 ; DN. 2-1/2" (65 mm) + fitting &amp; aksesoris</v>
          </cell>
          <cell r="G567" t="str">
            <v>m'</v>
          </cell>
          <cell r="H567">
            <v>206000</v>
          </cell>
        </row>
        <row r="568">
          <cell r="F568" t="str">
            <v xml:space="preserve">Pipa galvanis SCH 40 Ø 3" + Aksesois </v>
          </cell>
          <cell r="G568" t="str">
            <v>m'</v>
          </cell>
          <cell r="H568">
            <v>359666.66666666669</v>
          </cell>
        </row>
        <row r="569">
          <cell r="F569" t="str">
            <v>Pipa galvanis SCH 40 ; DN. 3" (80 mm) + fitting &amp; aksesoris</v>
          </cell>
          <cell r="G569" t="str">
            <v>m'</v>
          </cell>
          <cell r="H569">
            <v>360000</v>
          </cell>
        </row>
        <row r="570">
          <cell r="F570" t="str">
            <v xml:space="preserve">Pipa galvanis SCH 40 Ø 4" + Aksesois </v>
          </cell>
          <cell r="G570" t="str">
            <v>m'</v>
          </cell>
          <cell r="H570">
            <v>380500</v>
          </cell>
        </row>
        <row r="571">
          <cell r="F571" t="str">
            <v>Pipa galvanis SCH 40 ; DN. 4" (100 mm) + fitting &amp; aksesoris</v>
          </cell>
          <cell r="G571" t="str">
            <v>m'</v>
          </cell>
          <cell r="H571">
            <v>381000</v>
          </cell>
        </row>
        <row r="572">
          <cell r="F572" t="str">
            <v xml:space="preserve">Pipa galvanis SCH 40 Ø 5" + Aksesois </v>
          </cell>
          <cell r="G572" t="str">
            <v>m'</v>
          </cell>
          <cell r="H572">
            <v>505500</v>
          </cell>
        </row>
        <row r="573">
          <cell r="F573" t="str">
            <v>Pipa galvanis SCH 40 ; DN. 5" (125 mm) + fitting &amp; aksesoris</v>
          </cell>
          <cell r="G573" t="str">
            <v>m'</v>
          </cell>
          <cell r="H573">
            <v>502000</v>
          </cell>
        </row>
        <row r="574">
          <cell r="F574" t="str">
            <v xml:space="preserve">Pipa galvanis SCH 40 Ø 6" + Aksesois </v>
          </cell>
          <cell r="G574" t="str">
            <v>m'</v>
          </cell>
          <cell r="H574">
            <v>635500</v>
          </cell>
        </row>
        <row r="575">
          <cell r="F575" t="str">
            <v>Pipa galvanis SCH 40 ; DN. 6" (150 mm) + fitting &amp; aksesoris</v>
          </cell>
          <cell r="G575" t="str">
            <v>m'</v>
          </cell>
          <cell r="H575">
            <v>636000</v>
          </cell>
        </row>
        <row r="576">
          <cell r="F576" t="str">
            <v xml:space="preserve">Pipa galvanis SCH 40 Ø 8" + Aksesois </v>
          </cell>
          <cell r="G576" t="str">
            <v>m'</v>
          </cell>
          <cell r="H576">
            <v>987166.66666666663</v>
          </cell>
        </row>
        <row r="577">
          <cell r="F577" t="str">
            <v>Pipa galvanis SCH 40 ; DN. 8" (200 mm) + fitting &amp; aksesoris</v>
          </cell>
          <cell r="G577" t="str">
            <v>m'</v>
          </cell>
          <cell r="H577">
            <v>987500</v>
          </cell>
        </row>
        <row r="578">
          <cell r="F578" t="str">
            <v xml:space="preserve">Pipa galvanis SCH 40 Ø 10" + Aksesois </v>
          </cell>
          <cell r="G578" t="str">
            <v>m'</v>
          </cell>
          <cell r="H578">
            <v>1322166.6666666667</v>
          </cell>
        </row>
        <row r="579">
          <cell r="F579" t="str">
            <v>Pipa galvanis SCH 40 ; DN. 10" (250 mm) + fitting &amp; aksesoris</v>
          </cell>
          <cell r="G579" t="str">
            <v>m'</v>
          </cell>
          <cell r="H579">
            <v>1322500</v>
          </cell>
        </row>
        <row r="580">
          <cell r="F580" t="str">
            <v xml:space="preserve">Pipa galvanis SCH 40 Ø 12" + Aksesois </v>
          </cell>
          <cell r="G580" t="str">
            <v>m'</v>
          </cell>
          <cell r="H580">
            <v>1405500</v>
          </cell>
        </row>
        <row r="581">
          <cell r="F581" t="str">
            <v>Pipa galvanis SCH 40 ; DN. 12" (300 mm) + fitting &amp; aksesoris</v>
          </cell>
          <cell r="G581" t="str">
            <v>m'</v>
          </cell>
          <cell r="H581">
            <v>1406000</v>
          </cell>
        </row>
        <row r="582">
          <cell r="F582" t="str">
            <v xml:space="preserve">Pipa galvanis SCH 40 Ø 14" + Aksesois </v>
          </cell>
          <cell r="G582" t="str">
            <v>m'</v>
          </cell>
          <cell r="H582">
            <v>1463833.3333333333</v>
          </cell>
        </row>
        <row r="583">
          <cell r="F583" t="str">
            <v>Pipa galvanis SCH 40 ; DN. 14" (350 mm) + fitting &amp; aksesoris</v>
          </cell>
          <cell r="G583" t="str">
            <v>m'</v>
          </cell>
          <cell r="H583">
            <v>1464000</v>
          </cell>
        </row>
        <row r="584">
          <cell r="F584" t="str">
            <v xml:space="preserve">Pipa galvanis SCH 40 Ø 16" + Aksesois </v>
          </cell>
          <cell r="G584" t="str">
            <v>m'</v>
          </cell>
          <cell r="H584">
            <v>1501666.6666666667</v>
          </cell>
        </row>
        <row r="585">
          <cell r="F585" t="str">
            <v>Pipa galvanis SCH 40 ; DN. 16" (400 mm) + fitting &amp; aksesoris</v>
          </cell>
          <cell r="G585" t="str">
            <v>m'</v>
          </cell>
          <cell r="H585">
            <v>1502000</v>
          </cell>
        </row>
        <row r="586">
          <cell r="F586" t="str">
            <v xml:space="preserve">Pipa PPR PN 10 Ø 1/2" + Aksesois </v>
          </cell>
          <cell r="G586" t="str">
            <v>m'</v>
          </cell>
          <cell r="H586">
            <v>16050</v>
          </cell>
        </row>
        <row r="587">
          <cell r="F587" t="str">
            <v>Pipa PPR PN 10 ; DN. 1/2" (15 mm) + fitting &amp; aksesoris</v>
          </cell>
          <cell r="G587" t="str">
            <v>m'</v>
          </cell>
          <cell r="H587">
            <v>16100</v>
          </cell>
        </row>
        <row r="588">
          <cell r="F588" t="str">
            <v xml:space="preserve">Pipa PPR PN 10 Ø 3/4" + Aksesois </v>
          </cell>
          <cell r="G588" t="str">
            <v>m'</v>
          </cell>
          <cell r="H588">
            <v>19475</v>
          </cell>
        </row>
        <row r="589">
          <cell r="F589" t="str">
            <v>Pipa PPR PN 10 ; DN. 3/4" (20 mm) + fitting &amp; aksesoris</v>
          </cell>
          <cell r="G589" t="str">
            <v>m'</v>
          </cell>
          <cell r="H589">
            <v>19700</v>
          </cell>
        </row>
        <row r="590">
          <cell r="F590" t="str">
            <v xml:space="preserve">Pipa PPR PN 10 Ø 1" + Aksesois </v>
          </cell>
          <cell r="G590" t="str">
            <v>m'</v>
          </cell>
          <cell r="H590">
            <v>28275</v>
          </cell>
        </row>
        <row r="591">
          <cell r="F591" t="str">
            <v>Pipa PPR PN 10 ; DN. 1" (25 mm) + fitting &amp; aksesoris</v>
          </cell>
          <cell r="G591" t="str">
            <v>m'</v>
          </cell>
          <cell r="H591">
            <v>28500</v>
          </cell>
        </row>
        <row r="592">
          <cell r="F592" t="str">
            <v xml:space="preserve">Pipa PPR PN 10 Ø 1-1/4" + Aksesois </v>
          </cell>
          <cell r="G592" t="str">
            <v>m'</v>
          </cell>
          <cell r="H592">
            <v>41875</v>
          </cell>
        </row>
        <row r="593">
          <cell r="F593" t="str">
            <v>Pipa PPR PN 10 ; DN. 1-1/4" (32 mm) + fitting &amp; aksesoris</v>
          </cell>
          <cell r="G593" t="str">
            <v>m'</v>
          </cell>
          <cell r="H593">
            <v>42000</v>
          </cell>
        </row>
        <row r="594">
          <cell r="F594" t="str">
            <v xml:space="preserve">Pipa PPR PN 10 Ø 1-1/2" + Aksesois </v>
          </cell>
          <cell r="G594" t="str">
            <v>m'</v>
          </cell>
          <cell r="H594">
            <v>62175</v>
          </cell>
        </row>
        <row r="595">
          <cell r="F595" t="str">
            <v>Pipa PPR PN 10 ; DN. 1-1/2" (40 mm) + fitting &amp; aksesoris</v>
          </cell>
          <cell r="G595" t="str">
            <v>m'</v>
          </cell>
          <cell r="H595">
            <v>62500</v>
          </cell>
        </row>
        <row r="596">
          <cell r="F596" t="str">
            <v xml:space="preserve">Pipa PPR PN 10 Ø 2" + Aksesois </v>
          </cell>
          <cell r="G596" t="str">
            <v>m'</v>
          </cell>
          <cell r="H596">
            <v>95500</v>
          </cell>
        </row>
        <row r="597">
          <cell r="F597" t="str">
            <v>Pipa PPR PN 10 ; DN. 2" (50 mm) + fitting &amp; aksesoris</v>
          </cell>
          <cell r="G597" t="str">
            <v>m'</v>
          </cell>
          <cell r="H597">
            <v>96000</v>
          </cell>
        </row>
        <row r="598">
          <cell r="F598" t="str">
            <v xml:space="preserve">Pipa PPR PN 10 Ø 2-1/2" + Aksesois </v>
          </cell>
          <cell r="G598" t="str">
            <v>m'</v>
          </cell>
          <cell r="H598">
            <v>131625</v>
          </cell>
        </row>
        <row r="599">
          <cell r="F599" t="str">
            <v>Pipa PPR PN 10 ; DN. 2-1/2" (65 mm) + fitting &amp; aksesoris</v>
          </cell>
          <cell r="G599" t="str">
            <v>m'</v>
          </cell>
          <cell r="H599">
            <v>132000</v>
          </cell>
        </row>
        <row r="600">
          <cell r="F600" t="str">
            <v xml:space="preserve">Pipa PPR PN 10 Ø 3" + Aksesois </v>
          </cell>
          <cell r="G600" t="str">
            <v>m'</v>
          </cell>
          <cell r="H600">
            <v>183275</v>
          </cell>
        </row>
        <row r="601">
          <cell r="F601" t="str">
            <v>Pipa PPR PN 10 ; DN. 3" (80 mm) + fitting &amp; aksesoris</v>
          </cell>
          <cell r="G601" t="str">
            <v>m'</v>
          </cell>
          <cell r="H601">
            <v>183500</v>
          </cell>
        </row>
        <row r="602">
          <cell r="F602" t="str">
            <v xml:space="preserve">Pipa PPR PN 10 Ø 4" + Aksesois </v>
          </cell>
          <cell r="G602" t="str">
            <v>m'</v>
          </cell>
          <cell r="H602">
            <v>276425</v>
          </cell>
        </row>
        <row r="603">
          <cell r="F603" t="str">
            <v>Pipa PPR PN 10 ; DN. 4" (100 mm) + fitting &amp; aksesoris</v>
          </cell>
          <cell r="G603" t="str">
            <v>m'</v>
          </cell>
          <cell r="H603">
            <v>276600</v>
          </cell>
        </row>
        <row r="604">
          <cell r="F604" t="str">
            <v xml:space="preserve">Pipa PPR PN 10 Ø 6" + Aksesois </v>
          </cell>
          <cell r="G604" t="str">
            <v>m'</v>
          </cell>
          <cell r="H604">
            <v>930025</v>
          </cell>
        </row>
        <row r="605">
          <cell r="F605" t="str">
            <v>Pipa PPR PN 10 ; DN. 6" (150 mm) + fitting &amp; aksesoris</v>
          </cell>
          <cell r="G605" t="str">
            <v>m'</v>
          </cell>
          <cell r="H605">
            <v>930500</v>
          </cell>
        </row>
        <row r="606">
          <cell r="F606" t="str">
            <v xml:space="preserve">Pipa PPR PN 20 Ø 1/2" + Aksesois </v>
          </cell>
          <cell r="G606" t="str">
            <v>m'</v>
          </cell>
          <cell r="H606">
            <v>20325</v>
          </cell>
        </row>
        <row r="607">
          <cell r="F607" t="str">
            <v>Pipa PPR PN 20 ; DN. 1/2" (15 mm) + fitting &amp; aksesoris</v>
          </cell>
          <cell r="G607" t="str">
            <v>m'</v>
          </cell>
          <cell r="H607">
            <v>931000</v>
          </cell>
        </row>
        <row r="608">
          <cell r="F608" t="str">
            <v xml:space="preserve">Pipa PPR PN 20 Ø 3/4" + Aksesois </v>
          </cell>
          <cell r="G608" t="str">
            <v>m'</v>
          </cell>
          <cell r="H608">
            <v>28525</v>
          </cell>
        </row>
        <row r="609">
          <cell r="F609" t="str">
            <v>Pipa PPR PN 20 ; DN. 3/4" (20 mm) + fitting &amp; aksesoris</v>
          </cell>
          <cell r="G609" t="str">
            <v>m'</v>
          </cell>
          <cell r="H609">
            <v>29000</v>
          </cell>
        </row>
        <row r="610">
          <cell r="F610" t="str">
            <v xml:space="preserve">Pipa PPR PN 20 Ø 1" + Aksesois </v>
          </cell>
          <cell r="G610" t="str">
            <v>m'</v>
          </cell>
          <cell r="H610">
            <v>43675</v>
          </cell>
        </row>
        <row r="611">
          <cell r="F611" t="str">
            <v>Pipa PPR PN 20 ; DN. 1" (25 mm) + fitting &amp; aksesoris</v>
          </cell>
          <cell r="G611" t="str">
            <v>m'</v>
          </cell>
          <cell r="H611">
            <v>44000</v>
          </cell>
        </row>
        <row r="612">
          <cell r="F612" t="str">
            <v xml:space="preserve">Pipa PPR PN 20 Ø 1-1/4" + Aksesois </v>
          </cell>
          <cell r="G612" t="str">
            <v>m'</v>
          </cell>
          <cell r="H612">
            <v>64625</v>
          </cell>
        </row>
        <row r="613">
          <cell r="F613" t="str">
            <v>Pipa PPR PN 20 ; DN. 1-1/4" (32 mm) + fitting &amp; aksesoris</v>
          </cell>
          <cell r="G613" t="str">
            <v>m'</v>
          </cell>
          <cell r="H613">
            <v>65000</v>
          </cell>
        </row>
        <row r="614">
          <cell r="F614" t="str">
            <v xml:space="preserve">Pipa PPR PN 20 Ø 1-1/2" + Aksesois </v>
          </cell>
          <cell r="G614" t="str">
            <v>m'</v>
          </cell>
          <cell r="H614">
            <v>98175</v>
          </cell>
        </row>
        <row r="615">
          <cell r="F615" t="str">
            <v>Pipa PPR PN 20 ; DN. 1-1/2" (40 mm) + fitting &amp; aksesoris</v>
          </cell>
          <cell r="G615" t="str">
            <v>m'</v>
          </cell>
          <cell r="H615">
            <v>98500</v>
          </cell>
        </row>
        <row r="616">
          <cell r="F616" t="str">
            <v xml:space="preserve">Pipa PPR PN 20 Ø 2" + Aksesois </v>
          </cell>
          <cell r="G616" t="str">
            <v>m'</v>
          </cell>
          <cell r="H616">
            <v>152625</v>
          </cell>
        </row>
        <row r="617">
          <cell r="F617" t="str">
            <v>Pipa PPR PN 20 ; DN. 2" (50 mm) + fitting &amp; aksesoris</v>
          </cell>
          <cell r="G617" t="str">
            <v>m'</v>
          </cell>
          <cell r="H617">
            <v>153000</v>
          </cell>
        </row>
        <row r="618">
          <cell r="F618" t="str">
            <v xml:space="preserve">Pipa PPR PN 20 Ø 2-1/2" + Aksesois </v>
          </cell>
          <cell r="G618" t="str">
            <v>m'</v>
          </cell>
          <cell r="H618">
            <v>214000</v>
          </cell>
        </row>
        <row r="619">
          <cell r="F619" t="str">
            <v>Pipa PPR PN 20 ; DN. 2-1/2" (65 mm) + fitting &amp; aksesoris</v>
          </cell>
          <cell r="G619" t="str">
            <v>m'</v>
          </cell>
          <cell r="H619">
            <v>214500</v>
          </cell>
        </row>
        <row r="620">
          <cell r="F620" t="str">
            <v xml:space="preserve">Pipa PPR PN 20 Ø 3" + Aksesois </v>
          </cell>
          <cell r="G620" t="str">
            <v>m'</v>
          </cell>
          <cell r="H620">
            <v>305375</v>
          </cell>
        </row>
        <row r="621">
          <cell r="F621" t="str">
            <v>Pipa PPR PN 20 ; DN. 3" (80 mm) + fitting &amp; aksesoris</v>
          </cell>
          <cell r="G621" t="str">
            <v>m'</v>
          </cell>
          <cell r="H621">
            <v>305500</v>
          </cell>
        </row>
        <row r="622">
          <cell r="F622" t="str">
            <v xml:space="preserve">Pipa PPR PN 20 Ø 4" + Aksesois </v>
          </cell>
          <cell r="G622" t="str">
            <v>m'</v>
          </cell>
          <cell r="H622">
            <v>453900</v>
          </cell>
        </row>
        <row r="623">
          <cell r="F623" t="str">
            <v>Pipa PPR PN 20 ; DN. 4" (100 mm) + fitting &amp; aksesoris</v>
          </cell>
          <cell r="G623" t="str">
            <v>m'</v>
          </cell>
          <cell r="H623">
            <v>454000</v>
          </cell>
        </row>
        <row r="624">
          <cell r="F624" t="str">
            <v xml:space="preserve">Pipa PPR PN 20 Ø 6" + Aksesois </v>
          </cell>
          <cell r="G624" t="str">
            <v>m'</v>
          </cell>
          <cell r="H624">
            <v>1534825</v>
          </cell>
        </row>
        <row r="625">
          <cell r="F625" t="str">
            <v>Pipa PPR PN 20 ; DN. 6" (150 mm) + fitting &amp; akseso</v>
          </cell>
          <cell r="G625" t="str">
            <v>m'</v>
          </cell>
          <cell r="H625">
            <v>1535000</v>
          </cell>
        </row>
        <row r="626">
          <cell r="F626" t="str">
            <v xml:space="preserve">Pipa BS Ø 1/2" + Aksesois </v>
          </cell>
          <cell r="G626" t="str">
            <v>m'</v>
          </cell>
          <cell r="H626">
            <v>30000</v>
          </cell>
        </row>
        <row r="627">
          <cell r="F627" t="str">
            <v>Pipa BS MED CLASS ; DN. 1/2" (15 mm) + fitting &amp; aksesoris</v>
          </cell>
          <cell r="G627" t="str">
            <v>m'</v>
          </cell>
          <cell r="H627">
            <v>30500</v>
          </cell>
        </row>
        <row r="628">
          <cell r="F628" t="str">
            <v xml:space="preserve">Pipa BS Ø 3/4" + Aksesois </v>
          </cell>
          <cell r="G628" t="str">
            <v>m'</v>
          </cell>
          <cell r="H628">
            <v>37000</v>
          </cell>
        </row>
        <row r="629">
          <cell r="F629" t="str">
            <v>Pipa BS MED CLASS ; DN. 3/4" (20 mm) + fitting &amp; aksesoris</v>
          </cell>
          <cell r="G629" t="str">
            <v>m'</v>
          </cell>
          <cell r="H629">
            <v>37500</v>
          </cell>
        </row>
        <row r="630">
          <cell r="F630" t="str">
            <v xml:space="preserve">Pipa BS Ø 1" + Aksesois </v>
          </cell>
          <cell r="G630" t="str">
            <v>m'</v>
          </cell>
          <cell r="H630">
            <v>52500</v>
          </cell>
        </row>
        <row r="631">
          <cell r="F631" t="str">
            <v>Pipa BS MED CLASS ; DN. 1" (25 mm) + fitting &amp; aksesoris</v>
          </cell>
          <cell r="G631" t="str">
            <v>m'</v>
          </cell>
          <cell r="H631">
            <v>53000</v>
          </cell>
        </row>
        <row r="632">
          <cell r="F632" t="str">
            <v xml:space="preserve">Pipa BS Ø 1-1/4" + Aksesois </v>
          </cell>
          <cell r="G632" t="str">
            <v>m'</v>
          </cell>
          <cell r="H632">
            <v>67500</v>
          </cell>
        </row>
        <row r="633">
          <cell r="F633" t="str">
            <v>Pipa BS MED CLASS DN. 1-1/4" (32 mm) + fitting &amp; aksesoris</v>
          </cell>
          <cell r="G633" t="str">
            <v>m'</v>
          </cell>
          <cell r="H633">
            <v>68000</v>
          </cell>
        </row>
        <row r="634">
          <cell r="F634" t="str">
            <v xml:space="preserve">Pipa BS Ø 1-1/2" + Aksesois </v>
          </cell>
          <cell r="G634" t="str">
            <v>m'</v>
          </cell>
          <cell r="H634">
            <v>76666.666666666672</v>
          </cell>
        </row>
        <row r="635">
          <cell r="F635" t="str">
            <v>Pipa BS MED CLASS DN. 1-1/2" (40 mm) + fitting &amp; aksesoris</v>
          </cell>
          <cell r="G635" t="str">
            <v>m'</v>
          </cell>
          <cell r="H635">
            <v>77000</v>
          </cell>
        </row>
        <row r="636">
          <cell r="F636" t="str">
            <v xml:space="preserve">Pipa BS Ø 2" + Aksesois </v>
          </cell>
          <cell r="G636" t="str">
            <v>m'</v>
          </cell>
          <cell r="H636">
            <v>102666.66666666667</v>
          </cell>
        </row>
        <row r="637">
          <cell r="F637" t="str">
            <v>Pipa BS MED CLASS ; DN. 2" (50 mm) + fitting &amp; aksesoris</v>
          </cell>
          <cell r="G637" t="str">
            <v>m'</v>
          </cell>
          <cell r="H637">
            <v>103000</v>
          </cell>
        </row>
        <row r="638">
          <cell r="F638" t="str">
            <v xml:space="preserve">Pipa BS Ø 2-1/2" + Aksesois </v>
          </cell>
          <cell r="G638" t="str">
            <v>m'</v>
          </cell>
          <cell r="H638">
            <v>129333.33333333333</v>
          </cell>
        </row>
        <row r="639">
          <cell r="F639" t="str">
            <v>Pipa BS MED CLASS DN. 2-1/2" (65 mm) + fitting &amp; aksesoris</v>
          </cell>
          <cell r="G639" t="str">
            <v>m'</v>
          </cell>
          <cell r="H639">
            <v>130000</v>
          </cell>
        </row>
        <row r="640">
          <cell r="F640" t="str">
            <v xml:space="preserve">Pipa BS  Ø 3" + Aksesois </v>
          </cell>
          <cell r="G640" t="str">
            <v>m'</v>
          </cell>
          <cell r="H640">
            <v>165500</v>
          </cell>
        </row>
        <row r="641">
          <cell r="F641" t="str">
            <v>Pipa BS MED CLASS ; DN. 3" (80 mm) + fitting &amp; aksesoris</v>
          </cell>
          <cell r="G641" t="str">
            <v>m'</v>
          </cell>
          <cell r="H641">
            <v>166000</v>
          </cell>
        </row>
        <row r="642">
          <cell r="F642" t="str">
            <v xml:space="preserve">Pipa BS Ø 4" + Aksesois </v>
          </cell>
          <cell r="G642" t="str">
            <v>m'</v>
          </cell>
          <cell r="H642">
            <v>237166.66666666666</v>
          </cell>
        </row>
        <row r="643">
          <cell r="F643" t="str">
            <v>Pipa BS MED CLASS ; DN. 4" (100 mm) + fitting &amp; aksesoris</v>
          </cell>
          <cell r="G643" t="str">
            <v>m'</v>
          </cell>
          <cell r="H643">
            <v>237500</v>
          </cell>
        </row>
        <row r="644">
          <cell r="F644" t="str">
            <v xml:space="preserve">Pipa BS Ø 5" + Aksesois </v>
          </cell>
          <cell r="G644" t="str">
            <v>m'</v>
          </cell>
          <cell r="H644">
            <v>317166.66666666669</v>
          </cell>
        </row>
        <row r="645">
          <cell r="F645" t="str">
            <v>Pipa BS MED CLASS ; DN. 5" (125 mm) + fitting &amp; aksesoris</v>
          </cell>
          <cell r="G645" t="str">
            <v>m'</v>
          </cell>
          <cell r="H645">
            <v>317500</v>
          </cell>
        </row>
        <row r="646">
          <cell r="F646" t="str">
            <v xml:space="preserve">Pipa BS Ø 6" + Aksesois </v>
          </cell>
          <cell r="G646" t="str">
            <v>m'</v>
          </cell>
          <cell r="H646">
            <v>376500</v>
          </cell>
        </row>
        <row r="647">
          <cell r="F647" t="str">
            <v>Pipa BS MED CLASS ; DN. 6" (150 mm) + fitting &amp; aksesoris</v>
          </cell>
          <cell r="G647" t="str">
            <v>m'</v>
          </cell>
          <cell r="H647">
            <v>377000</v>
          </cell>
        </row>
        <row r="648">
          <cell r="F648" t="str">
            <v xml:space="preserve">Pipa BS Ø 8" + Aksesois </v>
          </cell>
          <cell r="G648" t="str">
            <v>m'</v>
          </cell>
          <cell r="H648">
            <v>663000</v>
          </cell>
        </row>
        <row r="649">
          <cell r="F649" t="str">
            <v>Pipa BS MED CLASS ; DN. 8" (200 mm) + fitting &amp; aksesoris</v>
          </cell>
          <cell r="G649" t="str">
            <v>m'</v>
          </cell>
          <cell r="H649">
            <v>663500</v>
          </cell>
        </row>
        <row r="650">
          <cell r="F650" t="str">
            <v>Pipa BS MED CLASS ; DN. 10" (250 mm) + fitting &amp; aksesoris</v>
          </cell>
          <cell r="G650" t="str">
            <v>m'</v>
          </cell>
          <cell r="H650">
            <v>756000</v>
          </cell>
        </row>
        <row r="651">
          <cell r="F651" t="str">
            <v xml:space="preserve">Pipa BS Ø 10" + Aksesois </v>
          </cell>
          <cell r="G651" t="str">
            <v>m'</v>
          </cell>
          <cell r="H651">
            <v>755916.66666666663</v>
          </cell>
        </row>
        <row r="652">
          <cell r="F652" t="str">
            <v>Pipa BS MED CLASS ; DN. 12" (300 mm) + fitting &amp; aksesoris</v>
          </cell>
          <cell r="G652" t="str">
            <v>m'</v>
          </cell>
          <cell r="H652">
            <v>883000</v>
          </cell>
        </row>
        <row r="653">
          <cell r="F653" t="str">
            <v xml:space="preserve">Pipa BS Ø 12" + Aksesois </v>
          </cell>
          <cell r="G653" t="str">
            <v>m'</v>
          </cell>
          <cell r="H653">
            <v>882666.66666666663</v>
          </cell>
        </row>
        <row r="654">
          <cell r="F654" t="str">
            <v>Pipa BS MED CLASS ; DN. 14" (350 mm) + fitting &amp; aksesoris</v>
          </cell>
          <cell r="G654" t="str">
            <v>m'</v>
          </cell>
          <cell r="H654">
            <v>1086000</v>
          </cell>
        </row>
        <row r="655">
          <cell r="F655" t="str">
            <v xml:space="preserve">Pipa BS Ø 14" + Aksesois </v>
          </cell>
          <cell r="G655" t="str">
            <v>m'</v>
          </cell>
          <cell r="H655">
            <v>1085500</v>
          </cell>
        </row>
        <row r="656">
          <cell r="F656" t="str">
            <v>Pipa BS MED CLASS ; DN. 16" (400 mm) + fitting &amp; aksesoris</v>
          </cell>
          <cell r="G656" t="str">
            <v>m'</v>
          </cell>
          <cell r="H656">
            <v>1241000</v>
          </cell>
        </row>
        <row r="657">
          <cell r="F657" t="str">
            <v xml:space="preserve">Pipa BS Ø 16" + Aksesois </v>
          </cell>
          <cell r="G657" t="str">
            <v>m'</v>
          </cell>
          <cell r="H657">
            <v>1240500</v>
          </cell>
        </row>
        <row r="658">
          <cell r="F658" t="str">
            <v>Pipa BS SCH 40 ; DN. 1/2" (15 mm) + fitting &amp; aksesoris</v>
          </cell>
          <cell r="G658" t="str">
            <v>m'</v>
          </cell>
          <cell r="H658">
            <v>250000</v>
          </cell>
        </row>
        <row r="659">
          <cell r="F659" t="str">
            <v>Pipa BS SCH 40 ; DN. 3/4" (20 mm) + fitting &amp; aksesoris</v>
          </cell>
          <cell r="G659" t="str">
            <v>m'</v>
          </cell>
          <cell r="H659">
            <v>260000</v>
          </cell>
        </row>
        <row r="660">
          <cell r="F660" t="str">
            <v>Pipa BS SCH 40 ; DN. 1-1/4" (32 mm) + fitting &amp; aksesoris</v>
          </cell>
          <cell r="G660" t="str">
            <v>m'</v>
          </cell>
          <cell r="H660">
            <v>270000</v>
          </cell>
        </row>
        <row r="661">
          <cell r="F661" t="str">
            <v>Pipa BS SCH 40 ; DN. 1-1/2" (40 mm) + fitting &amp; aksesoris</v>
          </cell>
          <cell r="G661" t="str">
            <v>m'</v>
          </cell>
          <cell r="H661">
            <v>280000</v>
          </cell>
        </row>
        <row r="662">
          <cell r="F662" t="str">
            <v>Pipa BS SCH 40 ; DN. 2" (50 mm) + fitting &amp; aksesoris</v>
          </cell>
          <cell r="G662" t="str">
            <v>m'</v>
          </cell>
          <cell r="H662">
            <v>290000</v>
          </cell>
        </row>
        <row r="663">
          <cell r="F663" t="str">
            <v>Pipa BS SCH 40 ; DN. 2-1/2" (65 mm) + fitting &amp; aksesoris</v>
          </cell>
          <cell r="G663" t="str">
            <v>m'</v>
          </cell>
          <cell r="H663">
            <v>300000</v>
          </cell>
        </row>
        <row r="664">
          <cell r="F664" t="str">
            <v>Pipa BS SCH 40 ; DN. 3" (80 mm) + fitting &amp; aksesoris</v>
          </cell>
          <cell r="G664" t="str">
            <v>m'</v>
          </cell>
          <cell r="H664">
            <v>310000</v>
          </cell>
        </row>
        <row r="665">
          <cell r="F665" t="str">
            <v>Pipa BS SCH 40 ; DN. 4" (100 mm) + fitting &amp; aksesoris</v>
          </cell>
          <cell r="G665" t="str">
            <v>m'</v>
          </cell>
          <cell r="H665">
            <v>320000</v>
          </cell>
        </row>
        <row r="666">
          <cell r="F666" t="str">
            <v>Pipa BS SCH 40 ; DN. 5" (125 mm) + fitting &amp; aksesoris</v>
          </cell>
          <cell r="G666" t="str">
            <v>m'</v>
          </cell>
          <cell r="H666">
            <v>330000</v>
          </cell>
        </row>
        <row r="667">
          <cell r="F667" t="str">
            <v>Pipa BS SCH 40 ; DN. 6" (150 mm) + fitting &amp; aksesoris</v>
          </cell>
          <cell r="G667" t="str">
            <v>m'</v>
          </cell>
          <cell r="H667">
            <v>340000</v>
          </cell>
        </row>
        <row r="668">
          <cell r="F668" t="str">
            <v>Pipa BS SCH 40 ; DN. 8" (200 mm) + fitting &amp; aksesoris</v>
          </cell>
          <cell r="G668" t="str">
            <v>m'</v>
          </cell>
          <cell r="H668">
            <v>350000</v>
          </cell>
        </row>
        <row r="669">
          <cell r="F669" t="str">
            <v>Pipa BS SCH 40 ; DN. 10" (250 mm) + fitting &amp; aksesoris</v>
          </cell>
          <cell r="G669" t="str">
            <v>m'</v>
          </cell>
          <cell r="H669">
            <v>360000</v>
          </cell>
        </row>
        <row r="670">
          <cell r="F670" t="str">
            <v>Pipa BS SCH 40 ; DN. 12" (300 mm) + fitting &amp; aksesoris</v>
          </cell>
          <cell r="G670" t="str">
            <v>m'</v>
          </cell>
          <cell r="H670">
            <v>370000</v>
          </cell>
        </row>
        <row r="671">
          <cell r="F671" t="str">
            <v>Pipa BS SCH 40 ; DN. 14" (350 mm) + fitting &amp; aksesoris</v>
          </cell>
          <cell r="G671" t="str">
            <v>m'</v>
          </cell>
          <cell r="H671">
            <v>380000</v>
          </cell>
        </row>
        <row r="672">
          <cell r="F672" t="str">
            <v>Pipa BS SCH 40 ; DN. 16" (400 mm) + fitting &amp; aksesoris</v>
          </cell>
          <cell r="G672" t="str">
            <v>m'</v>
          </cell>
          <cell r="H672">
            <v>390000</v>
          </cell>
        </row>
        <row r="673">
          <cell r="F673" t="str">
            <v>Pipa Tanah, DN. 6" (150 mm</v>
          </cell>
          <cell r="G673" t="str">
            <v>m'</v>
          </cell>
          <cell r="H673">
            <v>187500</v>
          </cell>
        </row>
        <row r="674">
          <cell r="F674" t="str">
            <v>Pipa Tanah, DN. 8" (200 mm)</v>
          </cell>
          <cell r="G674" t="str">
            <v>m'</v>
          </cell>
          <cell r="H674">
            <v>205000</v>
          </cell>
        </row>
        <row r="675">
          <cell r="F675" t="str">
            <v>Gate Valve dia. 1/2"</v>
          </cell>
          <cell r="G675" t="str">
            <v xml:space="preserve">unit </v>
          </cell>
          <cell r="H675">
            <v>1500000</v>
          </cell>
        </row>
        <row r="676">
          <cell r="F676" t="str">
            <v>Gate Valve dia. 3/4"</v>
          </cell>
          <cell r="G676" t="str">
            <v xml:space="preserve">unit </v>
          </cell>
          <cell r="H676">
            <v>1700000</v>
          </cell>
        </row>
        <row r="677">
          <cell r="F677" t="str">
            <v>Gate Valve dia. 1"</v>
          </cell>
          <cell r="G677" t="str">
            <v xml:space="preserve">unit </v>
          </cell>
          <cell r="H677">
            <v>1900000</v>
          </cell>
        </row>
        <row r="678">
          <cell r="F678" t="str">
            <v>Gate Valve dia. 1-1/4"</v>
          </cell>
          <cell r="G678" t="str">
            <v xml:space="preserve">unit </v>
          </cell>
          <cell r="H678">
            <v>2050000</v>
          </cell>
        </row>
        <row r="679">
          <cell r="F679" t="str">
            <v>Gate Valve dia. 1-1/2"</v>
          </cell>
          <cell r="G679" t="str">
            <v xml:space="preserve">unit </v>
          </cell>
          <cell r="H679">
            <v>2125000</v>
          </cell>
        </row>
        <row r="680">
          <cell r="F680" t="str">
            <v>Gate Valve dia.2"</v>
          </cell>
          <cell r="G680" t="str">
            <v xml:space="preserve">unit </v>
          </cell>
          <cell r="H680">
            <v>2315000</v>
          </cell>
        </row>
        <row r="681">
          <cell r="F681" t="str">
            <v>Gate Valve dia.2-1/2"</v>
          </cell>
          <cell r="G681" t="str">
            <v xml:space="preserve">unit </v>
          </cell>
          <cell r="H681">
            <v>2475000</v>
          </cell>
        </row>
        <row r="682">
          <cell r="F682" t="str">
            <v>Gate Valve dia.3"</v>
          </cell>
          <cell r="G682" t="str">
            <v xml:space="preserve">unit </v>
          </cell>
          <cell r="H682">
            <v>2750000</v>
          </cell>
        </row>
        <row r="683">
          <cell r="F683" t="str">
            <v>Gate Valve dia.4"</v>
          </cell>
          <cell r="G683" t="str">
            <v xml:space="preserve">unit </v>
          </cell>
          <cell r="H683">
            <v>2995000</v>
          </cell>
        </row>
        <row r="684">
          <cell r="F684" t="str">
            <v>Gate Valve dia.5"</v>
          </cell>
          <cell r="G684" t="str">
            <v xml:space="preserve">unit </v>
          </cell>
          <cell r="H684">
            <v>3250000</v>
          </cell>
        </row>
        <row r="685">
          <cell r="F685" t="str">
            <v>Gate Valve dia.6"</v>
          </cell>
          <cell r="G685" t="str">
            <v xml:space="preserve">unit </v>
          </cell>
          <cell r="H685">
            <v>3570000</v>
          </cell>
        </row>
        <row r="686">
          <cell r="F686" t="str">
            <v>Gate Valve dia.8"</v>
          </cell>
          <cell r="G686" t="str">
            <v xml:space="preserve">unit </v>
          </cell>
          <cell r="H686">
            <v>3950000</v>
          </cell>
        </row>
        <row r="687">
          <cell r="F687" t="str">
            <v>Gate Valve dia.10"</v>
          </cell>
          <cell r="G687" t="str">
            <v xml:space="preserve">unit </v>
          </cell>
          <cell r="H687">
            <v>4210000</v>
          </cell>
        </row>
        <row r="688">
          <cell r="F688" t="str">
            <v>Gate Valve dia.12"</v>
          </cell>
          <cell r="G688" t="str">
            <v xml:space="preserve">unit </v>
          </cell>
          <cell r="H688">
            <v>4520000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5750000</v>
          </cell>
        </row>
        <row r="690">
          <cell r="F690" t="str">
            <v>Ball Velve dia. 1/2"</v>
          </cell>
          <cell r="G690" t="str">
            <v xml:space="preserve">unit </v>
          </cell>
          <cell r="H690">
            <v>25000</v>
          </cell>
        </row>
        <row r="691">
          <cell r="F691" t="str">
            <v>Ball Velve dia. 3/4"</v>
          </cell>
          <cell r="G691" t="str">
            <v xml:space="preserve">unit </v>
          </cell>
          <cell r="H691">
            <v>36750</v>
          </cell>
        </row>
        <row r="692">
          <cell r="F692" t="str">
            <v>Ball Velve dia. 1"</v>
          </cell>
          <cell r="G692" t="str">
            <v xml:space="preserve">unit </v>
          </cell>
          <cell r="H692">
            <v>46100</v>
          </cell>
        </row>
        <row r="693">
          <cell r="F693" t="str">
            <v>Ball Velve dia. 1-1/4"</v>
          </cell>
          <cell r="G693" t="str">
            <v xml:space="preserve">unit </v>
          </cell>
          <cell r="H693">
            <v>68000</v>
          </cell>
        </row>
        <row r="694">
          <cell r="F694" t="str">
            <v>Ball Velve dia. 1-1/2"</v>
          </cell>
          <cell r="G694" t="str">
            <v xml:space="preserve">unit </v>
          </cell>
          <cell r="H694">
            <v>79000</v>
          </cell>
        </row>
        <row r="695">
          <cell r="F695" t="str">
            <v>Ball Velve dia. 2"</v>
          </cell>
          <cell r="G695" t="str">
            <v xml:space="preserve">unit </v>
          </cell>
          <cell r="H695">
            <v>118000</v>
          </cell>
        </row>
        <row r="696">
          <cell r="F696" t="str">
            <v>Ball Velve dia. 2-1/2"</v>
          </cell>
          <cell r="G696" t="str">
            <v xml:space="preserve">unit </v>
          </cell>
          <cell r="H696">
            <v>145000</v>
          </cell>
        </row>
        <row r="697">
          <cell r="F697" t="str">
            <v>Ball Velve dia. 3"</v>
          </cell>
          <cell r="G697" t="str">
            <v xml:space="preserve">unit </v>
          </cell>
          <cell r="H697">
            <v>215000</v>
          </cell>
        </row>
        <row r="698">
          <cell r="F698" t="str">
            <v>Ball Velve dia. 4"</v>
          </cell>
          <cell r="G698" t="str">
            <v xml:space="preserve">unit </v>
          </cell>
          <cell r="H698">
            <v>233300</v>
          </cell>
        </row>
        <row r="699">
          <cell r="F699" t="str">
            <v>Check Velve dia. 1/2"</v>
          </cell>
          <cell r="G699" t="str">
            <v xml:space="preserve">unit </v>
          </cell>
          <cell r="H699">
            <v>39000</v>
          </cell>
        </row>
        <row r="700">
          <cell r="F700" t="str">
            <v>Check Velve dia. 3/4"</v>
          </cell>
          <cell r="G700" t="str">
            <v xml:space="preserve">unit </v>
          </cell>
          <cell r="H700">
            <v>59000</v>
          </cell>
        </row>
        <row r="701">
          <cell r="F701" t="str">
            <v>Check Velve dia. 1"</v>
          </cell>
          <cell r="G701" t="str">
            <v xml:space="preserve">unit </v>
          </cell>
          <cell r="H701">
            <v>88350</v>
          </cell>
        </row>
        <row r="702">
          <cell r="F702" t="str">
            <v>Check Velve dia. 1-1/4"</v>
          </cell>
          <cell r="G702" t="str">
            <v xml:space="preserve">unit </v>
          </cell>
          <cell r="H702">
            <v>110960</v>
          </cell>
        </row>
        <row r="703">
          <cell r="F703" t="str">
            <v>Check Velve dia. 1-1/2"</v>
          </cell>
          <cell r="G703" t="str">
            <v xml:space="preserve">unit </v>
          </cell>
          <cell r="H703">
            <v>148960</v>
          </cell>
        </row>
        <row r="704">
          <cell r="F704" t="str">
            <v>Check Velve dia. 2"</v>
          </cell>
          <cell r="G704" t="str">
            <v xml:space="preserve">unit </v>
          </cell>
          <cell r="H704">
            <v>215460</v>
          </cell>
        </row>
        <row r="705">
          <cell r="F705" t="str">
            <v>Check Velve dia. 2-1/2"</v>
          </cell>
          <cell r="G705" t="str">
            <v xml:space="preserve">unit </v>
          </cell>
          <cell r="H705">
            <v>265000</v>
          </cell>
        </row>
        <row r="706">
          <cell r="F706" t="str">
            <v>Check Velve dia. 3"</v>
          </cell>
          <cell r="G706" t="str">
            <v xml:space="preserve">unit </v>
          </cell>
          <cell r="H706">
            <v>587000</v>
          </cell>
        </row>
        <row r="707">
          <cell r="F707" t="str">
            <v>Check Velve dia. 4"</v>
          </cell>
          <cell r="G707" t="str">
            <v xml:space="preserve">unit </v>
          </cell>
          <cell r="H707">
            <v>1440000</v>
          </cell>
        </row>
        <row r="708">
          <cell r="F708" t="str">
            <v>Check Velve dia. 5"</v>
          </cell>
          <cell r="G708" t="str">
            <v xml:space="preserve">unit </v>
          </cell>
          <cell r="H708">
            <v>2750000</v>
          </cell>
        </row>
        <row r="709">
          <cell r="F709" t="str">
            <v>Check Velve dia. 6"</v>
          </cell>
          <cell r="G709" t="str">
            <v xml:space="preserve">unit </v>
          </cell>
          <cell r="H709">
            <v>3050000</v>
          </cell>
        </row>
        <row r="710">
          <cell r="F710" t="str">
            <v>Check Velve dia. 8"</v>
          </cell>
          <cell r="G710" t="str">
            <v xml:space="preserve">unit </v>
          </cell>
          <cell r="H710">
            <v>3470000</v>
          </cell>
        </row>
        <row r="711">
          <cell r="F711" t="str">
            <v>Check Velve dia. 10"</v>
          </cell>
          <cell r="G711" t="str">
            <v xml:space="preserve">unit </v>
          </cell>
          <cell r="H711">
            <v>3680000</v>
          </cell>
        </row>
        <row r="712">
          <cell r="F712" t="str">
            <v>Check Velve dia. 12"</v>
          </cell>
          <cell r="G712" t="str">
            <v xml:space="preserve">unit </v>
          </cell>
          <cell r="H712">
            <v>3970000</v>
          </cell>
        </row>
        <row r="713">
          <cell r="F713" t="str">
            <v>Strainer dia. 1/2"</v>
          </cell>
          <cell r="G713" t="str">
            <v xml:space="preserve">unit </v>
          </cell>
          <cell r="H713">
            <v>36000</v>
          </cell>
        </row>
        <row r="714">
          <cell r="F714" t="str">
            <v>Strainer dia. 3/4"</v>
          </cell>
          <cell r="G714" t="str">
            <v xml:space="preserve">unit </v>
          </cell>
          <cell r="H714">
            <v>47000</v>
          </cell>
        </row>
        <row r="715">
          <cell r="F715" t="str">
            <v>Strainer dia. 1"</v>
          </cell>
          <cell r="G715" t="str">
            <v xml:space="preserve">unit </v>
          </cell>
          <cell r="H715">
            <v>59000</v>
          </cell>
        </row>
        <row r="716">
          <cell r="F716" t="str">
            <v>Strainer dia. 1-1/4"</v>
          </cell>
          <cell r="G716" t="str">
            <v xml:space="preserve">unit </v>
          </cell>
          <cell r="H716">
            <v>95600</v>
          </cell>
        </row>
        <row r="717">
          <cell r="F717" t="str">
            <v>Strainer dia. 1-1/2"</v>
          </cell>
          <cell r="G717" t="str">
            <v xml:space="preserve">unit </v>
          </cell>
          <cell r="H717">
            <v>143000</v>
          </cell>
        </row>
        <row r="718">
          <cell r="F718" t="str">
            <v>Strainer dia. 2"</v>
          </cell>
          <cell r="G718" t="str">
            <v xml:space="preserve">unit </v>
          </cell>
          <cell r="H718">
            <v>303600</v>
          </cell>
        </row>
        <row r="719">
          <cell r="F719" t="str">
            <v>Strainer dia. 2-1/2"</v>
          </cell>
          <cell r="G719" t="str">
            <v xml:space="preserve">unit </v>
          </cell>
          <cell r="H719">
            <v>415600</v>
          </cell>
        </row>
        <row r="720">
          <cell r="F720" t="str">
            <v>Strainer dia. 3"</v>
          </cell>
          <cell r="G720" t="str">
            <v xml:space="preserve">unit </v>
          </cell>
          <cell r="H720">
            <v>552000</v>
          </cell>
        </row>
        <row r="721">
          <cell r="F721" t="str">
            <v>Strainer dia. 4"</v>
          </cell>
          <cell r="G721" t="str">
            <v xml:space="preserve">unit </v>
          </cell>
          <cell r="H721">
            <v>809600</v>
          </cell>
        </row>
        <row r="722">
          <cell r="F722" t="str">
            <v>Strainer dia. 5"</v>
          </cell>
          <cell r="G722" t="str">
            <v xml:space="preserve">unit </v>
          </cell>
          <cell r="H722">
            <v>873000</v>
          </cell>
        </row>
        <row r="723">
          <cell r="F723" t="str">
            <v>Strainer dia. 6"</v>
          </cell>
          <cell r="G723" t="str">
            <v xml:space="preserve">unit </v>
          </cell>
          <cell r="H723">
            <v>970500</v>
          </cell>
        </row>
        <row r="724">
          <cell r="F724" t="str">
            <v>Strainer dia. 8"</v>
          </cell>
          <cell r="G724" t="str">
            <v xml:space="preserve">unit </v>
          </cell>
          <cell r="H724">
            <v>1260000</v>
          </cell>
        </row>
        <row r="725">
          <cell r="F725" t="str">
            <v>Strainer dia. 10"</v>
          </cell>
          <cell r="G725" t="str">
            <v xml:space="preserve">unit </v>
          </cell>
          <cell r="H725">
            <v>1540000</v>
          </cell>
        </row>
        <row r="726">
          <cell r="F726" t="str">
            <v>Strainer dia. 12"</v>
          </cell>
          <cell r="G726" t="str">
            <v xml:space="preserve">unit </v>
          </cell>
          <cell r="H726">
            <v>1670000</v>
          </cell>
        </row>
        <row r="727">
          <cell r="F727" t="str">
            <v>Strainer dia. 14"</v>
          </cell>
          <cell r="G727" t="str">
            <v xml:space="preserve">unit </v>
          </cell>
          <cell r="H727">
            <v>1820000</v>
          </cell>
        </row>
        <row r="728">
          <cell r="F728" t="str">
            <v>Floater Velve dia. 1/2"</v>
          </cell>
          <cell r="G728" t="str">
            <v xml:space="preserve">unit </v>
          </cell>
          <cell r="H728">
            <v>221000</v>
          </cell>
        </row>
        <row r="729">
          <cell r="F729" t="str">
            <v>Floater Velve dia. 3/4"</v>
          </cell>
          <cell r="G729" t="str">
            <v xml:space="preserve">unit </v>
          </cell>
          <cell r="H729">
            <v>250000</v>
          </cell>
        </row>
        <row r="730">
          <cell r="F730" t="str">
            <v>Floater Velve dia. 1"</v>
          </cell>
          <cell r="G730" t="str">
            <v xml:space="preserve">unit </v>
          </cell>
          <cell r="H730">
            <v>375000</v>
          </cell>
        </row>
        <row r="731">
          <cell r="F731" t="str">
            <v>Floater Velve dia. 1-1/4"</v>
          </cell>
          <cell r="G731" t="str">
            <v xml:space="preserve">unit </v>
          </cell>
          <cell r="H731">
            <v>485000</v>
          </cell>
        </row>
        <row r="732">
          <cell r="F732" t="str">
            <v>Floater Velve dia. 1-1/2"</v>
          </cell>
          <cell r="G732" t="str">
            <v xml:space="preserve">unit </v>
          </cell>
          <cell r="H732">
            <v>630000</v>
          </cell>
        </row>
        <row r="733">
          <cell r="F733" t="str">
            <v>Floater Velve dia. 2"</v>
          </cell>
          <cell r="G733" t="str">
            <v xml:space="preserve">unit </v>
          </cell>
          <cell r="H733">
            <v>870000</v>
          </cell>
        </row>
        <row r="734">
          <cell r="F734" t="str">
            <v>Floater Velve dia. 2-1/2"</v>
          </cell>
          <cell r="G734" t="str">
            <v xml:space="preserve">unit </v>
          </cell>
          <cell r="H734">
            <v>980000</v>
          </cell>
        </row>
        <row r="735">
          <cell r="F735" t="str">
            <v>Floater Velve dia. 3"</v>
          </cell>
          <cell r="G735" t="str">
            <v xml:space="preserve">unit </v>
          </cell>
          <cell r="H735">
            <v>1170000</v>
          </cell>
        </row>
        <row r="736">
          <cell r="F736" t="str">
            <v>Floater Velve dia. 4"</v>
          </cell>
          <cell r="G736" t="str">
            <v xml:space="preserve">unit </v>
          </cell>
          <cell r="H736">
            <v>1370000</v>
          </cell>
        </row>
        <row r="737">
          <cell r="F737" t="str">
            <v>Floater Velve dia. 5"</v>
          </cell>
          <cell r="G737" t="str">
            <v xml:space="preserve">unit </v>
          </cell>
          <cell r="H737">
            <v>1520000</v>
          </cell>
        </row>
        <row r="738">
          <cell r="F738" t="str">
            <v>Floater Velve dia. 6"</v>
          </cell>
          <cell r="G738" t="str">
            <v xml:space="preserve">unit </v>
          </cell>
          <cell r="H738">
            <v>1740000</v>
          </cell>
        </row>
        <row r="739">
          <cell r="F739" t="str">
            <v>Floater Velve dia. 8"</v>
          </cell>
          <cell r="G739" t="str">
            <v xml:space="preserve">unit </v>
          </cell>
          <cell r="H739">
            <v>1960000</v>
          </cell>
        </row>
        <row r="740">
          <cell r="F740" t="str">
            <v>Floater Velve dia. 10"</v>
          </cell>
          <cell r="G740" t="str">
            <v xml:space="preserve">unit </v>
          </cell>
          <cell r="H740">
            <v>2130000</v>
          </cell>
        </row>
        <row r="741">
          <cell r="F741" t="str">
            <v>Floater Velve dia. 12"</v>
          </cell>
          <cell r="G741" t="str">
            <v xml:space="preserve">unit </v>
          </cell>
          <cell r="H741">
            <v>2480000</v>
          </cell>
        </row>
        <row r="742">
          <cell r="F742" t="str">
            <v>Foot Velve dia. 1/2"</v>
          </cell>
          <cell r="G742" t="str">
            <v xml:space="preserve">unit </v>
          </cell>
          <cell r="H742">
            <v>21450</v>
          </cell>
        </row>
        <row r="743">
          <cell r="F743" t="str">
            <v>Foot Velve dia. 3/4"</v>
          </cell>
          <cell r="G743" t="str">
            <v xml:space="preserve">unit </v>
          </cell>
          <cell r="H743">
            <v>69400</v>
          </cell>
        </row>
        <row r="744">
          <cell r="F744" t="str">
            <v>Foot Velve dia. 1"</v>
          </cell>
          <cell r="G744" t="str">
            <v xml:space="preserve">unit </v>
          </cell>
          <cell r="H744">
            <v>83800</v>
          </cell>
        </row>
        <row r="745">
          <cell r="F745" t="str">
            <v>Foot Velve dia. 1-1/4"</v>
          </cell>
          <cell r="G745" t="str">
            <v xml:space="preserve">unit </v>
          </cell>
          <cell r="H745">
            <v>134600</v>
          </cell>
        </row>
        <row r="746">
          <cell r="F746" t="str">
            <v>Foot Velve dia. 1-1/2"</v>
          </cell>
          <cell r="G746" t="str">
            <v xml:space="preserve">unit </v>
          </cell>
          <cell r="H746">
            <v>202000</v>
          </cell>
        </row>
        <row r="747">
          <cell r="F747" t="str">
            <v>Foot Velve dia. 2"</v>
          </cell>
          <cell r="G747" t="str">
            <v xml:space="preserve">unit </v>
          </cell>
          <cell r="H747">
            <v>331300</v>
          </cell>
        </row>
        <row r="748">
          <cell r="F748" t="str">
            <v>Foot Velve dia. 2-1/2"</v>
          </cell>
          <cell r="G748" t="str">
            <v xml:space="preserve">unit </v>
          </cell>
          <cell r="H748">
            <v>348000</v>
          </cell>
        </row>
        <row r="749">
          <cell r="F749" t="str">
            <v>Foot Velve dia. 3"</v>
          </cell>
          <cell r="G749" t="str">
            <v xml:space="preserve">unit </v>
          </cell>
          <cell r="H749">
            <v>609000</v>
          </cell>
        </row>
        <row r="750">
          <cell r="F750" t="str">
            <v>Foot Velve dia. 4"</v>
          </cell>
          <cell r="G750" t="str">
            <v xml:space="preserve">unit </v>
          </cell>
          <cell r="H750">
            <v>870000</v>
          </cell>
        </row>
        <row r="751">
          <cell r="F751" t="str">
            <v>Foot Velve dia. 5"</v>
          </cell>
          <cell r="G751" t="str">
            <v xml:space="preserve">unit </v>
          </cell>
          <cell r="H751">
            <v>920500</v>
          </cell>
        </row>
        <row r="752">
          <cell r="F752" t="str">
            <v>Foot Velve dia. 6"</v>
          </cell>
          <cell r="G752" t="str">
            <v xml:space="preserve">unit </v>
          </cell>
          <cell r="H752">
            <v>1055000</v>
          </cell>
        </row>
        <row r="753">
          <cell r="F753" t="str">
            <v>Foot Velve dia. 8"</v>
          </cell>
          <cell r="G753" t="str">
            <v xml:space="preserve">unit </v>
          </cell>
          <cell r="H753">
            <v>1315000</v>
          </cell>
        </row>
        <row r="754">
          <cell r="F754" t="str">
            <v>Foot Velve dia. 10"</v>
          </cell>
          <cell r="G754" t="str">
            <v xml:space="preserve">unit </v>
          </cell>
          <cell r="H754">
            <v>1525000</v>
          </cell>
        </row>
        <row r="755">
          <cell r="F755" t="str">
            <v>Foot Velve dia. 12"</v>
          </cell>
          <cell r="G755" t="str">
            <v xml:space="preserve">unit </v>
          </cell>
          <cell r="H755">
            <v>1740000</v>
          </cell>
        </row>
        <row r="756">
          <cell r="F756" t="str">
            <v>Foot Velve dia. 14"</v>
          </cell>
          <cell r="G756" t="str">
            <v xml:space="preserve">unit </v>
          </cell>
          <cell r="H756">
            <v>1980000</v>
          </cell>
        </row>
        <row r="757">
          <cell r="F757" t="str">
            <v>Flexible Joint dia. 1/2"</v>
          </cell>
          <cell r="G757" t="str">
            <v xml:space="preserve">unit </v>
          </cell>
          <cell r="H757">
            <v>33600</v>
          </cell>
        </row>
        <row r="758">
          <cell r="F758" t="str">
            <v>Flexible Joint dia. 3/4"</v>
          </cell>
          <cell r="G758" t="str">
            <v xml:space="preserve">unit </v>
          </cell>
          <cell r="H758">
            <v>46500</v>
          </cell>
        </row>
        <row r="759">
          <cell r="F759" t="str">
            <v>Flexible Joint dia. 1"</v>
          </cell>
          <cell r="G759" t="str">
            <v xml:space="preserve">unit </v>
          </cell>
          <cell r="H759">
            <v>87500</v>
          </cell>
        </row>
        <row r="760">
          <cell r="F760" t="str">
            <v>Flexible Joint dia. 1-1/4"</v>
          </cell>
          <cell r="G760" t="str">
            <v xml:space="preserve">unit </v>
          </cell>
          <cell r="H760">
            <v>97800</v>
          </cell>
        </row>
        <row r="761">
          <cell r="F761" t="str">
            <v>Flexible Joint dia. 1-1/2"</v>
          </cell>
          <cell r="G761" t="str">
            <v xml:space="preserve">unit </v>
          </cell>
          <cell r="H761">
            <v>105700</v>
          </cell>
        </row>
        <row r="762">
          <cell r="F762" t="str">
            <v>Flexible Joint dia. 2"</v>
          </cell>
          <cell r="G762" t="str">
            <v xml:space="preserve">unit </v>
          </cell>
          <cell r="H762">
            <v>136500</v>
          </cell>
        </row>
        <row r="763">
          <cell r="F763" t="str">
            <v>Flexible Joint dia. 2-1/2"</v>
          </cell>
          <cell r="G763" t="str">
            <v xml:space="preserve">unit </v>
          </cell>
          <cell r="H763">
            <v>157900</v>
          </cell>
        </row>
        <row r="764">
          <cell r="F764" t="str">
            <v>Flexible Joint dia. 3"</v>
          </cell>
          <cell r="G764" t="str">
            <v xml:space="preserve">unit </v>
          </cell>
          <cell r="H764">
            <v>165400</v>
          </cell>
        </row>
        <row r="765">
          <cell r="F765" t="str">
            <v>Flexible Joint dia. 4"</v>
          </cell>
          <cell r="G765" t="str">
            <v xml:space="preserve">unit </v>
          </cell>
          <cell r="H765">
            <v>360000</v>
          </cell>
        </row>
        <row r="766">
          <cell r="F766" t="str">
            <v>Flexible Joint dia. 5"</v>
          </cell>
          <cell r="G766" t="str">
            <v xml:space="preserve">unit </v>
          </cell>
          <cell r="H766">
            <v>740900</v>
          </cell>
        </row>
        <row r="767">
          <cell r="F767" t="str">
            <v>Flexible Joint dia. 6"</v>
          </cell>
          <cell r="G767" t="str">
            <v xml:space="preserve">unit </v>
          </cell>
          <cell r="H767">
            <v>937500</v>
          </cell>
        </row>
        <row r="768">
          <cell r="F768" t="str">
            <v>Flexible Joint dia. 8"</v>
          </cell>
          <cell r="G768" t="str">
            <v xml:space="preserve">unit </v>
          </cell>
          <cell r="H768">
            <v>1050900</v>
          </cell>
        </row>
        <row r="769">
          <cell r="F769" t="str">
            <v>Flexible Joint dia. 10"</v>
          </cell>
          <cell r="G769" t="str">
            <v xml:space="preserve">unit </v>
          </cell>
          <cell r="H769">
            <v>1345000</v>
          </cell>
        </row>
        <row r="770">
          <cell r="F770" t="str">
            <v>Flexible Joint dia. 12"</v>
          </cell>
          <cell r="G770" t="str">
            <v xml:space="preserve">unit </v>
          </cell>
          <cell r="H770">
            <v>1678000</v>
          </cell>
        </row>
        <row r="771">
          <cell r="F771" t="str">
            <v>Flexible Joint dia. 14"</v>
          </cell>
          <cell r="G771" t="str">
            <v xml:space="preserve">unit </v>
          </cell>
          <cell r="H771">
            <v>1945000</v>
          </cell>
        </row>
        <row r="772">
          <cell r="F772" t="str">
            <v>Butterfly Velve dia. 2"</v>
          </cell>
          <cell r="G772" t="str">
            <v xml:space="preserve">unit </v>
          </cell>
          <cell r="H772">
            <v>136100</v>
          </cell>
        </row>
        <row r="773">
          <cell r="F773" t="str">
            <v>Butterfly Velve dia. 2-1/2"</v>
          </cell>
          <cell r="G773" t="str">
            <v xml:space="preserve">unit </v>
          </cell>
          <cell r="H773">
            <v>170700</v>
          </cell>
        </row>
        <row r="774">
          <cell r="F774" t="str">
            <v>Butterfly Velve dia. 3"</v>
          </cell>
          <cell r="G774" t="str">
            <v xml:space="preserve">unit </v>
          </cell>
          <cell r="H774">
            <v>276400</v>
          </cell>
        </row>
        <row r="775">
          <cell r="F775" t="str">
            <v>Butterfly Velve dia. 4"</v>
          </cell>
          <cell r="G775" t="str">
            <v xml:space="preserve">unit </v>
          </cell>
          <cell r="H775">
            <v>303600</v>
          </cell>
        </row>
        <row r="776">
          <cell r="F776" t="str">
            <v>Butterfly Velve dia. 5"</v>
          </cell>
          <cell r="G776" t="str">
            <v xml:space="preserve">unit </v>
          </cell>
          <cell r="H776">
            <v>515200</v>
          </cell>
        </row>
        <row r="777">
          <cell r="F777" t="str">
            <v>Butterfly Velve dia. 6"</v>
          </cell>
          <cell r="G777" t="str">
            <v xml:space="preserve">unit </v>
          </cell>
          <cell r="H777">
            <v>829300</v>
          </cell>
        </row>
        <row r="778">
          <cell r="F778" t="str">
            <v>Butterfly Velve dia. 8"</v>
          </cell>
          <cell r="G778" t="str">
            <v xml:space="preserve">unit </v>
          </cell>
          <cell r="H778">
            <v>1364500</v>
          </cell>
        </row>
        <row r="779">
          <cell r="F779" t="str">
            <v>Butterfly Velve dia. 10"</v>
          </cell>
          <cell r="G779" t="str">
            <v xml:space="preserve">unit </v>
          </cell>
          <cell r="H779">
            <v>1808900</v>
          </cell>
        </row>
        <row r="780">
          <cell r="F780" t="str">
            <v>Butterfly Velve dia. 12"</v>
          </cell>
          <cell r="G780" t="str">
            <v xml:space="preserve">unit </v>
          </cell>
          <cell r="H780">
            <v>2170800</v>
          </cell>
        </row>
        <row r="781">
          <cell r="F781" t="str">
            <v>Globe Velve dia. 1/2"</v>
          </cell>
          <cell r="G781" t="str">
            <v xml:space="preserve">unit </v>
          </cell>
          <cell r="H781">
            <v>104500</v>
          </cell>
        </row>
        <row r="782">
          <cell r="F782" t="str">
            <v>Globe Velve dia. 3/4"</v>
          </cell>
          <cell r="G782" t="str">
            <v xml:space="preserve">unit </v>
          </cell>
          <cell r="H782">
            <v>118000</v>
          </cell>
        </row>
        <row r="783">
          <cell r="F783" t="str">
            <v>Globe Velve dia. 1"</v>
          </cell>
          <cell r="G783" t="str">
            <v xml:space="preserve">unit </v>
          </cell>
          <cell r="H783">
            <v>140500</v>
          </cell>
        </row>
        <row r="784">
          <cell r="F784" t="str">
            <v>Globe Velve dia. 1-1/4"</v>
          </cell>
          <cell r="G784" t="str">
            <v xml:space="preserve">unit </v>
          </cell>
          <cell r="H784">
            <v>189900</v>
          </cell>
        </row>
        <row r="785">
          <cell r="F785" t="str">
            <v>Globe Velve dia. 1-1/2"</v>
          </cell>
          <cell r="G785" t="str">
            <v xml:space="preserve">unit </v>
          </cell>
          <cell r="H785">
            <v>252900</v>
          </cell>
        </row>
        <row r="786">
          <cell r="F786" t="str">
            <v>Globe Velve dia. 2"</v>
          </cell>
          <cell r="G786" t="str">
            <v xml:space="preserve">unit </v>
          </cell>
          <cell r="H786">
            <v>966300</v>
          </cell>
        </row>
        <row r="787">
          <cell r="F787" t="str">
            <v>Globe Velve dia. 2-1/2"</v>
          </cell>
          <cell r="G787" t="str">
            <v xml:space="preserve">unit </v>
          </cell>
          <cell r="H787">
            <v>1214300</v>
          </cell>
        </row>
        <row r="788">
          <cell r="F788" t="str">
            <v>Globe Velve dia. 3"</v>
          </cell>
          <cell r="G788" t="str">
            <v xml:space="preserve">unit </v>
          </cell>
          <cell r="H788">
            <v>1573100</v>
          </cell>
        </row>
        <row r="789">
          <cell r="F789" t="str">
            <v>Globe Velve dia. 4"</v>
          </cell>
          <cell r="G789" t="str">
            <v xml:space="preserve">unit </v>
          </cell>
          <cell r="H789">
            <v>2121400</v>
          </cell>
        </row>
        <row r="790">
          <cell r="F790" t="str">
            <v>Globe Velve dia. 5"</v>
          </cell>
          <cell r="G790" t="str">
            <v xml:space="preserve">unit </v>
          </cell>
          <cell r="H790">
            <v>3890000</v>
          </cell>
        </row>
        <row r="791">
          <cell r="F791" t="str">
            <v>Globe Velve dia. 6"</v>
          </cell>
          <cell r="G791" t="str">
            <v xml:space="preserve">unit </v>
          </cell>
          <cell r="H791">
            <v>4996000</v>
          </cell>
        </row>
        <row r="792">
          <cell r="F792" t="str">
            <v>Globe Velve dia. 8"</v>
          </cell>
          <cell r="G792" t="str">
            <v xml:space="preserve">unit </v>
          </cell>
          <cell r="H792">
            <v>5740000</v>
          </cell>
        </row>
        <row r="793">
          <cell r="F793" t="str">
            <v>Pressure Gauge dia. 1/2"</v>
          </cell>
          <cell r="G793" t="str">
            <v xml:space="preserve">unit </v>
          </cell>
          <cell r="H793">
            <v>58000</v>
          </cell>
        </row>
        <row r="794">
          <cell r="F794" t="str">
            <v>Pressure Gauge dia. 1"</v>
          </cell>
          <cell r="G794" t="str">
            <v xml:space="preserve">unit </v>
          </cell>
          <cell r="H794">
            <v>79800</v>
          </cell>
        </row>
        <row r="795">
          <cell r="F795" t="str">
            <v>Pressure Gauge dia. 2"</v>
          </cell>
          <cell r="G795" t="str">
            <v xml:space="preserve">unit </v>
          </cell>
          <cell r="H795">
            <v>123000</v>
          </cell>
        </row>
        <row r="796">
          <cell r="F796" t="str">
            <v>Pressure Gauge dia. 2-1/2"</v>
          </cell>
          <cell r="G796" t="str">
            <v xml:space="preserve">unit </v>
          </cell>
          <cell r="H796">
            <v>132700</v>
          </cell>
        </row>
        <row r="797">
          <cell r="F797" t="str">
            <v>Pressure Gauge dia. 3"</v>
          </cell>
          <cell r="G797" t="str">
            <v xml:space="preserve">unit </v>
          </cell>
          <cell r="H797">
            <v>165400</v>
          </cell>
        </row>
        <row r="798">
          <cell r="F798" t="str">
            <v>Pressure Gauge dia. 4"</v>
          </cell>
          <cell r="G798" t="str">
            <v xml:space="preserve">unit </v>
          </cell>
          <cell r="H798">
            <v>218500</v>
          </cell>
        </row>
        <row r="799">
          <cell r="F799" t="str">
            <v>Water Meter dia. 1/2"</v>
          </cell>
          <cell r="G799" t="str">
            <v xml:space="preserve">Bh </v>
          </cell>
          <cell r="H799">
            <v>270750</v>
          </cell>
        </row>
        <row r="800">
          <cell r="F800" t="str">
            <v>Water Meter dia. 3/4"</v>
          </cell>
          <cell r="G800" t="str">
            <v xml:space="preserve">Bh </v>
          </cell>
          <cell r="H800">
            <v>655914</v>
          </cell>
        </row>
        <row r="801">
          <cell r="F801" t="str">
            <v>Water Meter dia. 1"</v>
          </cell>
          <cell r="G801" t="str">
            <v xml:space="preserve">Bh </v>
          </cell>
          <cell r="H801">
            <v>1416800</v>
          </cell>
        </row>
        <row r="802">
          <cell r="F802" t="str">
            <v>Water Meter dia. 1-1/2"</v>
          </cell>
          <cell r="G802" t="str">
            <v xml:space="preserve">Bh </v>
          </cell>
          <cell r="H802">
            <v>1740600</v>
          </cell>
        </row>
        <row r="803">
          <cell r="F803" t="str">
            <v>Water Meter dia. 2"</v>
          </cell>
          <cell r="G803" t="str">
            <v xml:space="preserve">Bh </v>
          </cell>
          <cell r="H803">
            <v>2392000</v>
          </cell>
        </row>
        <row r="804">
          <cell r="F804" t="str">
            <v>Water Meter dia. 3"</v>
          </cell>
          <cell r="G804" t="str">
            <v xml:space="preserve">Bh </v>
          </cell>
          <cell r="H804">
            <v>2700000</v>
          </cell>
        </row>
        <row r="805">
          <cell r="F805" t="str">
            <v>Water Meter dia. 4"</v>
          </cell>
          <cell r="G805" t="str">
            <v xml:space="preserve">Bh </v>
          </cell>
          <cell r="H805">
            <v>2980000</v>
          </cell>
        </row>
        <row r="806">
          <cell r="F806" t="str">
            <v>Water Meter dia. 6"</v>
          </cell>
          <cell r="G806" t="str">
            <v xml:space="preserve">Bh </v>
          </cell>
          <cell r="H806">
            <v>3540900</v>
          </cell>
        </row>
        <row r="807">
          <cell r="F807" t="str">
            <v>Water Meter dia. 8"</v>
          </cell>
          <cell r="G807" t="str">
            <v xml:space="preserve">Bh </v>
          </cell>
          <cell r="H807">
            <v>3947000</v>
          </cell>
        </row>
        <row r="808">
          <cell r="F808" t="str">
            <v>Water Meter dia. 10"</v>
          </cell>
          <cell r="G808" t="str">
            <v xml:space="preserve">Bh </v>
          </cell>
          <cell r="H808">
            <v>4230900</v>
          </cell>
        </row>
        <row r="809">
          <cell r="F809" t="str">
            <v>Water Meter dia. 12"</v>
          </cell>
          <cell r="G809" t="str">
            <v xml:space="preserve">Bh </v>
          </cell>
          <cell r="H809">
            <v>4560000</v>
          </cell>
        </row>
        <row r="810">
          <cell r="F810" t="str">
            <v>Water Meter dia. 16"</v>
          </cell>
          <cell r="G810" t="str">
            <v xml:space="preserve">Bh </v>
          </cell>
          <cell r="H810">
            <v>4760900</v>
          </cell>
        </row>
        <row r="811">
          <cell r="F811" t="str">
            <v>Flow Meter Analog dia.4"</v>
          </cell>
          <cell r="G811" t="str">
            <v xml:space="preserve">bh </v>
          </cell>
          <cell r="H811">
            <v>2449000</v>
          </cell>
        </row>
        <row r="812">
          <cell r="F812" t="str">
            <v>Clean Out dia. 2"</v>
          </cell>
          <cell r="G812" t="str">
            <v xml:space="preserve">bh </v>
          </cell>
          <cell r="H812">
            <v>47500</v>
          </cell>
        </row>
        <row r="813">
          <cell r="F813" t="str">
            <v>Clean Out dia. 2-1/2"</v>
          </cell>
          <cell r="G813" t="str">
            <v xml:space="preserve">bh </v>
          </cell>
          <cell r="H813">
            <v>56700</v>
          </cell>
        </row>
        <row r="814">
          <cell r="F814" t="str">
            <v>Clean Out dia. 3"</v>
          </cell>
          <cell r="G814" t="str">
            <v xml:space="preserve">bh </v>
          </cell>
          <cell r="H814">
            <v>65000</v>
          </cell>
        </row>
        <row r="815">
          <cell r="F815" t="str">
            <v>Clean Out dia. 4"</v>
          </cell>
          <cell r="G815" t="str">
            <v xml:space="preserve">bh </v>
          </cell>
          <cell r="H815">
            <v>72500</v>
          </cell>
        </row>
        <row r="816">
          <cell r="F816" t="str">
            <v>Clean Out dia. 5"</v>
          </cell>
          <cell r="G816" t="str">
            <v xml:space="preserve">bh </v>
          </cell>
          <cell r="H816">
            <v>178900</v>
          </cell>
        </row>
        <row r="817">
          <cell r="F817" t="str">
            <v>Clean Out dia. 6"</v>
          </cell>
          <cell r="G817" t="str">
            <v xml:space="preserve">bh </v>
          </cell>
          <cell r="H817">
            <v>230880</v>
          </cell>
        </row>
        <row r="818">
          <cell r="F818" t="str">
            <v>Clean Out dia. 8"</v>
          </cell>
          <cell r="G818" t="str">
            <v xml:space="preserve">bh </v>
          </cell>
          <cell r="H818">
            <v>370000</v>
          </cell>
        </row>
        <row r="819">
          <cell r="F819" t="str">
            <v>Roof Drain dia. 2"</v>
          </cell>
          <cell r="G819" t="str">
            <v xml:space="preserve">Bh </v>
          </cell>
          <cell r="H819">
            <v>29800</v>
          </cell>
        </row>
        <row r="820">
          <cell r="F820" t="str">
            <v>Roof Drain dia. 2-1/2"</v>
          </cell>
          <cell r="G820" t="str">
            <v xml:space="preserve">Bh </v>
          </cell>
          <cell r="H820">
            <v>33925</v>
          </cell>
        </row>
        <row r="821">
          <cell r="F821" t="str">
            <v>Roof Drain dia. 3"</v>
          </cell>
          <cell r="G821" t="str">
            <v xml:space="preserve">Bh </v>
          </cell>
          <cell r="H821">
            <v>37375</v>
          </cell>
        </row>
        <row r="822">
          <cell r="F822" t="str">
            <v>Roof Drain dia. 4"</v>
          </cell>
          <cell r="G822" t="str">
            <v xml:space="preserve">Bh </v>
          </cell>
          <cell r="H822">
            <v>40250</v>
          </cell>
        </row>
        <row r="823">
          <cell r="F823" t="str">
            <v>Roof Drain dia. 5"</v>
          </cell>
          <cell r="G823" t="str">
            <v xml:space="preserve">Bh </v>
          </cell>
          <cell r="H823">
            <v>51700</v>
          </cell>
        </row>
        <row r="824">
          <cell r="F824" t="str">
            <v>Roof Drain dia. 6"</v>
          </cell>
          <cell r="G824" t="str">
            <v xml:space="preserve">Bh </v>
          </cell>
          <cell r="H824">
            <v>61100</v>
          </cell>
        </row>
        <row r="825">
          <cell r="F825" t="str">
            <v>Roof Drain dia. 8"</v>
          </cell>
          <cell r="G825" t="str">
            <v xml:space="preserve">Bh </v>
          </cell>
          <cell r="H825">
            <v>90250</v>
          </cell>
        </row>
        <row r="826">
          <cell r="F826" t="str">
            <v>Roof Drain dia. 10"</v>
          </cell>
          <cell r="G826" t="str">
            <v xml:space="preserve">Bh </v>
          </cell>
          <cell r="H826">
            <v>142500</v>
          </cell>
        </row>
        <row r="827">
          <cell r="F827" t="str">
            <v>Roof Drain dia. 12"</v>
          </cell>
          <cell r="G827" t="str">
            <v xml:space="preserve">Bh </v>
          </cell>
          <cell r="H827">
            <v>167500</v>
          </cell>
        </row>
        <row r="828">
          <cell r="F828" t="str">
            <v>Floor Clean Out dia. 2"</v>
          </cell>
          <cell r="G828" t="str">
            <v xml:space="preserve">Bh </v>
          </cell>
          <cell r="H828">
            <v>136800</v>
          </cell>
        </row>
        <row r="829">
          <cell r="F829" t="str">
            <v>Floor Clean Out dia. 2-1/2"</v>
          </cell>
          <cell r="G829" t="str">
            <v xml:space="preserve">Bh </v>
          </cell>
          <cell r="H829">
            <v>163100</v>
          </cell>
        </row>
        <row r="830">
          <cell r="F830" t="str">
            <v>Floor Clean Out dia. 3"</v>
          </cell>
          <cell r="G830" t="str">
            <v xml:space="preserve">Bh </v>
          </cell>
          <cell r="H830">
            <v>199500</v>
          </cell>
        </row>
        <row r="831">
          <cell r="F831" t="str">
            <v>Floor Clean Out dia. 4"</v>
          </cell>
          <cell r="G831" t="str">
            <v xml:space="preserve">Bh </v>
          </cell>
          <cell r="H831">
            <v>300300</v>
          </cell>
        </row>
        <row r="832">
          <cell r="F832" t="str">
            <v>Floor Clean Out dia. 6"</v>
          </cell>
          <cell r="G832" t="str">
            <v xml:space="preserve">Bh </v>
          </cell>
          <cell r="H832">
            <v>415500</v>
          </cell>
        </row>
        <row r="833">
          <cell r="F833" t="str">
            <v>Floor Clean Out dia. 8"</v>
          </cell>
          <cell r="G833" t="str">
            <v xml:space="preserve">Bh </v>
          </cell>
          <cell r="H833">
            <v>507600</v>
          </cell>
        </row>
        <row r="834">
          <cell r="F834" t="str">
            <v>Vent Cap dia. 2"</v>
          </cell>
          <cell r="G834" t="str">
            <v xml:space="preserve">Bh </v>
          </cell>
          <cell r="H834">
            <v>45000</v>
          </cell>
        </row>
        <row r="835">
          <cell r="F835" t="str">
            <v>Vent Cap dia. 3"</v>
          </cell>
          <cell r="G835" t="str">
            <v xml:space="preserve">Bh </v>
          </cell>
          <cell r="H835">
            <v>65000</v>
          </cell>
        </row>
        <row r="836">
          <cell r="F836" t="str">
            <v>Vent Cap dia. 4"</v>
          </cell>
          <cell r="G836" t="str">
            <v xml:space="preserve">Bh </v>
          </cell>
          <cell r="H836">
            <v>80000</v>
          </cell>
        </row>
        <row r="837">
          <cell r="F837" t="str">
            <v>PRV set dia. 2"</v>
          </cell>
          <cell r="G837" t="str">
            <v xml:space="preserve">Bh </v>
          </cell>
          <cell r="H837">
            <v>4900000</v>
          </cell>
        </row>
        <row r="838">
          <cell r="F838" t="str">
            <v>PRV set dia. 2-1/2"</v>
          </cell>
          <cell r="G838" t="str">
            <v xml:space="preserve">Bh </v>
          </cell>
          <cell r="H838">
            <v>5350000</v>
          </cell>
        </row>
        <row r="839">
          <cell r="F839" t="str">
            <v>PRV Set dia. 3"</v>
          </cell>
          <cell r="G839" t="str">
            <v xml:space="preserve">Bh </v>
          </cell>
          <cell r="H839">
            <v>7500000</v>
          </cell>
        </row>
        <row r="840">
          <cell r="F840" t="str">
            <v>PRV set dia. 4"</v>
          </cell>
          <cell r="G840" t="str">
            <v xml:space="preserve">Bh </v>
          </cell>
          <cell r="H840">
            <v>8450000</v>
          </cell>
        </row>
        <row r="841">
          <cell r="F841" t="str">
            <v>PRV set dia. 6"</v>
          </cell>
          <cell r="G841" t="str">
            <v xml:space="preserve">Bh </v>
          </cell>
          <cell r="H841">
            <v>8930000</v>
          </cell>
        </row>
        <row r="842">
          <cell r="F842" t="str">
            <v>PRV set dia. 8"</v>
          </cell>
          <cell r="G842" t="str">
            <v xml:space="preserve">Bh </v>
          </cell>
          <cell r="H842">
            <v>9430000</v>
          </cell>
        </row>
        <row r="843">
          <cell r="F843" t="str">
            <v>AAV dia. 1/2"</v>
          </cell>
          <cell r="G843" t="str">
            <v xml:space="preserve">unit </v>
          </cell>
          <cell r="H843">
            <v>250000</v>
          </cell>
        </row>
        <row r="844">
          <cell r="F844" t="str">
            <v>AAV dia.1"</v>
          </cell>
          <cell r="G844" t="str">
            <v xml:space="preserve">unit </v>
          </cell>
          <cell r="H844">
            <v>850000</v>
          </cell>
        </row>
        <row r="845">
          <cell r="F845" t="str">
            <v>AAV dia. 2"</v>
          </cell>
          <cell r="G845" t="str">
            <v xml:space="preserve">unit </v>
          </cell>
          <cell r="H845">
            <v>1050000</v>
          </cell>
        </row>
        <row r="846">
          <cell r="F846" t="str">
            <v>AAV dia. 3"</v>
          </cell>
          <cell r="G846" t="str">
            <v xml:space="preserve">unit </v>
          </cell>
          <cell r="H846">
            <v>1230800</v>
          </cell>
        </row>
        <row r="847">
          <cell r="F847" t="str">
            <v>AAV dia. 4"</v>
          </cell>
          <cell r="G847" t="str">
            <v xml:space="preserve">unit </v>
          </cell>
          <cell r="H847">
            <v>1432000</v>
          </cell>
        </row>
        <row r="848">
          <cell r="F848" t="str">
            <v>AAV dia. 6"</v>
          </cell>
          <cell r="G848" t="str">
            <v xml:space="preserve">unit </v>
          </cell>
          <cell r="H848">
            <v>1653000</v>
          </cell>
        </row>
        <row r="849">
          <cell r="F849" t="str">
            <v>Vent Out dia. 2"</v>
          </cell>
          <cell r="G849" t="str">
            <v xml:space="preserve">unit </v>
          </cell>
          <cell r="H849">
            <v>235000</v>
          </cell>
        </row>
        <row r="850">
          <cell r="F850" t="str">
            <v xml:space="preserve">WLC dan Pengkabelan </v>
          </cell>
          <cell r="G850" t="str">
            <v xml:space="preserve">unit </v>
          </cell>
          <cell r="H850">
            <v>81100</v>
          </cell>
        </row>
        <row r="851">
          <cell r="F851" t="str">
            <v xml:space="preserve">Pressure Switch </v>
          </cell>
          <cell r="G851" t="str">
            <v xml:space="preserve">unit </v>
          </cell>
          <cell r="H851">
            <v>220800</v>
          </cell>
        </row>
        <row r="852">
          <cell r="F852" t="str">
            <v>Header Pipa PVC AW Dia. 4"</v>
          </cell>
          <cell r="G852" t="str">
            <v>m'</v>
          </cell>
          <cell r="H852">
            <v>1325000</v>
          </cell>
        </row>
        <row r="853">
          <cell r="F853" t="str">
            <v>Header Pipa Galvanis MED Class Dia. 4"</v>
          </cell>
          <cell r="G853" t="str">
            <v>m'</v>
          </cell>
          <cell r="H853">
            <v>5600000</v>
          </cell>
        </row>
        <row r="854">
          <cell r="F854" t="str">
            <v>Header Pipa BS SCH 40 Dia. 8"</v>
          </cell>
          <cell r="G854" t="str">
            <v>m'</v>
          </cell>
          <cell r="H854">
            <v>3500000</v>
          </cell>
        </row>
        <row r="855">
          <cell r="F855" t="str">
            <v>Header Pipa BS SCH 40 Dia. 10"</v>
          </cell>
          <cell r="G855" t="str">
            <v>m'</v>
          </cell>
          <cell r="H855">
            <v>4600000</v>
          </cell>
        </row>
        <row r="856">
          <cell r="F856" t="str">
            <v>Dop PVC dia. 3"</v>
          </cell>
          <cell r="G856" t="str">
            <v xml:space="preserve">Bh </v>
          </cell>
          <cell r="H856">
            <v>9950</v>
          </cell>
        </row>
        <row r="857">
          <cell r="F857" t="str">
            <v>Dop PVC dia. 4"</v>
          </cell>
          <cell r="G857" t="str">
            <v xml:space="preserve">Bh </v>
          </cell>
          <cell r="H857">
            <v>19500</v>
          </cell>
        </row>
        <row r="858">
          <cell r="F858" t="str">
            <v>Dop PVC dia. 6"</v>
          </cell>
          <cell r="G858" t="str">
            <v xml:space="preserve">Bh </v>
          </cell>
          <cell r="H858">
            <v>28000</v>
          </cell>
        </row>
        <row r="859">
          <cell r="F859" t="str">
            <v>Pipa DCI dia. 100 mm</v>
          </cell>
          <cell r="G859" t="str">
            <v>m'</v>
          </cell>
          <cell r="H859">
            <v>1083333.3333333333</v>
          </cell>
        </row>
        <row r="860">
          <cell r="F860" t="str">
            <v>Pipa DCI, DN. 4"
(100 mm)</v>
          </cell>
          <cell r="G860" t="str">
            <v>m'</v>
          </cell>
          <cell r="H860">
            <v>1083000</v>
          </cell>
        </row>
        <row r="861">
          <cell r="F861" t="str">
            <v>Pipa DCI dia. 125 mm</v>
          </cell>
          <cell r="G861" t="str">
            <v>m'</v>
          </cell>
          <cell r="H861">
            <v>1100000</v>
          </cell>
        </row>
        <row r="862">
          <cell r="F862" t="str">
            <v>Pipa DCI, DN. 5"
(125 mm)</v>
          </cell>
          <cell r="G862" t="str">
            <v>m'</v>
          </cell>
          <cell r="H862">
            <v>1100000</v>
          </cell>
        </row>
        <row r="863">
          <cell r="F863" t="str">
            <v>Pipa DCI dia. 150 mm</v>
          </cell>
          <cell r="G863" t="str">
            <v>m'</v>
          </cell>
          <cell r="H863">
            <v>1300000</v>
          </cell>
        </row>
        <row r="864">
          <cell r="F864" t="str">
            <v>Pipa DCI, DN. 6"
(150 mm)</v>
          </cell>
          <cell r="G864" t="str">
            <v>m'</v>
          </cell>
          <cell r="H864">
            <v>1300000</v>
          </cell>
        </row>
        <row r="865">
          <cell r="F865" t="str">
            <v>Pipa DCI dia. 200 mm</v>
          </cell>
          <cell r="G865" t="str">
            <v>m'</v>
          </cell>
          <cell r="H865">
            <v>1450000</v>
          </cell>
        </row>
        <row r="866">
          <cell r="F866" t="str">
            <v>Pipa DCI, DN. 8"
(200 mm)</v>
          </cell>
          <cell r="G866" t="str">
            <v>m'</v>
          </cell>
          <cell r="H866">
            <v>1450000</v>
          </cell>
        </row>
        <row r="867">
          <cell r="F867" t="str">
            <v>Pipa DCI dia. 250 mm</v>
          </cell>
          <cell r="G867" t="str">
            <v>m'</v>
          </cell>
          <cell r="H867">
            <v>1570000</v>
          </cell>
        </row>
        <row r="868">
          <cell r="F868" t="str">
            <v>Pipa DCI, DN. 10"
(250 mm)</v>
          </cell>
          <cell r="G868" t="str">
            <v>m'</v>
          </cell>
          <cell r="H868">
            <v>1570000</v>
          </cell>
        </row>
        <row r="869">
          <cell r="F869" t="str">
            <v>Pipa DCI dia. 300 mm</v>
          </cell>
          <cell r="G869" t="str">
            <v>m'</v>
          </cell>
          <cell r="H869">
            <v>1630000</v>
          </cell>
        </row>
        <row r="870">
          <cell r="F870" t="str">
            <v>Pipa DCI, DN. 12"
(300 mm)</v>
          </cell>
          <cell r="G870" t="str">
            <v>m'</v>
          </cell>
          <cell r="H870">
            <v>1640000</v>
          </cell>
        </row>
        <row r="871">
          <cell r="F871" t="str">
            <v>Pipa DCI dia. 400 mm</v>
          </cell>
          <cell r="G871" t="str">
            <v>m'</v>
          </cell>
          <cell r="H871">
            <v>1780000</v>
          </cell>
        </row>
        <row r="872">
          <cell r="F872" t="str">
            <v>Pipa DCI, DN. 16"
(400 mm)</v>
          </cell>
          <cell r="G872" t="str">
            <v>m'</v>
          </cell>
          <cell r="H872">
            <v>1790000</v>
          </cell>
        </row>
        <row r="873">
          <cell r="F873" t="str">
            <v>Pipa DCI dia. 450 mm</v>
          </cell>
          <cell r="G873" t="str">
            <v>m'</v>
          </cell>
          <cell r="H873">
            <v>1840000</v>
          </cell>
        </row>
        <row r="874">
          <cell r="F874" t="str">
            <v>Pipa DCI, DN. 18"
(450 mm)</v>
          </cell>
          <cell r="G874" t="str">
            <v>m'</v>
          </cell>
          <cell r="H874">
            <v>1850000</v>
          </cell>
        </row>
        <row r="875">
          <cell r="F875" t="str">
            <v>Pipa DCI dia. 500 mm</v>
          </cell>
          <cell r="G875" t="str">
            <v>m'</v>
          </cell>
          <cell r="H875">
            <v>1950000</v>
          </cell>
        </row>
        <row r="876">
          <cell r="F876" t="str">
            <v>Pipa DCI, DN. 20"
(500 mm)</v>
          </cell>
          <cell r="G876" t="str">
            <v>m'</v>
          </cell>
          <cell r="H876">
            <v>1960000</v>
          </cell>
        </row>
        <row r="877">
          <cell r="F877" t="str">
            <v>Pipa DCI dia. 600 mm</v>
          </cell>
          <cell r="G877" t="str">
            <v>m'</v>
          </cell>
          <cell r="H877">
            <v>2100000</v>
          </cell>
        </row>
        <row r="878">
          <cell r="F878" t="str">
            <v>Pipa DCI, DN. 24"
(600 mm)</v>
          </cell>
          <cell r="G878" t="str">
            <v>m'</v>
          </cell>
          <cell r="H878">
            <v>2115000</v>
          </cell>
        </row>
        <row r="879">
          <cell r="F879" t="str">
            <v>Pipa DCI dia. 800 mm</v>
          </cell>
          <cell r="G879" t="str">
            <v>m'</v>
          </cell>
          <cell r="H879">
            <v>2350000</v>
          </cell>
        </row>
        <row r="880">
          <cell r="F880" t="str">
            <v>Pipa DCI, DN. 32"
(800 mm)</v>
          </cell>
          <cell r="G880" t="str">
            <v>m'</v>
          </cell>
          <cell r="H880">
            <v>2360000</v>
          </cell>
        </row>
        <row r="881">
          <cell r="F881" t="str">
            <v>Pipa DCI dia. 900 mm</v>
          </cell>
          <cell r="G881" t="str">
            <v>m'</v>
          </cell>
          <cell r="H881">
            <v>2430000</v>
          </cell>
        </row>
        <row r="882">
          <cell r="F882" t="str">
            <v>Pipa DCI, DN. 36"
(900 mm)</v>
          </cell>
          <cell r="G882" t="str">
            <v>m'</v>
          </cell>
          <cell r="H882">
            <v>2440000</v>
          </cell>
        </row>
        <row r="883">
          <cell r="F883" t="str">
            <v>Pipa DCI dia. 1000 mm</v>
          </cell>
          <cell r="G883" t="str">
            <v>m'</v>
          </cell>
          <cell r="H883">
            <v>2560000</v>
          </cell>
        </row>
        <row r="884">
          <cell r="F884" t="str">
            <v>Pipa DCI, DN. 40"
(1000 mm)</v>
          </cell>
          <cell r="G884" t="str">
            <v>m'</v>
          </cell>
          <cell r="H884">
            <v>2570000</v>
          </cell>
        </row>
        <row r="885">
          <cell r="F885" t="str">
            <v>Pipa DCI dia. 1100 mm</v>
          </cell>
          <cell r="G885" t="str">
            <v>m'</v>
          </cell>
          <cell r="H885">
            <v>2720000</v>
          </cell>
        </row>
        <row r="886">
          <cell r="F886" t="str">
            <v>Pipa DCI, DN. 44"
(1100 mm)</v>
          </cell>
          <cell r="G886" t="str">
            <v>m'</v>
          </cell>
          <cell r="H886">
            <v>2730000</v>
          </cell>
        </row>
        <row r="887">
          <cell r="F887" t="str">
            <v>Pipa DCI, DN. 48"
(1200 mm)</v>
          </cell>
          <cell r="G887" t="str">
            <v>m'</v>
          </cell>
          <cell r="H887">
            <v>236000</v>
          </cell>
        </row>
        <row r="888">
          <cell r="F888" t="str">
            <v>Pipa Beton dia. 200 mm</v>
          </cell>
          <cell r="G888" t="str">
            <v>m'</v>
          </cell>
          <cell r="H888">
            <v>235000</v>
          </cell>
        </row>
        <row r="889">
          <cell r="F889" t="str">
            <v>Pipa Beton, DN. 8" (200 mm)</v>
          </cell>
          <cell r="G889" t="str">
            <v>m'</v>
          </cell>
          <cell r="H889">
            <v>236000</v>
          </cell>
        </row>
        <row r="890">
          <cell r="F890" t="str">
            <v>Pipa Beton dia. 300 mm</v>
          </cell>
          <cell r="G890" t="str">
            <v>m'</v>
          </cell>
          <cell r="H890">
            <v>264000</v>
          </cell>
        </row>
        <row r="891">
          <cell r="F891" t="str">
            <v>Pipa Beton, DN. 12" (300 mm)</v>
          </cell>
          <cell r="G891" t="str">
            <v>m'</v>
          </cell>
          <cell r="H891">
            <v>265000</v>
          </cell>
        </row>
        <row r="892">
          <cell r="F892" t="str">
            <v>Pipa Beton dia. 400 mm</v>
          </cell>
          <cell r="G892" t="str">
            <v>m'</v>
          </cell>
          <cell r="H892">
            <v>285000</v>
          </cell>
        </row>
        <row r="893">
          <cell r="F893" t="str">
            <v>Pipa Beton, DN. 16" (400 mm)</v>
          </cell>
          <cell r="G893" t="str">
            <v>m'</v>
          </cell>
          <cell r="H893">
            <v>286000</v>
          </cell>
        </row>
        <row r="894">
          <cell r="F894" t="str">
            <v>Pipa Beton dia. 500 mm</v>
          </cell>
          <cell r="G894" t="str">
            <v>m'</v>
          </cell>
          <cell r="H894">
            <v>299000</v>
          </cell>
        </row>
        <row r="895">
          <cell r="F895" t="str">
            <v>Pipa Beton, DN. 20" (500 mm)</v>
          </cell>
          <cell r="G895" t="str">
            <v>m'</v>
          </cell>
          <cell r="H895">
            <v>300000</v>
          </cell>
        </row>
        <row r="896">
          <cell r="F896" t="str">
            <v>Pipa Beton dia. 600 mm</v>
          </cell>
          <cell r="G896" t="str">
            <v>m'</v>
          </cell>
          <cell r="H896">
            <v>350000</v>
          </cell>
        </row>
        <row r="897">
          <cell r="F897" t="str">
            <v>Pipa Beton, DN. 24" (600 mm)</v>
          </cell>
          <cell r="G897" t="str">
            <v>m'</v>
          </cell>
          <cell r="H897">
            <v>351000</v>
          </cell>
        </row>
        <row r="898">
          <cell r="F898" t="str">
            <v>Pipa Beton dia. 700 mm</v>
          </cell>
          <cell r="G898" t="str">
            <v>m'</v>
          </cell>
          <cell r="H898">
            <v>410000</v>
          </cell>
        </row>
        <row r="899">
          <cell r="F899" t="str">
            <v>Pipa Beton, DN. 28" (700 mm)</v>
          </cell>
          <cell r="G899" t="str">
            <v>m'</v>
          </cell>
          <cell r="H899">
            <v>411000</v>
          </cell>
        </row>
        <row r="900">
          <cell r="F900" t="str">
            <v>Pipa Beton dia. 800 mm</v>
          </cell>
          <cell r="G900" t="str">
            <v>m'</v>
          </cell>
          <cell r="H900">
            <v>490000</v>
          </cell>
        </row>
        <row r="901">
          <cell r="F901" t="str">
            <v>Pipa Beton, DN. 32" (800 mm)</v>
          </cell>
          <cell r="G901" t="str">
            <v>m'</v>
          </cell>
          <cell r="H901">
            <v>491000</v>
          </cell>
        </row>
        <row r="902">
          <cell r="F902" t="str">
            <v>Pipa Beton dia. 1000 mm</v>
          </cell>
          <cell r="G902" t="str">
            <v>m'</v>
          </cell>
          <cell r="H902">
            <v>570000</v>
          </cell>
        </row>
        <row r="903">
          <cell r="F903" t="str">
            <v>Pipa Beton, DN. 40" (1000 mm)</v>
          </cell>
          <cell r="G903" t="str">
            <v>m'</v>
          </cell>
          <cell r="H903">
            <v>571000</v>
          </cell>
        </row>
        <row r="904">
          <cell r="F904" t="str">
            <v>Pipa Beton dia. 1200 mm</v>
          </cell>
          <cell r="G904" t="str">
            <v>m'</v>
          </cell>
          <cell r="H904">
            <v>640000</v>
          </cell>
        </row>
        <row r="905">
          <cell r="F905" t="str">
            <v>Pipa Beton, DN. 48" (1200 mm)</v>
          </cell>
          <cell r="G905" t="str">
            <v>m'</v>
          </cell>
          <cell r="H905">
            <v>641000</v>
          </cell>
        </row>
        <row r="906">
          <cell r="F906" t="str">
            <v>Valve Ø 6" (150 mm)</v>
          </cell>
          <cell r="G906" t="str">
            <v>buah</v>
          </cell>
          <cell r="H906">
            <v>225000</v>
          </cell>
        </row>
        <row r="907">
          <cell r="F907" t="str">
            <v>Valve Ø 8" (200 mm)</v>
          </cell>
          <cell r="G907" t="str">
            <v>buah</v>
          </cell>
          <cell r="H907">
            <v>290000</v>
          </cell>
        </row>
        <row r="908">
          <cell r="F908" t="str">
            <v>Valve Ø 10" (250 mm)</v>
          </cell>
          <cell r="G908" t="str">
            <v>buah</v>
          </cell>
          <cell r="H908">
            <v>350000</v>
          </cell>
        </row>
        <row r="909">
          <cell r="F909" t="str">
            <v>Valve Ø 12" (300 mm)</v>
          </cell>
          <cell r="G909" t="str">
            <v>buah</v>
          </cell>
          <cell r="H909">
            <v>410000</v>
          </cell>
        </row>
        <row r="910">
          <cell r="F910" t="str">
            <v>Valve Ø 16" (400 mm)</v>
          </cell>
          <cell r="G910" t="str">
            <v>buah</v>
          </cell>
          <cell r="H910">
            <v>490000</v>
          </cell>
        </row>
        <row r="911">
          <cell r="F911" t="str">
            <v>Valve Ø 18" (450 mm)</v>
          </cell>
          <cell r="G911" t="str">
            <v>buah</v>
          </cell>
          <cell r="H911">
            <v>530000</v>
          </cell>
        </row>
        <row r="912">
          <cell r="F912" t="str">
            <v>Valve Ø 20" (500 mm)</v>
          </cell>
          <cell r="G912" t="str">
            <v>buah</v>
          </cell>
          <cell r="H912">
            <v>590000</v>
          </cell>
        </row>
        <row r="913">
          <cell r="F913" t="str">
            <v>Valve Ø 24" (600 mm)</v>
          </cell>
          <cell r="G913" t="str">
            <v>buah</v>
          </cell>
          <cell r="H913">
            <v>670000</v>
          </cell>
        </row>
        <row r="914">
          <cell r="F914" t="str">
            <v>Valve Ø 28" (700 mm)</v>
          </cell>
          <cell r="G914" t="str">
            <v>buah</v>
          </cell>
          <cell r="H914">
            <v>750000</v>
          </cell>
        </row>
        <row r="915">
          <cell r="F915" t="str">
            <v>Valve Ø 32" (800 mm)</v>
          </cell>
          <cell r="G915" t="str">
            <v>buah</v>
          </cell>
          <cell r="H915">
            <v>810000</v>
          </cell>
        </row>
        <row r="916">
          <cell r="F916" t="str">
            <v>Valve Ø 36" (900 mm)</v>
          </cell>
          <cell r="G916" t="str">
            <v>buah</v>
          </cell>
          <cell r="H916">
            <v>890000</v>
          </cell>
        </row>
        <row r="917">
          <cell r="F917" t="str">
            <v>Valve Ø 40" (1000 mm)</v>
          </cell>
          <cell r="G917" t="str">
            <v>buah</v>
          </cell>
          <cell r="H917">
            <v>950000</v>
          </cell>
        </row>
        <row r="918">
          <cell r="F918" t="str">
            <v>Valve Ø 44" (1100 mm)</v>
          </cell>
          <cell r="G918" t="str">
            <v>buah</v>
          </cell>
          <cell r="H918">
            <v>1050000</v>
          </cell>
        </row>
        <row r="919">
          <cell r="F919" t="str">
            <v>Valve Ø 48" (1200 mm)</v>
          </cell>
          <cell r="G919" t="str">
            <v>buah</v>
          </cell>
          <cell r="H919">
            <v>1119000</v>
          </cell>
        </row>
        <row r="920">
          <cell r="F920" t="str">
            <v>Valve Ø 1/2" (15 mm)</v>
          </cell>
          <cell r="G920" t="str">
            <v>buah</v>
          </cell>
          <cell r="H920">
            <v>95000</v>
          </cell>
        </row>
        <row r="921">
          <cell r="F921" t="str">
            <v>Valve Ø 3/4" (20 mm)</v>
          </cell>
          <cell r="G921" t="str">
            <v>buah</v>
          </cell>
          <cell r="H921">
            <v>105000</v>
          </cell>
        </row>
        <row r="922">
          <cell r="F922" t="str">
            <v>Valve Ø 1" (25 mm)</v>
          </cell>
          <cell r="G922" t="str">
            <v>buah</v>
          </cell>
          <cell r="H922">
            <v>115000</v>
          </cell>
        </row>
        <row r="923">
          <cell r="F923" t="str">
            <v>Valve Ø 1-1/4" (32 mm)</v>
          </cell>
          <cell r="G923" t="str">
            <v>buah</v>
          </cell>
          <cell r="H923">
            <v>129000</v>
          </cell>
        </row>
        <row r="924">
          <cell r="F924" t="str">
            <v>Valve Ø 1-1/2" (40 mm)</v>
          </cell>
          <cell r="G924" t="str">
            <v>buah</v>
          </cell>
          <cell r="H924">
            <v>135000</v>
          </cell>
        </row>
        <row r="925">
          <cell r="F925" t="str">
            <v>Valve Ø 2" (50 mm)</v>
          </cell>
          <cell r="G925" t="str">
            <v>buah</v>
          </cell>
          <cell r="H925">
            <v>150000</v>
          </cell>
        </row>
        <row r="926">
          <cell r="F926" t="str">
            <v>Valve Ø 2-1/2" (65 mm)</v>
          </cell>
          <cell r="G926" t="str">
            <v>buah</v>
          </cell>
          <cell r="H926">
            <v>170000</v>
          </cell>
        </row>
        <row r="927">
          <cell r="F927" t="str">
            <v>Valve Ø 3" (80 mm)</v>
          </cell>
          <cell r="G927" t="str">
            <v>buah</v>
          </cell>
          <cell r="H927">
            <v>192000</v>
          </cell>
        </row>
        <row r="928">
          <cell r="F928" t="str">
            <v>Valve Ø 4" (100 mm)</v>
          </cell>
          <cell r="G928" t="str">
            <v>buah</v>
          </cell>
          <cell r="H928">
            <v>205000</v>
          </cell>
        </row>
        <row r="929">
          <cell r="F929" t="str">
            <v>Valve Ø 5" (125 mm)</v>
          </cell>
          <cell r="G929" t="str">
            <v>buah</v>
          </cell>
          <cell r="H929">
            <v>215000</v>
          </cell>
        </row>
        <row r="930">
          <cell r="F930" t="str">
            <v>Tee Ø 6" (150 mm)</v>
          </cell>
          <cell r="G930" t="str">
            <v>buah</v>
          </cell>
          <cell r="H930">
            <v>65000</v>
          </cell>
        </row>
        <row r="931">
          <cell r="F931" t="str">
            <v>Tee Ø 8" (200 mm)</v>
          </cell>
          <cell r="G931" t="str">
            <v>buah</v>
          </cell>
          <cell r="H931">
            <v>138000</v>
          </cell>
        </row>
        <row r="932">
          <cell r="F932" t="str">
            <v>Tee Ø 10" (250 mm)</v>
          </cell>
          <cell r="G932" t="str">
            <v>buah</v>
          </cell>
          <cell r="H932">
            <v>215000</v>
          </cell>
        </row>
        <row r="933">
          <cell r="F933" t="str">
            <v>Tee Ø 18" (450 mm)</v>
          </cell>
          <cell r="G933" t="str">
            <v>buah</v>
          </cell>
          <cell r="H933">
            <v>285000</v>
          </cell>
        </row>
        <row r="934">
          <cell r="F934" t="str">
            <v>Tee Ø 20" (500 mm)</v>
          </cell>
          <cell r="G934" t="str">
            <v>buah</v>
          </cell>
          <cell r="H934">
            <v>350000</v>
          </cell>
        </row>
        <row r="935">
          <cell r="F935" t="str">
            <v>Tee Ø 24" (600 mm)</v>
          </cell>
          <cell r="G935" t="str">
            <v>buah</v>
          </cell>
          <cell r="H935">
            <v>435000</v>
          </cell>
        </row>
        <row r="936">
          <cell r="F936" t="str">
            <v>Tee Ø 28" (700 mm)</v>
          </cell>
          <cell r="G936" t="str">
            <v>buah</v>
          </cell>
          <cell r="H936">
            <v>510000</v>
          </cell>
        </row>
        <row r="937">
          <cell r="F937" t="str">
            <v>Tee Ø 32" (800 mm)</v>
          </cell>
          <cell r="G937" t="str">
            <v>buah</v>
          </cell>
          <cell r="H937">
            <v>599000</v>
          </cell>
        </row>
        <row r="938">
          <cell r="F938" t="str">
            <v>Tee Ø 36" (900 mm)</v>
          </cell>
          <cell r="G938" t="str">
            <v>buah</v>
          </cell>
          <cell r="H938">
            <v>670000</v>
          </cell>
        </row>
        <row r="939">
          <cell r="F939" t="str">
            <v>Tee Ø 40" (1000 mm)</v>
          </cell>
          <cell r="G939" t="str">
            <v>buah</v>
          </cell>
          <cell r="H939">
            <v>750000</v>
          </cell>
        </row>
        <row r="940">
          <cell r="F940" t="str">
            <v>Tee Ø 44" (1100 mm)</v>
          </cell>
          <cell r="G940" t="str">
            <v>buah</v>
          </cell>
          <cell r="H940">
            <v>830000</v>
          </cell>
        </row>
        <row r="941">
          <cell r="F941" t="str">
            <v>Tee Ø 48" (1200 mm)</v>
          </cell>
          <cell r="G941" t="str">
            <v>buah</v>
          </cell>
          <cell r="H941">
            <v>950000</v>
          </cell>
        </row>
        <row r="942">
          <cell r="F942" t="str">
            <v>Tee Ø 1/2" (15 mm)</v>
          </cell>
          <cell r="G942" t="str">
            <v>buah</v>
          </cell>
          <cell r="H942">
            <v>20000</v>
          </cell>
        </row>
        <row r="943">
          <cell r="F943" t="str">
            <v>Tee Ø 3/4" (20 mm)</v>
          </cell>
          <cell r="G943" t="str">
            <v>buah</v>
          </cell>
          <cell r="H943">
            <v>27000</v>
          </cell>
        </row>
        <row r="944">
          <cell r="F944" t="str">
            <v>Tee Ø 1" (25 mm)</v>
          </cell>
          <cell r="G944" t="str">
            <v xml:space="preserve">buah </v>
          </cell>
          <cell r="H944">
            <v>30000</v>
          </cell>
        </row>
        <row r="945">
          <cell r="F945" t="str">
            <v>Tee Ø 1-1/4" (32 mm)</v>
          </cell>
          <cell r="G945" t="str">
            <v>buah</v>
          </cell>
          <cell r="H945">
            <v>32000</v>
          </cell>
        </row>
        <row r="946">
          <cell r="F946" t="str">
            <v>Tee Ø 1-1/2" (40 mm)</v>
          </cell>
          <cell r="G946" t="str">
            <v>buah</v>
          </cell>
          <cell r="H946">
            <v>39000</v>
          </cell>
        </row>
        <row r="947">
          <cell r="F947" t="str">
            <v>Tee Ø 2" (50 mm)</v>
          </cell>
          <cell r="G947" t="str">
            <v>buah</v>
          </cell>
          <cell r="H947">
            <v>42000</v>
          </cell>
        </row>
        <row r="948">
          <cell r="F948" t="str">
            <v>Tee Ø 2-1/2" (65 mm)</v>
          </cell>
          <cell r="G948" t="str">
            <v>buah</v>
          </cell>
          <cell r="H948">
            <v>48000</v>
          </cell>
        </row>
        <row r="949">
          <cell r="F949" t="str">
            <v>Tee Ø 5" (125 mm)</v>
          </cell>
          <cell r="G949" t="str">
            <v>buah</v>
          </cell>
          <cell r="H949">
            <v>55000</v>
          </cell>
        </row>
        <row r="950">
          <cell r="F950" t="str">
            <v>Tee Ø 3" (80 mm)</v>
          </cell>
          <cell r="G950" t="str">
            <v>buah</v>
          </cell>
          <cell r="H950">
            <v>59000</v>
          </cell>
        </row>
        <row r="951">
          <cell r="F951" t="str">
            <v>Tee Ø 4" (100 mm)</v>
          </cell>
          <cell r="G951" t="str">
            <v>buah</v>
          </cell>
          <cell r="H951">
            <v>62000</v>
          </cell>
        </row>
        <row r="952">
          <cell r="F952" t="str">
            <v>Tee Ø 12" (300 mm)</v>
          </cell>
          <cell r="G952" t="str">
            <v>buah</v>
          </cell>
          <cell r="H952">
            <v>235000</v>
          </cell>
        </row>
        <row r="953">
          <cell r="F953" t="str">
            <v>Tee Ø 16" (400 mm)</v>
          </cell>
          <cell r="G953" t="str">
            <v>buah</v>
          </cell>
          <cell r="H953">
            <v>255000</v>
          </cell>
        </row>
        <row r="955">
          <cell r="F955" t="str">
            <v>Baja (ulir) U-39</v>
          </cell>
          <cell r="G955" t="str">
            <v>kg</v>
          </cell>
          <cell r="H955">
            <v>14600</v>
          </cell>
        </row>
        <row r="956">
          <cell r="F956" t="str">
            <v>Baja (ulir) U-48</v>
          </cell>
          <cell r="G956" t="str">
            <v>kg</v>
          </cell>
          <cell r="H956">
            <v>14600</v>
          </cell>
        </row>
        <row r="957">
          <cell r="F957" t="str">
            <v>Baja Tahan Karat  ( Stainless  Steel )</v>
          </cell>
          <cell r="G957" t="str">
            <v>kg</v>
          </cell>
          <cell r="H957">
            <v>80340</v>
          </cell>
        </row>
        <row r="958">
          <cell r="F958" t="str">
            <v>Baja L 40.40.4</v>
          </cell>
          <cell r="G958" t="str">
            <v>kg</v>
          </cell>
          <cell r="H958">
            <v>14840</v>
          </cell>
        </row>
        <row r="959">
          <cell r="F959" t="str">
            <v>Frame besi L.30.30.3</v>
          </cell>
          <cell r="G959" t="str">
            <v>kg</v>
          </cell>
          <cell r="H959">
            <v>14840</v>
          </cell>
        </row>
        <row r="960">
          <cell r="F960" t="str">
            <v>Frame Allum L.10.1</v>
          </cell>
          <cell r="G960" t="str">
            <v>kg</v>
          </cell>
          <cell r="H960">
            <v>25000</v>
          </cell>
        </row>
        <row r="961">
          <cell r="F961" t="str">
            <v>Besi angkur diameter 8</v>
          </cell>
          <cell r="G961" t="str">
            <v>kg</v>
          </cell>
          <cell r="H961">
            <v>35000</v>
          </cell>
        </row>
        <row r="962">
          <cell r="F962" t="str">
            <v>Besi angkur/mur/baut</v>
          </cell>
          <cell r="G962" t="str">
            <v>kg</v>
          </cell>
          <cell r="H962">
            <v>16660</v>
          </cell>
        </row>
        <row r="964">
          <cell r="F964" t="str">
            <v xml:space="preserve">Baut </v>
          </cell>
          <cell r="G964" t="str">
            <v xml:space="preserve">kg </v>
          </cell>
          <cell r="H964">
            <v>17000</v>
          </cell>
        </row>
        <row r="965">
          <cell r="F965" t="str">
            <v>Besi hollow  38.38.2</v>
          </cell>
          <cell r="G965" t="str">
            <v>kg</v>
          </cell>
          <cell r="H965">
            <v>13700</v>
          </cell>
        </row>
        <row r="966">
          <cell r="F966" t="str">
            <v>Besi hollow  50.50.3</v>
          </cell>
          <cell r="G966" t="str">
            <v>kg</v>
          </cell>
          <cell r="H966">
            <v>13800</v>
          </cell>
        </row>
        <row r="967">
          <cell r="F967" t="str">
            <v>Besi hollow galvanis 40.40</v>
          </cell>
          <cell r="G967" t="str">
            <v>m'</v>
          </cell>
          <cell r="H967">
            <v>6250</v>
          </cell>
        </row>
        <row r="968">
          <cell r="F968" t="str">
            <v>Besi lis  kaca (1 x  1) cm</v>
          </cell>
          <cell r="G968" t="str">
            <v>m'</v>
          </cell>
          <cell r="H968">
            <v>10500</v>
          </cell>
        </row>
        <row r="969">
          <cell r="F969" t="str">
            <v>Besi plat baja tebal 2 mm</v>
          </cell>
          <cell r="G969" t="str">
            <v>kg</v>
          </cell>
          <cell r="H969">
            <v>25000</v>
          </cell>
        </row>
        <row r="970">
          <cell r="F970" t="str">
            <v>Besi profil</v>
          </cell>
          <cell r="G970" t="str">
            <v>kg</v>
          </cell>
          <cell r="H970">
            <v>14840</v>
          </cell>
        </row>
        <row r="971">
          <cell r="F971" t="str">
            <v>Besi siku</v>
          </cell>
          <cell r="G971" t="str">
            <v>kg</v>
          </cell>
          <cell r="H971">
            <v>14700</v>
          </cell>
        </row>
        <row r="972">
          <cell r="F972" t="str">
            <v>Besi siku 30x30x3 mm</v>
          </cell>
          <cell r="G972" t="str">
            <v>kg</v>
          </cell>
          <cell r="H972">
            <v>13000</v>
          </cell>
        </row>
        <row r="973">
          <cell r="F973" t="str">
            <v>Besi siku 40x40x4 mm</v>
          </cell>
          <cell r="G973" t="str">
            <v>kg</v>
          </cell>
          <cell r="H973">
            <v>15667</v>
          </cell>
        </row>
        <row r="974">
          <cell r="F974" t="str">
            <v xml:space="preserve">Baja Profil Siku </v>
          </cell>
          <cell r="G974" t="str">
            <v>kg</v>
          </cell>
          <cell r="H974">
            <v>15500</v>
          </cell>
        </row>
        <row r="975">
          <cell r="F975" t="str">
            <v>Besi siku 40x40x4</v>
          </cell>
          <cell r="G975" t="str">
            <v>m'</v>
          </cell>
          <cell r="H975">
            <v>20825</v>
          </cell>
        </row>
        <row r="976">
          <cell r="F976" t="str">
            <v>Besi siku 20x20 tebal 2 mm</v>
          </cell>
          <cell r="G976" t="str">
            <v>m</v>
          </cell>
          <cell r="H976">
            <v>19500</v>
          </cell>
        </row>
        <row r="977">
          <cell r="F977" t="str">
            <v>Besi strip</v>
          </cell>
          <cell r="G977" t="str">
            <v>kg</v>
          </cell>
          <cell r="H977">
            <v>7500</v>
          </cell>
        </row>
        <row r="978">
          <cell r="F978" t="str">
            <v xml:space="preserve">Teralis Besi Strip lengkap dengan accessories </v>
          </cell>
          <cell r="G978" t="str">
            <v>M2</v>
          </cell>
          <cell r="H978">
            <v>150000</v>
          </cell>
        </row>
        <row r="979">
          <cell r="F979" t="str">
            <v>Pelat Strip t=2,6 mm, L=12 cm</v>
          </cell>
          <cell r="G979" t="str">
            <v>buah</v>
          </cell>
          <cell r="H979">
            <v>21000</v>
          </cell>
        </row>
        <row r="980">
          <cell r="F980" t="str">
            <v>Pelat Strip t=2,6 mm, L=14 cm</v>
          </cell>
          <cell r="G980" t="str">
            <v>buah</v>
          </cell>
          <cell r="H980">
            <v>29000</v>
          </cell>
        </row>
        <row r="981">
          <cell r="F981" t="str">
            <v>Pelat Strip t=2,6 mm, L=17 cm</v>
          </cell>
          <cell r="G981" t="str">
            <v xml:space="preserve">buah </v>
          </cell>
          <cell r="H981">
            <v>39000</v>
          </cell>
        </row>
        <row r="982">
          <cell r="F982" t="str">
            <v>Pelat Strip t=2,6 mm, L=34 cm</v>
          </cell>
          <cell r="G982" t="str">
            <v>buah</v>
          </cell>
          <cell r="H982">
            <v>58000</v>
          </cell>
        </row>
        <row r="983">
          <cell r="F983" t="str">
            <v xml:space="preserve">Angkur Baja Full Drat ASTM 307 dia. 10 mm Panjang 35 cm </v>
          </cell>
          <cell r="G983" t="str">
            <v>buah</v>
          </cell>
          <cell r="H983">
            <v>9200</v>
          </cell>
        </row>
        <row r="984">
          <cell r="F984" t="str">
            <v xml:space="preserve">Angkur Baja Full Drat ASTM 307 dia 10 mm Panjang 65 cm </v>
          </cell>
          <cell r="G984" t="str">
            <v>buah</v>
          </cell>
          <cell r="H984">
            <v>18000</v>
          </cell>
        </row>
        <row r="985">
          <cell r="F985" t="str">
            <v>Besi strip (0,2x2) cm</v>
          </cell>
          <cell r="G985" t="str">
            <v>m'</v>
          </cell>
          <cell r="H985">
            <v>5000</v>
          </cell>
        </row>
        <row r="986">
          <cell r="F986" t="str">
            <v>Besi strip (0,2x2) cm</v>
          </cell>
          <cell r="G986" t="str">
            <v>kg</v>
          </cell>
          <cell r="H986">
            <v>15000</v>
          </cell>
        </row>
        <row r="987">
          <cell r="F987" t="str">
            <v>Besi strip (20x3) mm</v>
          </cell>
          <cell r="G987" t="str">
            <v>kg</v>
          </cell>
          <cell r="H987">
            <v>17250</v>
          </cell>
        </row>
        <row r="988">
          <cell r="F988" t="str">
            <v>Plat Strip 3/30 mm</v>
          </cell>
          <cell r="G988" t="str">
            <v>m'</v>
          </cell>
          <cell r="H988">
            <v>9900</v>
          </cell>
        </row>
        <row r="989">
          <cell r="F989" t="str">
            <v>Besi strip tebal 5 mm</v>
          </cell>
          <cell r="G989" t="str">
            <v>kg</v>
          </cell>
          <cell r="H989">
            <v>7500</v>
          </cell>
        </row>
        <row r="990">
          <cell r="F990" t="str">
            <v>BjTP</v>
          </cell>
          <cell r="G990" t="str">
            <v>kg</v>
          </cell>
          <cell r="H990">
            <v>14250</v>
          </cell>
        </row>
        <row r="991">
          <cell r="F991" t="str">
            <v>Baja Tulangan Polos (BjTP) diameter &lt; 12 mm</v>
          </cell>
          <cell r="G991" t="str">
            <v xml:space="preserve">kg </v>
          </cell>
          <cell r="H991">
            <v>14250</v>
          </cell>
        </row>
        <row r="992">
          <cell r="F992" t="str">
            <v>Baja Tulangan Polos (BjTP) diameter &gt;12 mm</v>
          </cell>
          <cell r="G992" t="str">
            <v xml:space="preserve">kg </v>
          </cell>
          <cell r="H992">
            <v>16000</v>
          </cell>
        </row>
        <row r="993">
          <cell r="F993" t="str">
            <v>BjTS</v>
          </cell>
          <cell r="G993" t="str">
            <v>kg</v>
          </cell>
          <cell r="H993">
            <v>14500</v>
          </cell>
        </row>
        <row r="994">
          <cell r="F994" t="str">
            <v>Baja Tulangan Sirip (BjTS) diameter &lt; 12 mm</v>
          </cell>
          <cell r="G994" t="str">
            <v xml:space="preserve">kg </v>
          </cell>
          <cell r="H994">
            <v>14500</v>
          </cell>
        </row>
        <row r="995">
          <cell r="F995" t="str">
            <v>Baja Tulangan Sirip (BjTS) diameter &gt;12 mm</v>
          </cell>
          <cell r="G995" t="str">
            <v xml:space="preserve">kg </v>
          </cell>
          <cell r="H995">
            <v>16500</v>
          </cell>
        </row>
        <row r="996">
          <cell r="F996" t="str">
            <v>Bronjong kawat  pabrikan Uk.2x1x0,5 ø  3mm mesh 8x10</v>
          </cell>
          <cell r="G996" t="str">
            <v>Unit</v>
          </cell>
          <cell r="H996">
            <v>460000</v>
          </cell>
        </row>
        <row r="997">
          <cell r="F997" t="str">
            <v>Bronjong kawat  pabrikan Uk.3x1,5x0,5 ø  3mm mesh 8x10</v>
          </cell>
          <cell r="G997" t="str">
            <v>Unit</v>
          </cell>
          <cell r="H997">
            <v>891000</v>
          </cell>
        </row>
        <row r="998">
          <cell r="F998" t="str">
            <v>Bronjong kawat  pabrikan Uk.3x1x0,5 ø  3mm mesh 8x10</v>
          </cell>
          <cell r="G998" t="str">
            <v>Unit</v>
          </cell>
          <cell r="H998">
            <v>656000</v>
          </cell>
        </row>
        <row r="999">
          <cell r="F999" t="str">
            <v>Bronjong kawat  pabrikan Uk.4x1x0,5 ø  3mm mesh 8x10</v>
          </cell>
          <cell r="G999" t="str">
            <v>Unit</v>
          </cell>
          <cell r="H999">
            <v>805000</v>
          </cell>
        </row>
        <row r="1000">
          <cell r="F1000" t="str">
            <v>Dinabolt dia. 12mm (10-15 cm)</v>
          </cell>
          <cell r="G1000" t="str">
            <v>buah</v>
          </cell>
          <cell r="H1000">
            <v>4550</v>
          </cell>
        </row>
        <row r="1001">
          <cell r="F1001" t="str">
            <v>Dynabolt M12</v>
          </cell>
          <cell r="G1001" t="str">
            <v xml:space="preserve">buah </v>
          </cell>
          <cell r="H1001">
            <v>30500</v>
          </cell>
        </row>
        <row r="1002">
          <cell r="F1002" t="str">
            <v>Jaring Kawat Baja dilas</v>
          </cell>
          <cell r="G1002" t="str">
            <v>kg</v>
          </cell>
          <cell r="H1002">
            <v>15150</v>
          </cell>
        </row>
        <row r="1003">
          <cell r="F1003" t="str">
            <v>Kawat  bronjong</v>
          </cell>
          <cell r="G1003" t="str">
            <v>kg</v>
          </cell>
          <cell r="H1003">
            <v>15680</v>
          </cell>
        </row>
        <row r="1004">
          <cell r="F1004" t="str">
            <v>Kawat  duri</v>
          </cell>
          <cell r="G1004" t="str">
            <v>roll</v>
          </cell>
          <cell r="H1004">
            <v>116750</v>
          </cell>
        </row>
        <row r="1005">
          <cell r="F1005" t="str">
            <v>Kawat  galvanis  Ø 3 mm</v>
          </cell>
          <cell r="G1005" t="str">
            <v>kg</v>
          </cell>
          <cell r="H1005">
            <v>26020</v>
          </cell>
        </row>
        <row r="1006">
          <cell r="F1006" t="str">
            <v>Kawat  galvanis  Ø 4 mm</v>
          </cell>
          <cell r="G1006" t="str">
            <v>kg</v>
          </cell>
          <cell r="H1006">
            <v>25400</v>
          </cell>
        </row>
        <row r="1007">
          <cell r="F1007" t="str">
            <v>Kawat  galvanis  Ø 5 mm</v>
          </cell>
          <cell r="G1007" t="str">
            <v>kg</v>
          </cell>
          <cell r="H1007">
            <v>22800</v>
          </cell>
        </row>
        <row r="1008">
          <cell r="F1008" t="str">
            <v>Kawat  harmonika 12 x  24 mm</v>
          </cell>
          <cell r="G1008" t="str">
            <v>m2</v>
          </cell>
          <cell r="H1008">
            <v>28450</v>
          </cell>
        </row>
        <row r="1009">
          <cell r="F1009" t="str">
            <v>Kawat  harmonika 14 x  30 mm</v>
          </cell>
          <cell r="G1009" t="str">
            <v>m2</v>
          </cell>
          <cell r="H1009">
            <v>28470</v>
          </cell>
        </row>
        <row r="1010">
          <cell r="F1010" t="str">
            <v>Kawat  harmonika 14 x  35 mm</v>
          </cell>
          <cell r="G1010" t="str">
            <v>m2</v>
          </cell>
          <cell r="H1010">
            <v>27900</v>
          </cell>
        </row>
        <row r="1011">
          <cell r="F1011" t="str">
            <v>Kawat  kasa</v>
          </cell>
          <cell r="G1011" t="str">
            <v>m2</v>
          </cell>
          <cell r="H1011">
            <v>26900</v>
          </cell>
        </row>
        <row r="1012">
          <cell r="F1012" t="str">
            <v>Kawat beton</v>
          </cell>
          <cell r="G1012" t="str">
            <v>kg</v>
          </cell>
          <cell r="H1012">
            <v>18800</v>
          </cell>
        </row>
        <row r="1013">
          <cell r="F1013" t="str">
            <v>Kawat bendrat</v>
          </cell>
          <cell r="G1013" t="str">
            <v xml:space="preserve">kg </v>
          </cell>
          <cell r="H1013">
            <v>18800</v>
          </cell>
        </row>
        <row r="1014">
          <cell r="F1014" t="str">
            <v>Kawat duri</v>
          </cell>
          <cell r="G1014" t="str">
            <v>m'</v>
          </cell>
          <cell r="H1014">
            <v>1750</v>
          </cell>
        </row>
        <row r="1015">
          <cell r="F1015" t="str">
            <v>Kawat seng 3mm</v>
          </cell>
          <cell r="G1015" t="str">
            <v>kg</v>
          </cell>
          <cell r="H1015">
            <v>18800</v>
          </cell>
        </row>
        <row r="1016">
          <cell r="F1016" t="str">
            <v>Kawat harmonika</v>
          </cell>
          <cell r="G1016" t="str">
            <v>m2</v>
          </cell>
          <cell r="H1016">
            <v>34620</v>
          </cell>
        </row>
        <row r="1017">
          <cell r="F1017" t="str">
            <v>Kawat jaring panjang 240 cm</v>
          </cell>
          <cell r="G1017" t="str">
            <v>lembar</v>
          </cell>
          <cell r="H1017">
            <v>300000</v>
          </cell>
        </row>
        <row r="1018">
          <cell r="F1018" t="str">
            <v>Kawat las</v>
          </cell>
          <cell r="G1018" t="str">
            <v>kg</v>
          </cell>
          <cell r="H1018">
            <v>45550</v>
          </cell>
        </row>
        <row r="1019">
          <cell r="F1019" t="str">
            <v>Kawat nyamuk</v>
          </cell>
          <cell r="G1019" t="str">
            <v>m3</v>
          </cell>
          <cell r="H1019">
            <v>20190</v>
          </cell>
        </row>
        <row r="1020">
          <cell r="F1020" t="str">
            <v>Kawat nyamuk nylon</v>
          </cell>
          <cell r="G1020" t="str">
            <v>m2</v>
          </cell>
          <cell r="H1020">
            <v>18000</v>
          </cell>
        </row>
        <row r="1021">
          <cell r="F1021" t="str">
            <v>Kawat Ø 4 mm</v>
          </cell>
          <cell r="G1021" t="str">
            <v>kg</v>
          </cell>
          <cell r="H1021">
            <v>35000</v>
          </cell>
        </row>
        <row r="1022">
          <cell r="F1022" t="str">
            <v>Lapisan hot  deep galvanis</v>
          </cell>
          <cell r="G1022" t="str">
            <v>kg</v>
          </cell>
          <cell r="H1022">
            <v>8400</v>
          </cell>
        </row>
        <row r="1023">
          <cell r="F1023" t="str">
            <v>Paku</v>
          </cell>
          <cell r="G1023" t="str">
            <v>kg</v>
          </cell>
          <cell r="H1023">
            <v>20000</v>
          </cell>
        </row>
        <row r="1024">
          <cell r="F1024" t="str">
            <v>Paku 1 inch</v>
          </cell>
          <cell r="G1024" t="str">
            <v>kg</v>
          </cell>
          <cell r="H1024">
            <v>15000</v>
          </cell>
        </row>
        <row r="1025">
          <cell r="F1025" t="str">
            <v>Paku 12 cm</v>
          </cell>
          <cell r="G1025" t="str">
            <v>buah</v>
          </cell>
          <cell r="H1025">
            <v>1500</v>
          </cell>
        </row>
        <row r="1026">
          <cell r="F1026" t="str">
            <v>Paku 2 inch</v>
          </cell>
          <cell r="G1026" t="str">
            <v>kg</v>
          </cell>
          <cell r="H1026">
            <v>18000</v>
          </cell>
        </row>
        <row r="1027">
          <cell r="F1027" t="str">
            <v>Paku 4 inch</v>
          </cell>
          <cell r="G1027" t="str">
            <v>kg</v>
          </cell>
          <cell r="H1027">
            <v>19000</v>
          </cell>
        </row>
        <row r="1028">
          <cell r="F1028" t="str">
            <v>Paku biasa 5 inchi</v>
          </cell>
          <cell r="G1028" t="str">
            <v>kg</v>
          </cell>
          <cell r="H1028">
            <v>20000</v>
          </cell>
        </row>
        <row r="1029">
          <cell r="F1029" t="str">
            <v xml:space="preserve">Paku 5 dan 10 cm </v>
          </cell>
          <cell r="G1029" t="str">
            <v xml:space="preserve">kg </v>
          </cell>
          <cell r="H1029">
            <v>20000</v>
          </cell>
        </row>
        <row r="1030">
          <cell r="F1030" t="str">
            <v>Paku 5 dan 7 cm</v>
          </cell>
          <cell r="G1030" t="str">
            <v>kg</v>
          </cell>
          <cell r="H1030">
            <v>20000</v>
          </cell>
        </row>
        <row r="1031">
          <cell r="F1031" t="str">
            <v xml:space="preserve">Paku 7 - 10 cm </v>
          </cell>
          <cell r="G1031" t="str">
            <v>kg</v>
          </cell>
          <cell r="H1031">
            <v>20000</v>
          </cell>
        </row>
        <row r="1032">
          <cell r="F1032" t="str">
            <v xml:space="preserve">Paku 3 cm </v>
          </cell>
          <cell r="G1032" t="str">
            <v>kg</v>
          </cell>
          <cell r="H1032">
            <v>15000</v>
          </cell>
        </row>
        <row r="1033">
          <cell r="F1033" t="str">
            <v xml:space="preserve">Paku Tripleks </v>
          </cell>
          <cell r="G1033" t="str">
            <v>kg</v>
          </cell>
          <cell r="H1033">
            <v>17500</v>
          </cell>
        </row>
        <row r="1034">
          <cell r="F1034" t="str">
            <v>Paku beton</v>
          </cell>
          <cell r="G1034" t="str">
            <v>kg</v>
          </cell>
          <cell r="H1034">
            <v>39450</v>
          </cell>
        </row>
        <row r="1035">
          <cell r="F1035" t="str">
            <v>Paku Beton 5 cm</v>
          </cell>
          <cell r="G1035" t="str">
            <v>buah</v>
          </cell>
          <cell r="H1035">
            <v>200</v>
          </cell>
        </row>
        <row r="1036">
          <cell r="F1036" t="str">
            <v>Paku hak panj 15cm</v>
          </cell>
          <cell r="G1036" t="str">
            <v>kg</v>
          </cell>
          <cell r="H1036">
            <v>22070</v>
          </cell>
        </row>
        <row r="1037">
          <cell r="F1037" t="str">
            <v>Paku pancing 6x23</v>
          </cell>
          <cell r="G1037" t="str">
            <v>kg</v>
          </cell>
          <cell r="H1037">
            <v>19460</v>
          </cell>
        </row>
        <row r="1038">
          <cell r="F1038" t="str">
            <v>Paku payung</v>
          </cell>
          <cell r="G1038" t="str">
            <v>kg</v>
          </cell>
          <cell r="H1038">
            <v>35590</v>
          </cell>
        </row>
        <row r="1039">
          <cell r="F1039" t="str">
            <v>Paku rivet</v>
          </cell>
          <cell r="G1039" t="str">
            <v>buah</v>
          </cell>
          <cell r="H1039">
            <v>200</v>
          </cell>
        </row>
        <row r="1040">
          <cell r="F1040" t="str">
            <v>Paku sekrup</v>
          </cell>
          <cell r="G1040" t="str">
            <v>kg</v>
          </cell>
          <cell r="H1040">
            <v>30090</v>
          </cell>
        </row>
        <row r="1041">
          <cell r="F1041" t="str">
            <v>Paku sekrup (buah)</v>
          </cell>
          <cell r="G1041" t="str">
            <v>buah</v>
          </cell>
          <cell r="H1041">
            <v>1600</v>
          </cell>
        </row>
        <row r="1042">
          <cell r="F1042" t="str">
            <v>Paku Sekrup 1-2 cm</v>
          </cell>
          <cell r="G1042" t="str">
            <v>buah</v>
          </cell>
          <cell r="H1042">
            <v>1600</v>
          </cell>
        </row>
        <row r="1043">
          <cell r="F1043" t="str">
            <v>Paku Fishes/kotak</v>
          </cell>
          <cell r="G1043" t="str">
            <v>kotak</v>
          </cell>
          <cell r="H1043">
            <v>29000</v>
          </cell>
        </row>
        <row r="1044">
          <cell r="F1044" t="str">
            <v xml:space="preserve">Paku Fishes </v>
          </cell>
          <cell r="G1044" t="str">
            <v xml:space="preserve">buah </v>
          </cell>
          <cell r="H1044">
            <v>580</v>
          </cell>
        </row>
        <row r="1045">
          <cell r="F1045" t="str">
            <v>Pintu tahan api</v>
          </cell>
          <cell r="G1045" t="str">
            <v>unit</v>
          </cell>
          <cell r="H1045">
            <v>8000000</v>
          </cell>
        </row>
        <row r="1046">
          <cell r="F1046" t="str">
            <v>Pipa baja dia. 30 cm</v>
          </cell>
          <cell r="G1046" t="str">
            <v>m'</v>
          </cell>
          <cell r="H1046">
            <v>1680000</v>
          </cell>
        </row>
        <row r="1047">
          <cell r="F1047" t="str">
            <v>Pipa baja dia. 40 cm</v>
          </cell>
          <cell r="G1047" t="str">
            <v>m'</v>
          </cell>
          <cell r="H1047">
            <v>2240000</v>
          </cell>
        </row>
        <row r="1048">
          <cell r="F1048" t="str">
            <v>Pipa baja dia. 50 cm</v>
          </cell>
          <cell r="G1048" t="str">
            <v>m'</v>
          </cell>
          <cell r="H1048">
            <v>2800000</v>
          </cell>
        </row>
        <row r="1049">
          <cell r="F1049" t="str">
            <v>Pipa besi hitam 1 inch</v>
          </cell>
          <cell r="G1049" t="str">
            <v>m'</v>
          </cell>
          <cell r="H1049">
            <v>15500</v>
          </cell>
        </row>
        <row r="1050">
          <cell r="F1050" t="str">
            <v>Pipa besi hitam 1,5 inch</v>
          </cell>
          <cell r="G1050" t="str">
            <v>m'</v>
          </cell>
          <cell r="H1050">
            <v>22000</v>
          </cell>
        </row>
        <row r="1051">
          <cell r="F1051" t="str">
            <v>Pipa besi hitam 2 inch</v>
          </cell>
          <cell r="G1051" t="str">
            <v>m'</v>
          </cell>
          <cell r="H1051">
            <v>31000</v>
          </cell>
        </row>
        <row r="1052">
          <cell r="F1052" t="str">
            <v>Pipa besi hitam 3 inch</v>
          </cell>
          <cell r="G1052" t="str">
            <v>m'</v>
          </cell>
          <cell r="H1052">
            <v>42000</v>
          </cell>
        </row>
        <row r="1053">
          <cell r="F1053" t="str">
            <v>Saringan pasir</v>
          </cell>
          <cell r="G1053" t="str">
            <v>m'</v>
          </cell>
          <cell r="H1053">
            <v>16650</v>
          </cell>
        </row>
        <row r="1054">
          <cell r="F1054" t="str">
            <v>Sekrup kait</v>
          </cell>
          <cell r="G1054" t="str">
            <v>buah</v>
          </cell>
          <cell r="H1054">
            <v>700</v>
          </cell>
        </row>
        <row r="1055">
          <cell r="F1055" t="str">
            <v>Wiremesh M10</v>
          </cell>
          <cell r="G1055" t="str">
            <v>kg</v>
          </cell>
          <cell r="H1055">
            <v>12430</v>
          </cell>
        </row>
        <row r="1056">
          <cell r="F1056" t="str">
            <v>Wiremesh M12</v>
          </cell>
          <cell r="G1056" t="str">
            <v>kg</v>
          </cell>
          <cell r="H1056">
            <v>12660</v>
          </cell>
        </row>
        <row r="1057">
          <cell r="F1057" t="str">
            <v>Wiremesh M6</v>
          </cell>
          <cell r="G1057" t="str">
            <v>kg</v>
          </cell>
          <cell r="H1057">
            <v>11522</v>
          </cell>
        </row>
        <row r="1058">
          <cell r="F1058" t="str">
            <v>Wiremesh M7</v>
          </cell>
          <cell r="G1058" t="str">
            <v>kg</v>
          </cell>
          <cell r="H1058">
            <v>11816</v>
          </cell>
        </row>
        <row r="1059">
          <cell r="F1059" t="str">
            <v>Wiremesh M8</v>
          </cell>
          <cell r="G1059" t="str">
            <v>kg</v>
          </cell>
          <cell r="H1059">
            <v>12049</v>
          </cell>
        </row>
        <row r="1060">
          <cell r="F1060" t="str">
            <v>Wiremesh M9</v>
          </cell>
          <cell r="G1060" t="str">
            <v>kg</v>
          </cell>
          <cell r="H1060">
            <v>12276</v>
          </cell>
        </row>
        <row r="1062">
          <cell r="F1062" t="str">
            <v>Aluminium gelombang 95x180 cm</v>
          </cell>
          <cell r="G1062" t="str">
            <v>lembar</v>
          </cell>
          <cell r="H1062">
            <v>180400</v>
          </cell>
        </row>
        <row r="1063">
          <cell r="F1063" t="str">
            <v>Asbes  gelombang kecil 4mm (150x105)</v>
          </cell>
          <cell r="G1063" t="str">
            <v>lembar</v>
          </cell>
          <cell r="H1063">
            <v>47800</v>
          </cell>
        </row>
        <row r="1064">
          <cell r="F1064" t="str">
            <v>Asbes  gelombang kecil 4mm (180x105)</v>
          </cell>
          <cell r="G1064" t="str">
            <v>lembar</v>
          </cell>
          <cell r="H1064">
            <v>57300</v>
          </cell>
        </row>
        <row r="1065">
          <cell r="F1065" t="str">
            <v>Asbes  gelombang kecil 4mm (210x105)</v>
          </cell>
          <cell r="G1065" t="str">
            <v>lembar</v>
          </cell>
          <cell r="H1065">
            <v>65300</v>
          </cell>
        </row>
        <row r="1066">
          <cell r="F1066" t="str">
            <v>Asbes  gelombang kecil 4mm (240x105)</v>
          </cell>
          <cell r="G1066" t="str">
            <v>lembar</v>
          </cell>
          <cell r="H1066">
            <v>75500</v>
          </cell>
        </row>
        <row r="1067">
          <cell r="F1067" t="str">
            <v>Asbes gelombang besar 5 mm, 150x105 cm</v>
          </cell>
          <cell r="G1067" t="str">
            <v>lembar</v>
          </cell>
          <cell r="H1067">
            <v>120000</v>
          </cell>
        </row>
        <row r="1068">
          <cell r="F1068" t="str">
            <v>Asbes gelombang besar 5 mm, 180x92 cm</v>
          </cell>
          <cell r="G1068" t="str">
            <v>lembar</v>
          </cell>
          <cell r="H1068">
            <v>85500</v>
          </cell>
        </row>
        <row r="1069">
          <cell r="F1069" t="str">
            <v>Asbes gelombang besar 5 mm, 200x92 cm</v>
          </cell>
          <cell r="G1069" t="str">
            <v>lembar</v>
          </cell>
          <cell r="H1069">
            <v>94000</v>
          </cell>
        </row>
        <row r="1070">
          <cell r="F1070" t="str">
            <v>Asbes gelombang besar 5 mm, 210x105 cm</v>
          </cell>
          <cell r="G1070" t="str">
            <v>lembar</v>
          </cell>
          <cell r="H1070">
            <v>125000</v>
          </cell>
        </row>
        <row r="1071">
          <cell r="F1071" t="str">
            <v>Asbes gelombang besar 5 mm, 225x92 cm</v>
          </cell>
          <cell r="G1071" t="str">
            <v>lembar</v>
          </cell>
          <cell r="H1071">
            <v>104900</v>
          </cell>
        </row>
        <row r="1072">
          <cell r="F1072" t="str">
            <v>Asbes gelombang besar 5 mm, 240x105 cm</v>
          </cell>
          <cell r="G1072" t="str">
            <v>lembar</v>
          </cell>
          <cell r="H1072">
            <v>130000</v>
          </cell>
        </row>
        <row r="1073">
          <cell r="F1073" t="str">
            <v>Asbes gelombang besar 5 mm, 250x92 cm</v>
          </cell>
          <cell r="G1073" t="str">
            <v>lembar</v>
          </cell>
          <cell r="H1073">
            <v>113400</v>
          </cell>
        </row>
        <row r="1074">
          <cell r="F1074" t="str">
            <v>Asbes gelombang besar 5 mm, 300x105 cm</v>
          </cell>
          <cell r="G1074" t="str">
            <v>lembar</v>
          </cell>
          <cell r="H1074">
            <v>135000</v>
          </cell>
        </row>
        <row r="1075">
          <cell r="F1075" t="str">
            <v>Asbes gelombang besar 6 mm, 180x108 cm</v>
          </cell>
          <cell r="G1075" t="str">
            <v>lembar</v>
          </cell>
          <cell r="H1075">
            <v>93000</v>
          </cell>
        </row>
        <row r="1076">
          <cell r="F1076" t="str">
            <v>Asbes gelombang besar 6 mm, 210x108 cm</v>
          </cell>
          <cell r="G1076" t="str">
            <v>lembar</v>
          </cell>
          <cell r="H1076">
            <v>92900</v>
          </cell>
        </row>
        <row r="1077">
          <cell r="F1077" t="str">
            <v>Asbes gelombang besar 6 mm, 240x108 cm</v>
          </cell>
          <cell r="G1077" t="str">
            <v>lembar</v>
          </cell>
          <cell r="H1077">
            <v>99600</v>
          </cell>
        </row>
        <row r="1078">
          <cell r="F1078" t="str">
            <v>Asbes gelombang besar 6 mm, 270x108 cm</v>
          </cell>
          <cell r="G1078" t="str">
            <v>lembar</v>
          </cell>
          <cell r="H1078">
            <v>113400</v>
          </cell>
        </row>
        <row r="1079">
          <cell r="F1079" t="str">
            <v>Asbes gelombang besar 6 mm, 300x108 cm</v>
          </cell>
          <cell r="G1079" t="str">
            <v>lembar</v>
          </cell>
          <cell r="H1079">
            <v>131000</v>
          </cell>
        </row>
        <row r="1080">
          <cell r="F1080" t="str">
            <v>Asbes gelombang kecil 4 mm, 270x105 cm</v>
          </cell>
          <cell r="G1080" t="str">
            <v>lembar</v>
          </cell>
          <cell r="H1080">
            <v>88400</v>
          </cell>
        </row>
        <row r="1081">
          <cell r="F1081" t="str">
            <v>Asbes gelombang kecil 4 mm, 300x105 cm</v>
          </cell>
          <cell r="G1081" t="str">
            <v>lembar</v>
          </cell>
          <cell r="H1081">
            <v>100500</v>
          </cell>
        </row>
        <row r="1082">
          <cell r="F1082" t="str">
            <v>Atap metal berpasir</v>
          </cell>
          <cell r="G1082" t="str">
            <v>m2</v>
          </cell>
          <cell r="H1082">
            <v>112500</v>
          </cell>
        </row>
        <row r="1083">
          <cell r="F1083" t="str">
            <v>Atap metal lembaran</v>
          </cell>
          <cell r="G1083" t="str">
            <v>m2</v>
          </cell>
          <cell r="H1083">
            <v>112500</v>
          </cell>
        </row>
        <row r="1084">
          <cell r="F1084" t="str">
            <v>Atap metal menerus</v>
          </cell>
          <cell r="G1084" t="str">
            <v>m2</v>
          </cell>
          <cell r="H1084">
            <v>80000</v>
          </cell>
        </row>
        <row r="1085">
          <cell r="F1085" t="str">
            <v>Atap Rumbia /  Atap Saung 150cmx50cm</v>
          </cell>
          <cell r="G1085" t="str">
            <v>buah</v>
          </cell>
          <cell r="H1085">
            <v>20000</v>
          </cell>
        </row>
        <row r="1086">
          <cell r="F1086" t="str">
            <v>Atap UPVC uk. 86x119 cm</v>
          </cell>
          <cell r="G1086" t="str">
            <v>m2</v>
          </cell>
          <cell r="H1086">
            <v>200000</v>
          </cell>
        </row>
        <row r="1087">
          <cell r="F1087" t="str">
            <v>Bitumen tekstur genting</v>
          </cell>
          <cell r="G1087" t="str">
            <v>lembar</v>
          </cell>
          <cell r="H1087">
            <v>62700</v>
          </cell>
        </row>
        <row r="1088">
          <cell r="F1088" t="str">
            <v>Bubung genteng kodok</v>
          </cell>
          <cell r="G1088" t="str">
            <v>buah</v>
          </cell>
          <cell r="H1088">
            <v>8600</v>
          </cell>
        </row>
        <row r="1089">
          <cell r="F1089" t="str">
            <v>Bubung genteng palentong</v>
          </cell>
          <cell r="G1089" t="str">
            <v>buah</v>
          </cell>
          <cell r="H1089">
            <v>10700</v>
          </cell>
        </row>
        <row r="1090">
          <cell r="F1090" t="str">
            <v>Bubungan asbes  besar</v>
          </cell>
          <cell r="G1090" t="str">
            <v>buah</v>
          </cell>
          <cell r="H1090">
            <v>30700</v>
          </cell>
        </row>
        <row r="1091">
          <cell r="F1091" t="str">
            <v>Bubungan asbes  kecil</v>
          </cell>
          <cell r="G1091" t="str">
            <v>buah</v>
          </cell>
          <cell r="H1091">
            <v>48100</v>
          </cell>
        </row>
        <row r="1092">
          <cell r="F1092" t="str">
            <v>Bubungan beton press</v>
          </cell>
          <cell r="G1092" t="str">
            <v>buah</v>
          </cell>
          <cell r="H1092">
            <v>5300</v>
          </cell>
        </row>
        <row r="1093">
          <cell r="F1093" t="str">
            <v>Fibre glass  (jabes) 180x105 cm</v>
          </cell>
          <cell r="G1093" t="str">
            <v>lembar</v>
          </cell>
          <cell r="H1093">
            <v>78500</v>
          </cell>
        </row>
        <row r="1094">
          <cell r="F1094" t="str">
            <v>Fibre glass  (jabes) 200x92 cm</v>
          </cell>
          <cell r="G1094" t="str">
            <v>lembar</v>
          </cell>
          <cell r="H1094">
            <v>68500</v>
          </cell>
        </row>
        <row r="1095">
          <cell r="F1095" t="str">
            <v>Fibre glass  (jabes) 210x105 cm</v>
          </cell>
          <cell r="G1095" t="str">
            <v>buah</v>
          </cell>
          <cell r="H1095">
            <v>89700</v>
          </cell>
        </row>
        <row r="1096">
          <cell r="F1096" t="str">
            <v>Fibre glass  (jabes) 250x105 cm</v>
          </cell>
          <cell r="G1096" t="str">
            <v>buah</v>
          </cell>
          <cell r="H1096">
            <v>122300</v>
          </cell>
        </row>
        <row r="1097">
          <cell r="F1097" t="str">
            <v>Fibre glass  (jabes) 250x92 cm</v>
          </cell>
          <cell r="G1097" t="str">
            <v>buah</v>
          </cell>
          <cell r="H1097">
            <v>162500</v>
          </cell>
        </row>
        <row r="1098">
          <cell r="F1098" t="str">
            <v>Fibreglass 180x90 cm</v>
          </cell>
          <cell r="G1098" t="str">
            <v>lembar</v>
          </cell>
          <cell r="H1098">
            <v>59600</v>
          </cell>
        </row>
        <row r="1099">
          <cell r="F1099" t="str">
            <v>Frame 'S' 85.50 tinggi profil 85 dan tebal 0,75  mm</v>
          </cell>
          <cell r="G1099" t="str">
            <v>batang</v>
          </cell>
          <cell r="H1099">
            <v>145000</v>
          </cell>
        </row>
        <row r="1100">
          <cell r="F1100" t="str">
            <v>Galvalum Gelombang Lapis  Pasir</v>
          </cell>
          <cell r="G1100" t="str">
            <v>lembar</v>
          </cell>
          <cell r="H1100">
            <v>61200</v>
          </cell>
        </row>
        <row r="1101">
          <cell r="F1101" t="str">
            <v>Genteng aspal 80x100 cm</v>
          </cell>
          <cell r="G1101" t="str">
            <v>buah</v>
          </cell>
          <cell r="H1101">
            <v>149700</v>
          </cell>
        </row>
        <row r="1102">
          <cell r="F1102" t="str">
            <v>Genteng beton</v>
          </cell>
          <cell r="G1102" t="str">
            <v>buah</v>
          </cell>
          <cell r="H1102">
            <v>6800</v>
          </cell>
        </row>
        <row r="1103">
          <cell r="F1103" t="str">
            <v>Genteng decra bond</v>
          </cell>
          <cell r="G1103" t="str">
            <v>buah</v>
          </cell>
          <cell r="H1103">
            <v>9800</v>
          </cell>
        </row>
        <row r="1104">
          <cell r="F1104" t="str">
            <v>Genteng kodok</v>
          </cell>
          <cell r="G1104" t="str">
            <v>buah</v>
          </cell>
          <cell r="H1104">
            <v>3400</v>
          </cell>
        </row>
        <row r="1105">
          <cell r="F1105" t="str">
            <v>Genteng kodok glazuur</v>
          </cell>
          <cell r="G1105" t="str">
            <v>buah</v>
          </cell>
          <cell r="H1105">
            <v>5800</v>
          </cell>
        </row>
        <row r="1106">
          <cell r="F1106" t="str">
            <v>Genteng metal</v>
          </cell>
          <cell r="G1106" t="str">
            <v>lembar</v>
          </cell>
          <cell r="H1106">
            <v>50700</v>
          </cell>
        </row>
        <row r="1107">
          <cell r="F1107" t="str">
            <v>Genteng metal berpasir</v>
          </cell>
          <cell r="G1107" t="str">
            <v>lembar</v>
          </cell>
          <cell r="H1107">
            <v>30500</v>
          </cell>
        </row>
        <row r="1108">
          <cell r="F1108" t="str">
            <v>Genteng palentong</v>
          </cell>
          <cell r="G1108" t="str">
            <v>buah</v>
          </cell>
          <cell r="H1108">
            <v>2800</v>
          </cell>
        </row>
        <row r="1109">
          <cell r="F1109" t="str">
            <v>Genteng palentong super</v>
          </cell>
          <cell r="G1109" t="str">
            <v>buah</v>
          </cell>
          <cell r="H1109">
            <v>5300</v>
          </cell>
        </row>
        <row r="1110">
          <cell r="F1110" t="str">
            <v>Listplang papan kalsiboard</v>
          </cell>
          <cell r="G1110" t="str">
            <v>buah</v>
          </cell>
          <cell r="H1110">
            <v>56200</v>
          </cell>
        </row>
        <row r="1111">
          <cell r="F1111" t="str">
            <v>Listplang tekstur kayu</v>
          </cell>
          <cell r="G1111" t="str">
            <v>buah</v>
          </cell>
          <cell r="H1111">
            <v>54500</v>
          </cell>
        </row>
        <row r="1112">
          <cell r="F1112" t="str">
            <v>Nok genteng aspal</v>
          </cell>
          <cell r="G1112" t="str">
            <v>buah</v>
          </cell>
          <cell r="H1112">
            <v>95000</v>
          </cell>
        </row>
        <row r="1113">
          <cell r="F1113" t="str">
            <v>Nok genteng beton</v>
          </cell>
          <cell r="G1113" t="str">
            <v>buah</v>
          </cell>
          <cell r="H1113">
            <v>9600</v>
          </cell>
        </row>
        <row r="1114">
          <cell r="F1114" t="str">
            <v>Nok genteng metal</v>
          </cell>
          <cell r="G1114" t="str">
            <v>buah</v>
          </cell>
          <cell r="H1114">
            <v>25600</v>
          </cell>
        </row>
        <row r="1115">
          <cell r="F1115" t="str">
            <v>Nok paten 105 cm</v>
          </cell>
          <cell r="G1115" t="str">
            <v>lembar</v>
          </cell>
          <cell r="H1115">
            <v>70000</v>
          </cell>
        </row>
        <row r="1116">
          <cell r="F1116" t="str">
            <v>Nok paten 108 cm</v>
          </cell>
          <cell r="G1116" t="str">
            <v>lembar</v>
          </cell>
          <cell r="H1116">
            <v>75000</v>
          </cell>
        </row>
        <row r="1117">
          <cell r="F1117" t="str">
            <v>Nok paten 92 cm</v>
          </cell>
          <cell r="G1117" t="str">
            <v>lembar</v>
          </cell>
          <cell r="H1117">
            <v>65000</v>
          </cell>
        </row>
        <row r="1118">
          <cell r="F1118" t="str">
            <v>Nok setel rata 105 cm</v>
          </cell>
          <cell r="G1118" t="str">
            <v>lembar</v>
          </cell>
          <cell r="H1118">
            <v>75000</v>
          </cell>
        </row>
        <row r="1119">
          <cell r="F1119" t="str">
            <v>Nok setel rata 108 cm</v>
          </cell>
          <cell r="G1119" t="str">
            <v>lembar</v>
          </cell>
          <cell r="H1119">
            <v>80000</v>
          </cell>
        </row>
        <row r="1120">
          <cell r="F1120" t="str">
            <v>Nok setel rata 92 cm</v>
          </cell>
          <cell r="G1120" t="str">
            <v>lembar</v>
          </cell>
          <cell r="H1120">
            <v>70000</v>
          </cell>
        </row>
        <row r="1121">
          <cell r="F1121" t="str">
            <v>Nok standar</v>
          </cell>
          <cell r="G1121" t="str">
            <v>lembar</v>
          </cell>
          <cell r="H1121">
            <v>67000</v>
          </cell>
        </row>
        <row r="1122">
          <cell r="F1122" t="str">
            <v>Nok stel gelombang 105 cm</v>
          </cell>
          <cell r="G1122" t="str">
            <v>lembar</v>
          </cell>
          <cell r="H1122">
            <v>70000</v>
          </cell>
        </row>
        <row r="1123">
          <cell r="F1123" t="str">
            <v>Nok stel gelombang 108 cm</v>
          </cell>
          <cell r="G1123" t="str">
            <v>lembar</v>
          </cell>
          <cell r="H1123">
            <v>80000</v>
          </cell>
        </row>
        <row r="1124">
          <cell r="F1124" t="str">
            <v>Nok stel gelombang 92 cm</v>
          </cell>
          <cell r="G1124" t="str">
            <v>lembar</v>
          </cell>
          <cell r="H1124">
            <v>60000</v>
          </cell>
        </row>
        <row r="1125">
          <cell r="F1125" t="str">
            <v>Reng  batten  0,5</v>
          </cell>
          <cell r="G1125" t="str">
            <v>batang</v>
          </cell>
          <cell r="H1125">
            <v>35000</v>
          </cell>
        </row>
        <row r="1126">
          <cell r="F1126" t="str">
            <v>Roof light fiberglass</v>
          </cell>
          <cell r="G1126" t="str">
            <v>lembar</v>
          </cell>
          <cell r="H1126">
            <v>116300</v>
          </cell>
        </row>
        <row r="1127">
          <cell r="F1127" t="str">
            <v>Seng gelombang</v>
          </cell>
          <cell r="G1127" t="str">
            <v>lembar</v>
          </cell>
          <cell r="H1127">
            <v>85000</v>
          </cell>
        </row>
        <row r="1128">
          <cell r="F1128" t="str">
            <v>Seng gelombang 3x6 inch</v>
          </cell>
          <cell r="G1128" t="str">
            <v>lembar</v>
          </cell>
          <cell r="H1128">
            <v>83100</v>
          </cell>
        </row>
        <row r="1129">
          <cell r="F1129" t="str">
            <v>Seng Gelombang 105 cm x 180 cm</v>
          </cell>
          <cell r="G1129" t="str">
            <v xml:space="preserve">Lembar </v>
          </cell>
          <cell r="H1129">
            <v>85000</v>
          </cell>
        </row>
        <row r="1130">
          <cell r="F1130" t="str">
            <v>Seng gelombang bjls  0.18 panjang 180 cm</v>
          </cell>
          <cell r="G1130" t="str">
            <v>lembar</v>
          </cell>
          <cell r="H1130">
            <v>55200</v>
          </cell>
        </row>
        <row r="1131">
          <cell r="F1131" t="str">
            <v>Seng gelombang bjls  0.20 panjang 180 cm</v>
          </cell>
          <cell r="G1131" t="str">
            <v>lembar</v>
          </cell>
          <cell r="H1131">
            <v>63900</v>
          </cell>
        </row>
        <row r="1132">
          <cell r="F1132" t="str">
            <v>Seng gelombang bjls  30 panjang 180 cm</v>
          </cell>
          <cell r="G1132" t="str">
            <v>lembar</v>
          </cell>
          <cell r="H1132">
            <v>73300</v>
          </cell>
        </row>
        <row r="1133">
          <cell r="F1133" t="str">
            <v>Seng gelombang bjls  0.40 panjang 180 cm</v>
          </cell>
          <cell r="G1133" t="str">
            <v>lembar</v>
          </cell>
          <cell r="H1133">
            <v>73000</v>
          </cell>
        </row>
        <row r="1134">
          <cell r="F1134" t="str">
            <v>Seng gelombang bjls  28</v>
          </cell>
          <cell r="G1134" t="str">
            <v>lembar</v>
          </cell>
          <cell r="H1134">
            <v>85500</v>
          </cell>
        </row>
        <row r="1135">
          <cell r="F1135" t="str">
            <v>Seng gelombang bljs 30</v>
          </cell>
          <cell r="G1135" t="str">
            <v>lembar</v>
          </cell>
          <cell r="H1135">
            <v>79000</v>
          </cell>
        </row>
        <row r="1136">
          <cell r="F1136" t="str">
            <v>Seng gelombang panjang 200 cm</v>
          </cell>
          <cell r="G1136" t="str">
            <v>lembar</v>
          </cell>
          <cell r="H1136">
            <v>85000</v>
          </cell>
        </row>
        <row r="1137">
          <cell r="F1137" t="str">
            <v>Seng plat  BJLS 0.18 lebar 55 cm</v>
          </cell>
          <cell r="G1137" t="str">
            <v>m'</v>
          </cell>
          <cell r="H1137">
            <v>24800</v>
          </cell>
        </row>
        <row r="1138">
          <cell r="F1138" t="str">
            <v>Seng plat  BJLS 0.20 lebar 55 cm</v>
          </cell>
          <cell r="G1138" t="str">
            <v>m'</v>
          </cell>
          <cell r="H1138">
            <v>28100</v>
          </cell>
        </row>
        <row r="1139">
          <cell r="F1139" t="str">
            <v>Seng plat  BJLS 0.28 lebar 55 cm</v>
          </cell>
          <cell r="G1139" t="str">
            <v>m'</v>
          </cell>
          <cell r="H1139">
            <v>30400</v>
          </cell>
        </row>
        <row r="1140">
          <cell r="F1140" t="str">
            <v>Seng plat  BJLS 0.30 lebar 55 cm</v>
          </cell>
          <cell r="G1140" t="str">
            <v>m'</v>
          </cell>
          <cell r="H1140">
            <v>34600</v>
          </cell>
        </row>
        <row r="1141">
          <cell r="F1141" t="str">
            <v>Seng plat 3x6 inch</v>
          </cell>
          <cell r="G1141" t="str">
            <v>lembar</v>
          </cell>
          <cell r="H1141">
            <v>66900</v>
          </cell>
        </row>
        <row r="1142">
          <cell r="F1142" t="str">
            <v>Seng plat 3x6 inch bjls 28</v>
          </cell>
          <cell r="G1142" t="str">
            <v>lembar</v>
          </cell>
          <cell r="H1142">
            <v>72200</v>
          </cell>
        </row>
        <row r="1143">
          <cell r="F1143" t="str">
            <v>Seng pelat</v>
          </cell>
          <cell r="G1143" t="str">
            <v>lembar</v>
          </cell>
          <cell r="H1143">
            <v>72200</v>
          </cell>
        </row>
        <row r="1144">
          <cell r="F1144" t="str">
            <v>Seng Pelat  90x180 cm bjls 28</v>
          </cell>
          <cell r="G1144" t="str">
            <v xml:space="preserve">lembar </v>
          </cell>
          <cell r="H1144">
            <v>72200</v>
          </cell>
        </row>
        <row r="1145">
          <cell r="F1145" t="str">
            <v>Seng plat bjls 28</v>
          </cell>
          <cell r="G1145" t="str">
            <v>m'</v>
          </cell>
          <cell r="H1145">
            <v>70200</v>
          </cell>
        </row>
        <row r="1146">
          <cell r="F1146" t="str">
            <v>Seng plat bjls 30</v>
          </cell>
          <cell r="G1146" t="str">
            <v>m'</v>
          </cell>
          <cell r="H1146">
            <v>74400</v>
          </cell>
        </row>
        <row r="1147">
          <cell r="F1147" t="str">
            <v>Seng plat bjls 30</v>
          </cell>
          <cell r="G1147" t="str">
            <v>lembar</v>
          </cell>
          <cell r="H1147">
            <v>35000</v>
          </cell>
        </row>
        <row r="1148">
          <cell r="F1148" t="str">
            <v>Sirap (100 lbr)</v>
          </cell>
          <cell r="G1148" t="str">
            <v>pak</v>
          </cell>
          <cell r="H1148">
            <v>200000</v>
          </cell>
        </row>
        <row r="1149">
          <cell r="F1149" t="str">
            <v>Sirap kayu</v>
          </cell>
          <cell r="G1149" t="str">
            <v>buah</v>
          </cell>
          <cell r="H1149">
            <v>5000</v>
          </cell>
        </row>
        <row r="1150">
          <cell r="F1150" t="str">
            <v>Wab  capsule 62.27  tinggi 62  mm dan  tebal 0,4mm</v>
          </cell>
          <cell r="G1150" t="str">
            <v>batang</v>
          </cell>
          <cell r="H1150">
            <v>55000</v>
          </cell>
        </row>
        <row r="1151">
          <cell r="F1151" t="str">
            <v>MATERIAL PLAFON</v>
          </cell>
        </row>
        <row r="1152">
          <cell r="F1152" t="str">
            <v>Asbes 1,00  x 1,00  m</v>
          </cell>
          <cell r="G1152" t="str">
            <v>lembar</v>
          </cell>
          <cell r="H1152">
            <v>17400</v>
          </cell>
        </row>
        <row r="1153">
          <cell r="F1153" t="str">
            <v>Compon Flafond</v>
          </cell>
          <cell r="G1153" t="str">
            <v>kg</v>
          </cell>
          <cell r="H1153">
            <v>5000</v>
          </cell>
        </row>
        <row r="1154">
          <cell r="F1154" t="str">
            <v>cross tee</v>
          </cell>
          <cell r="G1154" t="str">
            <v>batang</v>
          </cell>
          <cell r="H1154">
            <v>18000</v>
          </cell>
        </row>
        <row r="1155">
          <cell r="F1155" t="str">
            <v>GRC Pelat t=4 mm uk 122x244 cm</v>
          </cell>
          <cell r="G1155" t="str">
            <v>lembar</v>
          </cell>
          <cell r="H1155">
            <v>200000</v>
          </cell>
        </row>
        <row r="1156">
          <cell r="F1156" t="str">
            <v>GRCboard (120 cm x  240 cm x  5 mm)</v>
          </cell>
          <cell r="G1156" t="str">
            <v>m2</v>
          </cell>
          <cell r="H1156">
            <v>80800</v>
          </cell>
        </row>
        <row r="1157">
          <cell r="F1157" t="str">
            <v>GRCboard (120 cm x  240 cm x  6 mm)</v>
          </cell>
          <cell r="G1157" t="str">
            <v>m2</v>
          </cell>
          <cell r="H1157">
            <v>99300</v>
          </cell>
        </row>
        <row r="1158">
          <cell r="F1158" t="str">
            <v>Gypsum Board (120 cm x  240 cm x  12 mm)</v>
          </cell>
          <cell r="G1158" t="str">
            <v>lembar</v>
          </cell>
          <cell r="H1158">
            <v>93000</v>
          </cell>
        </row>
        <row r="1159">
          <cell r="F1159" t="str">
            <v>Gypsum Board (122 cm x  244 cm x  12 mm)</v>
          </cell>
          <cell r="G1159" t="str">
            <v xml:space="preserve">Lembar </v>
          </cell>
          <cell r="H1159">
            <v>96000</v>
          </cell>
        </row>
        <row r="1160">
          <cell r="F1160" t="str">
            <v>Gypsum board (120 cm x 240 cm x 9 mm)</v>
          </cell>
          <cell r="G1160" t="str">
            <v>lembar</v>
          </cell>
          <cell r="H1160">
            <v>70000</v>
          </cell>
        </row>
        <row r="1161">
          <cell r="F1161" t="str">
            <v>Rockwool tebal 50 mm</v>
          </cell>
          <cell r="G1161" t="str">
            <v>m2</v>
          </cell>
          <cell r="H1161">
            <v>290000</v>
          </cell>
        </row>
        <row r="1162">
          <cell r="F1162" t="str">
            <v>Lambersening plafon ˂3</v>
          </cell>
          <cell r="G1162" t="str">
            <v>m2</v>
          </cell>
          <cell r="H1162">
            <v>180000</v>
          </cell>
        </row>
        <row r="1163">
          <cell r="F1163" t="str">
            <v>Lambersening plafon ˃3</v>
          </cell>
          <cell r="G1163" t="str">
            <v>m2</v>
          </cell>
          <cell r="H1163">
            <v>200000</v>
          </cell>
        </row>
        <row r="1164">
          <cell r="F1164" t="str">
            <v>List gypsum profil</v>
          </cell>
          <cell r="G1164" t="str">
            <v>m'</v>
          </cell>
          <cell r="H1164">
            <v>15800</v>
          </cell>
        </row>
        <row r="1165">
          <cell r="F1165" t="str">
            <v>Listplank GRC lebar 20 cm</v>
          </cell>
          <cell r="G1165" t="str">
            <v>m'</v>
          </cell>
          <cell r="H1165">
            <v>21000</v>
          </cell>
        </row>
        <row r="1166">
          <cell r="F1166" t="str">
            <v>Listplank GRC lebar 30 cm</v>
          </cell>
          <cell r="G1166" t="str">
            <v>m'</v>
          </cell>
          <cell r="H1166">
            <v>23000</v>
          </cell>
        </row>
        <row r="1167">
          <cell r="F1167" t="str">
            <v>Main tee</v>
          </cell>
          <cell r="G1167" t="str">
            <v>batang</v>
          </cell>
          <cell r="H1167">
            <v>34000</v>
          </cell>
        </row>
        <row r="1168">
          <cell r="F1168" t="str">
            <v>Papan semen</v>
          </cell>
          <cell r="G1168" t="str">
            <v>m2</v>
          </cell>
          <cell r="H1168">
            <v>45000</v>
          </cell>
        </row>
        <row r="1169">
          <cell r="F1169" t="str">
            <v>Asbes gelombang</v>
          </cell>
          <cell r="G1169" t="str">
            <v>lembar</v>
          </cell>
          <cell r="H1169">
            <v>62400</v>
          </cell>
        </row>
        <row r="1170">
          <cell r="F1170" t="str">
            <v>Pelat  asbes  tebal 3,5 mm</v>
          </cell>
          <cell r="G1170" t="str">
            <v>lembar</v>
          </cell>
          <cell r="H1170">
            <v>62400</v>
          </cell>
        </row>
        <row r="1171">
          <cell r="F1171" t="str">
            <v>Pelat  asbes  tebal 4 mm</v>
          </cell>
          <cell r="G1171" t="str">
            <v>lembar</v>
          </cell>
          <cell r="H1171">
            <v>69800</v>
          </cell>
        </row>
        <row r="1172">
          <cell r="F1172" t="str">
            <v>Plafon akustik 30x30 cm</v>
          </cell>
          <cell r="G1172" t="str">
            <v>lembar</v>
          </cell>
          <cell r="H1172">
            <v>6200</v>
          </cell>
        </row>
        <row r="1173">
          <cell r="F1173" t="str">
            <v>Plafon akustik 30x60 cm</v>
          </cell>
          <cell r="G1173" t="str">
            <v>lembar</v>
          </cell>
          <cell r="H1173">
            <v>13900</v>
          </cell>
        </row>
        <row r="1174">
          <cell r="F1174" t="str">
            <v>Plafon akustik 60x120 cm</v>
          </cell>
          <cell r="G1174" t="str">
            <v>lembar</v>
          </cell>
          <cell r="H1174">
            <v>24000</v>
          </cell>
        </row>
        <row r="1176">
          <cell r="F1176" t="str">
            <v>Bata Ekspose Tempel warna natural 8x24x2 cm</v>
          </cell>
          <cell r="G1176" t="str">
            <v>m'</v>
          </cell>
          <cell r="H1176">
            <v>125000</v>
          </cell>
        </row>
        <row r="1177">
          <cell r="F1177" t="str">
            <v>Bata tempel</v>
          </cell>
          <cell r="G1177" t="str">
            <v>buah</v>
          </cell>
          <cell r="H1177">
            <v>2500</v>
          </cell>
        </row>
        <row r="1178">
          <cell r="F1178" t="str">
            <v>Batako 20x40x10 cm</v>
          </cell>
          <cell r="G1178" t="str">
            <v>buah</v>
          </cell>
          <cell r="H1178">
            <v>3000</v>
          </cell>
        </row>
        <row r="1179">
          <cell r="F1179" t="str">
            <v>Batu andesit  30x30 t=3cm</v>
          </cell>
          <cell r="G1179" t="str">
            <v>m2</v>
          </cell>
          <cell r="H1179">
            <v>165000</v>
          </cell>
        </row>
        <row r="1180">
          <cell r="F1180" t="str">
            <v>Batu andesit  30x30 t=5cm</v>
          </cell>
          <cell r="G1180" t="str">
            <v>m2</v>
          </cell>
          <cell r="H1180">
            <v>265000</v>
          </cell>
        </row>
        <row r="1181">
          <cell r="F1181" t="str">
            <v>Batu paras</v>
          </cell>
          <cell r="G1181" t="str">
            <v>m2</v>
          </cell>
          <cell r="H1181">
            <v>125000</v>
          </cell>
        </row>
        <row r="1182">
          <cell r="F1182" t="str">
            <v>Batu paros</v>
          </cell>
          <cell r="G1182" t="str">
            <v>m2</v>
          </cell>
          <cell r="H1182">
            <v>131600</v>
          </cell>
        </row>
        <row r="1183">
          <cell r="F1183" t="str">
            <v>Batu tempel hitam</v>
          </cell>
          <cell r="G1183" t="str">
            <v>m2</v>
          </cell>
          <cell r="H1183">
            <v>121600</v>
          </cell>
        </row>
        <row r="1184">
          <cell r="F1184" t="str">
            <v>Floor hardener</v>
          </cell>
          <cell r="G1184" t="str">
            <v>kg</v>
          </cell>
          <cell r="H1184">
            <v>5000</v>
          </cell>
        </row>
        <row r="1185">
          <cell r="F1185" t="str">
            <v>Flooring Kayu Kruing   1,5x13,5x60 cm</v>
          </cell>
          <cell r="G1185" t="str">
            <v>m2</v>
          </cell>
          <cell r="H1185">
            <v>195000</v>
          </cell>
        </row>
        <row r="1186">
          <cell r="F1186" t="str">
            <v>Flooring Kayu Merbau 1,5x9x30cm</v>
          </cell>
          <cell r="G1186" t="str">
            <v>m2</v>
          </cell>
          <cell r="H1186">
            <v>420000</v>
          </cell>
        </row>
        <row r="1187">
          <cell r="F1187" t="str">
            <v>Flooring Kayu Sonokeling Grade B  1,5x9x30cm</v>
          </cell>
          <cell r="G1187" t="str">
            <v>m2</v>
          </cell>
          <cell r="H1187">
            <v>420000</v>
          </cell>
        </row>
        <row r="1188">
          <cell r="F1188" t="str">
            <v>Granit  bakar 10x10, t=2cm</v>
          </cell>
          <cell r="G1188" t="str">
            <v>m2</v>
          </cell>
          <cell r="H1188">
            <v>275000</v>
          </cell>
        </row>
        <row r="1189">
          <cell r="F1189" t="str">
            <v>Granit  bakar 30x30, t=2cm</v>
          </cell>
          <cell r="G1189" t="str">
            <v>m2</v>
          </cell>
          <cell r="H1189">
            <v>315000</v>
          </cell>
        </row>
        <row r="1190">
          <cell r="F1190" t="str">
            <v>Granit  tile unpolish /  anti skid</v>
          </cell>
          <cell r="G1190" t="str">
            <v>m2</v>
          </cell>
          <cell r="H1190">
            <v>220100</v>
          </cell>
        </row>
        <row r="1191">
          <cell r="F1191" t="str">
            <v>Granit tile 30x30 cm (double loading)</v>
          </cell>
          <cell r="G1191" t="str">
            <v>buah</v>
          </cell>
          <cell r="H1191">
            <v>27700</v>
          </cell>
        </row>
        <row r="1192">
          <cell r="F1192" t="str">
            <v>Granit tile 40x40 cm (double loading)</v>
          </cell>
          <cell r="G1192" t="str">
            <v>buah</v>
          </cell>
          <cell r="H1192">
            <v>39200</v>
          </cell>
        </row>
        <row r="1193">
          <cell r="F1193" t="str">
            <v>Granit tile 60x60 cm (double loading)</v>
          </cell>
          <cell r="G1193" t="str">
            <v>buah</v>
          </cell>
          <cell r="H1193">
            <v>92800</v>
          </cell>
        </row>
        <row r="1194">
          <cell r="F1194" t="str">
            <v>Granito  30 x  30 cm</v>
          </cell>
          <cell r="G1194" t="str">
            <v>m2</v>
          </cell>
          <cell r="H1194">
            <v>326400</v>
          </cell>
        </row>
        <row r="1195">
          <cell r="F1195" t="str">
            <v>Granito  40 x  40 cm</v>
          </cell>
          <cell r="G1195" t="str">
            <v>m2</v>
          </cell>
          <cell r="H1195">
            <v>242500</v>
          </cell>
        </row>
        <row r="1196">
          <cell r="F1196" t="str">
            <v>Guiding Block Warna t  =  6 cm</v>
          </cell>
          <cell r="G1196" t="str">
            <v>m2</v>
          </cell>
          <cell r="H1196">
            <v>330600</v>
          </cell>
        </row>
        <row r="1197">
          <cell r="F1197" t="str">
            <v>Homogenous tile 30x30 cm</v>
          </cell>
          <cell r="G1197" t="str">
            <v>buah</v>
          </cell>
          <cell r="H1197">
            <v>20000</v>
          </cell>
        </row>
        <row r="1198">
          <cell r="F1198" t="str">
            <v>Homogenous tile 40x40 cm</v>
          </cell>
          <cell r="G1198" t="str">
            <v>buah</v>
          </cell>
          <cell r="H1198">
            <v>30000</v>
          </cell>
        </row>
        <row r="1199">
          <cell r="F1199" t="str">
            <v>Homogenous tile 60x60 cm</v>
          </cell>
          <cell r="G1199" t="str">
            <v>buah</v>
          </cell>
          <cell r="H1199">
            <v>50000</v>
          </cell>
        </row>
        <row r="1200">
          <cell r="F1200" t="str">
            <v>Homogenous tile unpolish 30x30 cm</v>
          </cell>
          <cell r="G1200" t="str">
            <v>buah</v>
          </cell>
          <cell r="H1200">
            <v>27000</v>
          </cell>
        </row>
        <row r="1201">
          <cell r="F1201" t="str">
            <v>Homogenous tile unpolish 40x40 cm</v>
          </cell>
          <cell r="G1201" t="str">
            <v>buah</v>
          </cell>
          <cell r="H1201">
            <v>39000</v>
          </cell>
        </row>
        <row r="1202">
          <cell r="F1202" t="str">
            <v>Homogenous tile unpolish 60x60 cm</v>
          </cell>
          <cell r="G1202" t="str">
            <v>buah</v>
          </cell>
          <cell r="H1202">
            <v>56000</v>
          </cell>
        </row>
        <row r="1203">
          <cell r="F1203" t="str">
            <v>Homogenous tile dinding 30x30 cm</v>
          </cell>
          <cell r="G1203" t="str">
            <v>buah</v>
          </cell>
          <cell r="H1203">
            <v>22000</v>
          </cell>
        </row>
        <row r="1204">
          <cell r="F1204" t="str">
            <v>Homogenous tile dinding 40x40 cm</v>
          </cell>
          <cell r="G1204" t="str">
            <v>buah</v>
          </cell>
          <cell r="H1204">
            <v>30000</v>
          </cell>
        </row>
        <row r="1205">
          <cell r="F1205" t="str">
            <v>Homogenous tile dinding 60x60 cm</v>
          </cell>
          <cell r="G1205" t="str">
            <v>buah</v>
          </cell>
          <cell r="H1205">
            <v>35000</v>
          </cell>
        </row>
        <row r="1206">
          <cell r="F1206" t="str">
            <v>Karpet</v>
          </cell>
          <cell r="G1206" t="str">
            <v>m2</v>
          </cell>
          <cell r="H1206">
            <v>45000</v>
          </cell>
        </row>
        <row r="1207">
          <cell r="F1207" t="str">
            <v>Keramik  20  x 25  cm</v>
          </cell>
          <cell r="G1207" t="str">
            <v>buah</v>
          </cell>
          <cell r="H1207">
            <v>2400</v>
          </cell>
        </row>
        <row r="1208">
          <cell r="F1208" t="str">
            <v>Keramik 10 x  20 cm</v>
          </cell>
          <cell r="G1208" t="str">
            <v>buah</v>
          </cell>
          <cell r="H1208">
            <v>2300</v>
          </cell>
        </row>
        <row r="1209">
          <cell r="F1209" t="str">
            <v>Keramik 20x20 cm</v>
          </cell>
          <cell r="G1209" t="str">
            <v>buah</v>
          </cell>
          <cell r="H1209">
            <v>2200</v>
          </cell>
        </row>
        <row r="1210">
          <cell r="F1210" t="str">
            <v>Keramik 25 x  25 cm</v>
          </cell>
          <cell r="G1210" t="str">
            <v>buah</v>
          </cell>
          <cell r="H1210">
            <v>3100</v>
          </cell>
        </row>
        <row r="1211">
          <cell r="F1211" t="str">
            <v>Keramik 30x30 cm</v>
          </cell>
          <cell r="G1211" t="str">
            <v>buah</v>
          </cell>
          <cell r="H1211">
            <v>4000</v>
          </cell>
        </row>
        <row r="1212">
          <cell r="F1212" t="str">
            <v>Keramik 40x40 cm</v>
          </cell>
          <cell r="G1212" t="str">
            <v>buah</v>
          </cell>
          <cell r="H1212">
            <v>8100</v>
          </cell>
        </row>
        <row r="1213">
          <cell r="F1213" t="str">
            <v>Keramik 60x60 cm</v>
          </cell>
          <cell r="G1213" t="str">
            <v>buah</v>
          </cell>
          <cell r="H1213">
            <v>12000</v>
          </cell>
        </row>
        <row r="1214">
          <cell r="F1214" t="str">
            <v>Keramik Variasi 30x30 cm</v>
          </cell>
          <cell r="G1214" t="str">
            <v>buah</v>
          </cell>
          <cell r="H1214">
            <v>4000</v>
          </cell>
        </row>
        <row r="1215">
          <cell r="F1215" t="str">
            <v>Keramik Variasi 40x40 cm</v>
          </cell>
          <cell r="G1215" t="str">
            <v>buah</v>
          </cell>
          <cell r="H1215">
            <v>8100</v>
          </cell>
        </row>
        <row r="1216">
          <cell r="F1216" t="str">
            <v>KeramikVariasi  60x60 cm</v>
          </cell>
          <cell r="G1216" t="str">
            <v>buah</v>
          </cell>
          <cell r="H1216">
            <v>12000</v>
          </cell>
        </row>
        <row r="1217">
          <cell r="F1217" t="str">
            <v>Step Nosing Keramik 10x60 cm</v>
          </cell>
          <cell r="G1217" t="str">
            <v xml:space="preserve">buah </v>
          </cell>
          <cell r="H1217">
            <v>28000</v>
          </cell>
        </row>
        <row r="1218">
          <cell r="F1218" t="str">
            <v xml:space="preserve">Keramik Tactile 30x30 cm </v>
          </cell>
          <cell r="G1218" t="str">
            <v xml:space="preserve">buah </v>
          </cell>
          <cell r="H1218">
            <v>37000</v>
          </cell>
        </row>
        <row r="1219">
          <cell r="F1219" t="str">
            <v>Keramik Tactile 40x40 cm</v>
          </cell>
          <cell r="G1219" t="str">
            <v xml:space="preserve">buah </v>
          </cell>
          <cell r="H1219">
            <v>39500</v>
          </cell>
        </row>
        <row r="1220">
          <cell r="F1220" t="str">
            <v>Keramik artistik 10x10 cm</v>
          </cell>
          <cell r="G1220" t="str">
            <v>buah</v>
          </cell>
          <cell r="H1220">
            <v>1500</v>
          </cell>
        </row>
        <row r="1221">
          <cell r="F1221" t="str">
            <v>Keramik artistik 20x20 cm</v>
          </cell>
          <cell r="G1221" t="str">
            <v>buah</v>
          </cell>
          <cell r="H1221">
            <v>2000</v>
          </cell>
        </row>
        <row r="1222">
          <cell r="F1222" t="str">
            <v>Keramik artistik 30x30 cm</v>
          </cell>
          <cell r="G1222" t="str">
            <v>buah</v>
          </cell>
          <cell r="H1222">
            <v>3000</v>
          </cell>
        </row>
        <row r="1223">
          <cell r="F1223" t="str">
            <v>Keramik artistik 40x40 cm</v>
          </cell>
          <cell r="G1223" t="str">
            <v>buah</v>
          </cell>
          <cell r="H1223">
            <v>4000</v>
          </cell>
        </row>
        <row r="1224">
          <cell r="F1224" t="str">
            <v>Keramik artistik 8x8 cm</v>
          </cell>
          <cell r="G1224" t="str">
            <v>buah</v>
          </cell>
          <cell r="H1224">
            <v>1000</v>
          </cell>
        </row>
        <row r="1225">
          <cell r="F1225" t="str">
            <v>Keramik cuting 50x50</v>
          </cell>
          <cell r="G1225" t="str">
            <v>buah</v>
          </cell>
          <cell r="H1225">
            <v>27500</v>
          </cell>
        </row>
        <row r="1226">
          <cell r="F1226" t="str">
            <v>Keramik dinding 10x20 cm</v>
          </cell>
          <cell r="G1226" t="str">
            <v>buah</v>
          </cell>
          <cell r="H1226">
            <v>2000</v>
          </cell>
        </row>
        <row r="1227">
          <cell r="F1227" t="str">
            <v>Keramik dinding 20x20 cm</v>
          </cell>
          <cell r="G1227" t="str">
            <v>buah</v>
          </cell>
          <cell r="H1227">
            <v>3000</v>
          </cell>
        </row>
        <row r="1228">
          <cell r="F1228" t="str">
            <v>Keramik dinding artistik 10x20 cm</v>
          </cell>
          <cell r="G1228" t="str">
            <v>buah</v>
          </cell>
          <cell r="H1228">
            <v>2500</v>
          </cell>
        </row>
        <row r="1229">
          <cell r="F1229" t="str">
            <v>Keramik dinding artistik 5x20 cm</v>
          </cell>
          <cell r="G1229" t="str">
            <v>buah</v>
          </cell>
          <cell r="H1229">
            <v>2000</v>
          </cell>
        </row>
        <row r="1230">
          <cell r="F1230" t="str">
            <v>Lamparquet  Kayu Merbau 1x6x20cm</v>
          </cell>
          <cell r="G1230" t="str">
            <v>m2</v>
          </cell>
          <cell r="H1230">
            <v>190000</v>
          </cell>
        </row>
        <row r="1231">
          <cell r="F1231" t="str">
            <v>Lamparquet  Kayu Merbau 1x9x20cm</v>
          </cell>
          <cell r="G1231" t="str">
            <v>m2</v>
          </cell>
          <cell r="H1231">
            <v>200000</v>
          </cell>
        </row>
        <row r="1232">
          <cell r="F1232" t="str">
            <v>Lantai engineering wood</v>
          </cell>
          <cell r="G1232" t="str">
            <v>m2</v>
          </cell>
          <cell r="H1232">
            <v>200000</v>
          </cell>
        </row>
        <row r="1233">
          <cell r="F1233" t="str">
            <v>Lantai Parket  Jati grade A   1,2x5x17 cm</v>
          </cell>
          <cell r="G1233" t="str">
            <v>m2</v>
          </cell>
          <cell r="H1233">
            <v>175000</v>
          </cell>
        </row>
        <row r="1234">
          <cell r="F1234" t="str">
            <v>Lantai Parket  Jati grade A   1,2x5x20cm</v>
          </cell>
          <cell r="G1234" t="str">
            <v>m2</v>
          </cell>
          <cell r="H1234">
            <v>222000</v>
          </cell>
        </row>
        <row r="1235">
          <cell r="F1235" t="str">
            <v>Lantai Parket  Jati grade A   1,2x5x25 cm</v>
          </cell>
          <cell r="G1235" t="str">
            <v>m2</v>
          </cell>
          <cell r="H1235">
            <v>250000</v>
          </cell>
        </row>
        <row r="1236">
          <cell r="F1236" t="str">
            <v>Lantai Parket  Jati grade A   1,2x5x30 cm</v>
          </cell>
          <cell r="G1236" t="str">
            <v>m2</v>
          </cell>
          <cell r="H1236">
            <v>280000</v>
          </cell>
        </row>
        <row r="1237">
          <cell r="F1237" t="str">
            <v>Lantai Parket  Jati grade B   1,2x5x17 cm</v>
          </cell>
          <cell r="G1237" t="str">
            <v>m2</v>
          </cell>
          <cell r="H1237">
            <v>160000</v>
          </cell>
        </row>
        <row r="1238">
          <cell r="F1238" t="str">
            <v>Lantai Parket  Jati grade B   1,2x5x20cm</v>
          </cell>
          <cell r="G1238" t="str">
            <v>m2</v>
          </cell>
          <cell r="H1238">
            <v>195000</v>
          </cell>
        </row>
        <row r="1239">
          <cell r="F1239" t="str">
            <v>Lantai Parket  Jati grade B   1,2x5x25 cm</v>
          </cell>
          <cell r="G1239" t="str">
            <v>m2</v>
          </cell>
          <cell r="H1239">
            <v>210000</v>
          </cell>
        </row>
        <row r="1240">
          <cell r="F1240" t="str">
            <v>Lantai Parket  Jati grade B   1,2x5x30 cm</v>
          </cell>
          <cell r="G1240" t="str">
            <v>m2</v>
          </cell>
          <cell r="H1240">
            <v>250000</v>
          </cell>
        </row>
        <row r="1241">
          <cell r="F1241" t="str">
            <v>Lantai Parket  Jati grade C   1,2x5x20cm</v>
          </cell>
          <cell r="G1241" t="str">
            <v>m2</v>
          </cell>
          <cell r="H1241">
            <v>140000</v>
          </cell>
        </row>
        <row r="1242">
          <cell r="F1242" t="str">
            <v>Lantai Parket  Jati grade C   1,2x5x25 cm</v>
          </cell>
          <cell r="G1242" t="str">
            <v>m2</v>
          </cell>
          <cell r="H1242">
            <v>150000</v>
          </cell>
        </row>
        <row r="1243">
          <cell r="F1243" t="str">
            <v>Lantai Parket  Jati grade C   1,2x5x30 cm</v>
          </cell>
          <cell r="G1243" t="str">
            <v>m2</v>
          </cell>
          <cell r="H1243">
            <v>160000</v>
          </cell>
        </row>
        <row r="1244">
          <cell r="F1244" t="str">
            <v>Lem</v>
          </cell>
          <cell r="G1244" t="str">
            <v>kg</v>
          </cell>
          <cell r="H1244">
            <v>60000</v>
          </cell>
        </row>
        <row r="1245">
          <cell r="F1245" t="str">
            <v>Marmer</v>
          </cell>
          <cell r="G1245" t="str">
            <v>buah</v>
          </cell>
          <cell r="H1245">
            <v>800000</v>
          </cell>
        </row>
        <row r="1246">
          <cell r="F1246" t="str">
            <v>Marmer</v>
          </cell>
          <cell r="G1246" t="str">
            <v>m2</v>
          </cell>
          <cell r="H1246">
            <v>492600</v>
          </cell>
        </row>
        <row r="1247">
          <cell r="F1247" t="str">
            <v>Marmer Graphir 10x10 cm</v>
          </cell>
          <cell r="G1247" t="str">
            <v>buah</v>
          </cell>
          <cell r="H1247">
            <v>20000</v>
          </cell>
        </row>
        <row r="1248">
          <cell r="F1248" t="str">
            <v>Marmer Graphir 12x12 cm</v>
          </cell>
          <cell r="G1248" t="str">
            <v>buah</v>
          </cell>
          <cell r="H1248">
            <v>25000</v>
          </cell>
        </row>
        <row r="1249">
          <cell r="F1249" t="str">
            <v>Pen Kuningan titik acuan</v>
          </cell>
          <cell r="G1249" t="str">
            <v xml:space="preserve">buah </v>
          </cell>
          <cell r="H1249">
            <v>27000</v>
          </cell>
        </row>
        <row r="1250">
          <cell r="F1250" t="str">
            <v>Mozaik porselen 10 x  20 cm</v>
          </cell>
          <cell r="G1250" t="str">
            <v>m2</v>
          </cell>
          <cell r="H1250">
            <v>73400</v>
          </cell>
        </row>
        <row r="1251">
          <cell r="F1251" t="str">
            <v>Mozaik porselen 15 x  15 cm</v>
          </cell>
          <cell r="G1251" t="str">
            <v>m2</v>
          </cell>
          <cell r="H1251">
            <v>74400</v>
          </cell>
        </row>
        <row r="1252">
          <cell r="F1252" t="str">
            <v>Mozaik porselen 20 x  20 cm</v>
          </cell>
          <cell r="G1252" t="str">
            <v>m2</v>
          </cell>
          <cell r="H1252">
            <v>75400</v>
          </cell>
        </row>
        <row r="1253">
          <cell r="F1253" t="str">
            <v>Mozaik porselen 20 x  25 cm</v>
          </cell>
          <cell r="G1253" t="str">
            <v>m2</v>
          </cell>
          <cell r="H1253">
            <v>75400</v>
          </cell>
        </row>
        <row r="1254">
          <cell r="F1254" t="str">
            <v>Parquet kayu solid</v>
          </cell>
          <cell r="G1254" t="str">
            <v>m2</v>
          </cell>
          <cell r="H1254">
            <v>306600</v>
          </cell>
        </row>
        <row r="1255">
          <cell r="F1255" t="str">
            <v>Plint  Kayu 10 cm</v>
          </cell>
          <cell r="G1255" t="str">
            <v>buah</v>
          </cell>
          <cell r="H1255">
            <v>85000</v>
          </cell>
        </row>
        <row r="1256">
          <cell r="F1256" t="str">
            <v>Plint  keramik 10 x  20 cm</v>
          </cell>
          <cell r="G1256" t="str">
            <v>buah</v>
          </cell>
          <cell r="H1256">
            <v>8200</v>
          </cell>
        </row>
        <row r="1257">
          <cell r="F1257" t="str">
            <v>Plint  keramik 5 x  20 cm</v>
          </cell>
          <cell r="G1257" t="str">
            <v>buah</v>
          </cell>
          <cell r="H1257">
            <v>3400</v>
          </cell>
        </row>
        <row r="1258">
          <cell r="F1258" t="str">
            <v>Plint granit 10 cm x 40 cm</v>
          </cell>
          <cell r="G1258" t="str">
            <v>buah</v>
          </cell>
          <cell r="H1258">
            <v>24000</v>
          </cell>
        </row>
        <row r="1259">
          <cell r="F1259" t="str">
            <v>Plint granit 10cm x 30cm</v>
          </cell>
          <cell r="G1259" t="str">
            <v>buah</v>
          </cell>
          <cell r="H1259">
            <v>22600</v>
          </cell>
        </row>
        <row r="1260">
          <cell r="F1260" t="str">
            <v>Plint homogenous tile uk. 10-15x30 cm</v>
          </cell>
          <cell r="G1260" t="str">
            <v>buah</v>
          </cell>
          <cell r="H1260">
            <v>5000</v>
          </cell>
        </row>
        <row r="1261">
          <cell r="F1261" t="str">
            <v>Plint homogenous tile uk. 10-15x40 cm</v>
          </cell>
          <cell r="G1261" t="str">
            <v>buah</v>
          </cell>
          <cell r="H1261">
            <v>7000</v>
          </cell>
        </row>
        <row r="1262">
          <cell r="F1262" t="str">
            <v>Plint homogenous tile uk. 10-15x60 cm</v>
          </cell>
          <cell r="G1262" t="str">
            <v>buah</v>
          </cell>
          <cell r="H1262">
            <v>10000</v>
          </cell>
        </row>
        <row r="1263">
          <cell r="F1263" t="str">
            <v>Plint homogenous tile unpolish uk. 10-15x30 cm</v>
          </cell>
          <cell r="G1263" t="str">
            <v>buah</v>
          </cell>
          <cell r="H1263">
            <v>7000</v>
          </cell>
        </row>
        <row r="1264">
          <cell r="F1264" t="str">
            <v>Plint homogenous tile unpolish uk. 10-15x40 cm</v>
          </cell>
          <cell r="G1264" t="str">
            <v>buah</v>
          </cell>
          <cell r="H1264">
            <v>9000</v>
          </cell>
        </row>
        <row r="1265">
          <cell r="F1265" t="str">
            <v>Plint homogenous tile unpolish uk. 10-15x60 cm</v>
          </cell>
          <cell r="G1265" t="str">
            <v>buah</v>
          </cell>
          <cell r="H1265">
            <v>13000</v>
          </cell>
        </row>
        <row r="1266">
          <cell r="F1266" t="str">
            <v>Plint internal cove uk. 5x5x20 cm</v>
          </cell>
          <cell r="G1266" t="str">
            <v>buah</v>
          </cell>
          <cell r="H1266">
            <v>5000</v>
          </cell>
        </row>
        <row r="1267">
          <cell r="F1267" t="str">
            <v>Plint keramik  10  x 30  cm</v>
          </cell>
          <cell r="G1267" t="str">
            <v>buah</v>
          </cell>
          <cell r="H1267">
            <v>15300</v>
          </cell>
        </row>
        <row r="1268">
          <cell r="F1268" t="str">
            <v>Plint keramik uk. 10-15x20 cm</v>
          </cell>
          <cell r="G1268" t="str">
            <v>buah</v>
          </cell>
          <cell r="H1268">
            <v>2000</v>
          </cell>
        </row>
        <row r="1269">
          <cell r="F1269" t="str">
            <v>Plint keramik uk. 10-15x30 cm</v>
          </cell>
          <cell r="G1269" t="str">
            <v>buah</v>
          </cell>
          <cell r="H1269">
            <v>3000</v>
          </cell>
        </row>
        <row r="1270">
          <cell r="F1270" t="str">
            <v>Plint keramik uk. 10-15x40 cm</v>
          </cell>
          <cell r="G1270" t="str">
            <v>buah</v>
          </cell>
          <cell r="H1270">
            <v>4000</v>
          </cell>
        </row>
        <row r="1271">
          <cell r="F1271" t="str">
            <v>Plint keramik uk. 10-15x60 cm</v>
          </cell>
          <cell r="G1271" t="str">
            <v>buah</v>
          </cell>
          <cell r="H1271">
            <v>5000</v>
          </cell>
        </row>
        <row r="1272">
          <cell r="F1272" t="str">
            <v>Plint teralux kerang uk. 10-15x30 cm</v>
          </cell>
          <cell r="G1272" t="str">
            <v>buah</v>
          </cell>
          <cell r="H1272">
            <v>2000</v>
          </cell>
        </row>
        <row r="1273">
          <cell r="F1273" t="str">
            <v>Plint teralux kerang uk. 10-15x40 cm</v>
          </cell>
          <cell r="G1273" t="str">
            <v>buah</v>
          </cell>
          <cell r="H1273">
            <v>3000</v>
          </cell>
        </row>
        <row r="1274">
          <cell r="F1274" t="str">
            <v>Plint teralux kerang uk. 10-15x60 cm</v>
          </cell>
          <cell r="G1274" t="str">
            <v>buah</v>
          </cell>
          <cell r="H1274">
            <v>4000</v>
          </cell>
        </row>
        <row r="1275">
          <cell r="F1275" t="str">
            <v>Plint teralux marmer uk. 10-15x30 cm</v>
          </cell>
          <cell r="G1275" t="str">
            <v>buah</v>
          </cell>
          <cell r="H1275">
            <v>2500</v>
          </cell>
        </row>
        <row r="1276">
          <cell r="F1276" t="str">
            <v>Plint teralux marmer uk. 10-15x40 cm</v>
          </cell>
          <cell r="G1276" t="str">
            <v>buah</v>
          </cell>
          <cell r="H1276">
            <v>3000</v>
          </cell>
        </row>
        <row r="1277">
          <cell r="F1277" t="str">
            <v>Plint teralux marmer uk. 10-15x60 cm</v>
          </cell>
          <cell r="G1277" t="str">
            <v>buah</v>
          </cell>
          <cell r="H1277">
            <v>4000</v>
          </cell>
        </row>
        <row r="1278">
          <cell r="F1278" t="str">
            <v>Plint ubin granit uk. 10-15x30 cm</v>
          </cell>
          <cell r="G1278" t="str">
            <v>buah</v>
          </cell>
          <cell r="H1278">
            <v>6000</v>
          </cell>
        </row>
        <row r="1279">
          <cell r="F1279" t="str">
            <v>Plint ubin granit uk. 10-15x40 cm</v>
          </cell>
          <cell r="G1279" t="str">
            <v>buah</v>
          </cell>
          <cell r="H1279">
            <v>8000</v>
          </cell>
        </row>
        <row r="1280">
          <cell r="F1280" t="str">
            <v>Plint ubin granit uk. 10-15x60 cm</v>
          </cell>
          <cell r="G1280" t="str">
            <v>buah</v>
          </cell>
          <cell r="H1280">
            <v>10000</v>
          </cell>
        </row>
        <row r="1281">
          <cell r="F1281" t="str">
            <v>Plint ubin PC abu-abu uk. 10-15x20 cm</v>
          </cell>
          <cell r="G1281" t="str">
            <v>buah</v>
          </cell>
          <cell r="H1281">
            <v>1000</v>
          </cell>
        </row>
        <row r="1282">
          <cell r="F1282" t="str">
            <v>Plint ubin PC abu-abu uk. 10-15x30 cm</v>
          </cell>
          <cell r="G1282" t="str">
            <v>buah</v>
          </cell>
          <cell r="H1282">
            <v>1500</v>
          </cell>
        </row>
        <row r="1283">
          <cell r="F1283" t="str">
            <v>Plint ubin PC abu-abu uk. 10-15x40 cm</v>
          </cell>
          <cell r="G1283" t="str">
            <v>buah</v>
          </cell>
          <cell r="H1283">
            <v>2000</v>
          </cell>
        </row>
        <row r="1284">
          <cell r="F1284" t="str">
            <v>Plint ubin PC abu-abu uk. 10-15x60 cm</v>
          </cell>
          <cell r="G1284" t="str">
            <v>buah</v>
          </cell>
          <cell r="H1284">
            <v>2500</v>
          </cell>
        </row>
        <row r="1285">
          <cell r="F1285" t="str">
            <v>Plint ubin teraso uk. 10-15x30 cm</v>
          </cell>
          <cell r="G1285" t="str">
            <v>buah</v>
          </cell>
          <cell r="H1285">
            <v>4000</v>
          </cell>
        </row>
        <row r="1286">
          <cell r="F1286" t="str">
            <v>Plint ubin teraso uk. 10-15x40 cm</v>
          </cell>
          <cell r="G1286" t="str">
            <v>buah</v>
          </cell>
          <cell r="H1286">
            <v>6000</v>
          </cell>
        </row>
        <row r="1287">
          <cell r="F1287" t="str">
            <v>Plint ubin warna uk. 10-15x20 cm</v>
          </cell>
          <cell r="G1287" t="str">
            <v>buah</v>
          </cell>
          <cell r="H1287">
            <v>1500</v>
          </cell>
        </row>
        <row r="1288">
          <cell r="F1288" t="str">
            <v>Plint ubin warna uk. 10-15x30 cm</v>
          </cell>
          <cell r="G1288" t="str">
            <v>buah</v>
          </cell>
          <cell r="H1288">
            <v>2000</v>
          </cell>
        </row>
        <row r="1289">
          <cell r="F1289" t="str">
            <v>Plint ubin warna uk. 10-15x40 cm</v>
          </cell>
          <cell r="G1289" t="str">
            <v>buah</v>
          </cell>
          <cell r="H1289">
            <v>3000</v>
          </cell>
        </row>
        <row r="1290">
          <cell r="F1290" t="str">
            <v>Plint ubin warna uk. 10-15x60 cm</v>
          </cell>
          <cell r="G1290" t="str">
            <v>buah</v>
          </cell>
          <cell r="H1290">
            <v>4500</v>
          </cell>
        </row>
        <row r="1291">
          <cell r="F1291" t="str">
            <v>Porselen 10x20 cm</v>
          </cell>
          <cell r="G1291" t="str">
            <v>buah</v>
          </cell>
          <cell r="H1291">
            <v>2000</v>
          </cell>
        </row>
        <row r="1292">
          <cell r="F1292" t="str">
            <v>Porselen 11x11 cm</v>
          </cell>
          <cell r="G1292" t="str">
            <v>buah</v>
          </cell>
          <cell r="H1292">
            <v>1000</v>
          </cell>
        </row>
        <row r="1293">
          <cell r="F1293" t="str">
            <v>Porselen 11x11 cm (dus)</v>
          </cell>
          <cell r="G1293" t="str">
            <v>dus</v>
          </cell>
          <cell r="H1293">
            <v>83000</v>
          </cell>
        </row>
        <row r="1294">
          <cell r="F1294" t="str">
            <v>Porselen 20x20 cm</v>
          </cell>
          <cell r="G1294" t="str">
            <v>buah</v>
          </cell>
          <cell r="H1294">
            <v>4000</v>
          </cell>
        </row>
        <row r="1295">
          <cell r="F1295" t="str">
            <v>Tangga Papan</v>
          </cell>
          <cell r="G1295" t="str">
            <v>m2</v>
          </cell>
          <cell r="H1295">
            <v>160000</v>
          </cell>
        </row>
        <row r="1296">
          <cell r="F1296" t="str">
            <v>Tangga Parquet  /  Flooring</v>
          </cell>
          <cell r="G1296" t="str">
            <v>m2</v>
          </cell>
          <cell r="H1296">
            <v>180000</v>
          </cell>
        </row>
        <row r="1297">
          <cell r="F1297" t="str">
            <v>Tegel plint, PC  abu-abu 15 x  20 cm</v>
          </cell>
          <cell r="G1297" t="str">
            <v>buah</v>
          </cell>
          <cell r="H1297">
            <v>6100</v>
          </cell>
        </row>
        <row r="1298">
          <cell r="F1298" t="str">
            <v>Tegel plint, PC  warna 10 x  20 cm</v>
          </cell>
          <cell r="G1298" t="str">
            <v>buah</v>
          </cell>
          <cell r="H1298">
            <v>5300</v>
          </cell>
        </row>
        <row r="1299">
          <cell r="F1299" t="str">
            <v>Teraso cor</v>
          </cell>
          <cell r="G1299" t="str">
            <v>m3</v>
          </cell>
          <cell r="H1299">
            <v>3500000</v>
          </cell>
        </row>
        <row r="1300">
          <cell r="F1300" t="str">
            <v>Ubin granit 30x30 cm</v>
          </cell>
          <cell r="G1300" t="str">
            <v>buah</v>
          </cell>
          <cell r="H1300">
            <v>14200</v>
          </cell>
        </row>
        <row r="1301">
          <cell r="F1301" t="str">
            <v>Ubin granit 40x40 cm</v>
          </cell>
          <cell r="G1301" t="str">
            <v>buah</v>
          </cell>
          <cell r="H1301">
            <v>20000</v>
          </cell>
        </row>
        <row r="1302">
          <cell r="F1302" t="str">
            <v>Ubin granit 60x60 cm</v>
          </cell>
          <cell r="G1302" t="str">
            <v>buah</v>
          </cell>
          <cell r="H1302">
            <v>30000</v>
          </cell>
        </row>
        <row r="1303">
          <cell r="F1303" t="str">
            <v>Ubin PC abu-abu 20x20 cm</v>
          </cell>
          <cell r="G1303" t="str">
            <v>buah</v>
          </cell>
          <cell r="H1303">
            <v>2000</v>
          </cell>
        </row>
        <row r="1304">
          <cell r="F1304" t="str">
            <v>Ubin PC abu-abu 30x30 cm</v>
          </cell>
          <cell r="G1304" t="str">
            <v>buah</v>
          </cell>
          <cell r="H1304">
            <v>3400</v>
          </cell>
        </row>
        <row r="1305">
          <cell r="F1305" t="str">
            <v>Ubin PC abu-abu 40x40 cm</v>
          </cell>
          <cell r="G1305" t="str">
            <v>buah</v>
          </cell>
          <cell r="H1305">
            <v>4600</v>
          </cell>
        </row>
        <row r="1306">
          <cell r="F1306" t="str">
            <v>Ubin PC abu-abu 60x60 cm</v>
          </cell>
          <cell r="G1306" t="str">
            <v>buah</v>
          </cell>
          <cell r="H1306">
            <v>6000</v>
          </cell>
        </row>
        <row r="1307">
          <cell r="F1307" t="str">
            <v>Ubin porselen lokal 11 x  11 putih</v>
          </cell>
          <cell r="G1307" t="str">
            <v>dos</v>
          </cell>
          <cell r="H1307">
            <v>43800</v>
          </cell>
        </row>
        <row r="1308">
          <cell r="F1308" t="str">
            <v>Ubin porselen lokal 11 x  11 warna</v>
          </cell>
          <cell r="G1308" t="str">
            <v>dos</v>
          </cell>
          <cell r="H1308">
            <v>46900</v>
          </cell>
        </row>
        <row r="1309">
          <cell r="F1309" t="str">
            <v>Ubin porselen lokal 15 x  15 putih</v>
          </cell>
          <cell r="G1309" t="str">
            <v>dos</v>
          </cell>
          <cell r="H1309">
            <v>48400</v>
          </cell>
        </row>
        <row r="1310">
          <cell r="F1310" t="str">
            <v>Ubin porselen lokal 15 x  15 warna</v>
          </cell>
          <cell r="G1310" t="str">
            <v>dos</v>
          </cell>
          <cell r="H1310">
            <v>49900</v>
          </cell>
        </row>
        <row r="1311">
          <cell r="F1311" t="str">
            <v>Ubin teralux marmer 30x30 cm</v>
          </cell>
          <cell r="G1311" t="str">
            <v>buah</v>
          </cell>
          <cell r="H1311">
            <v>45000</v>
          </cell>
        </row>
        <row r="1312">
          <cell r="F1312" t="str">
            <v>Ubin teralux marmer 40x40 cm</v>
          </cell>
          <cell r="G1312" t="str">
            <v>buah</v>
          </cell>
          <cell r="H1312">
            <v>60000</v>
          </cell>
        </row>
        <row r="1313">
          <cell r="F1313" t="str">
            <v>Ubin teralux marmer 60x60 cm</v>
          </cell>
          <cell r="G1313" t="str">
            <v>buah</v>
          </cell>
          <cell r="H1313">
            <v>70000</v>
          </cell>
        </row>
        <row r="1314">
          <cell r="F1314" t="str">
            <v>Ubin teraso 30x30 cm</v>
          </cell>
          <cell r="G1314" t="str">
            <v>buah</v>
          </cell>
          <cell r="H1314">
            <v>24000</v>
          </cell>
        </row>
        <row r="1315">
          <cell r="F1315" t="str">
            <v>Ubin teraso 40x40 cm</v>
          </cell>
          <cell r="G1315" t="str">
            <v>buah</v>
          </cell>
          <cell r="H1315">
            <v>30000</v>
          </cell>
        </row>
        <row r="1316">
          <cell r="F1316" t="str">
            <v>Ubin warna 20x20 cm</v>
          </cell>
          <cell r="G1316" t="str">
            <v>buah</v>
          </cell>
          <cell r="H1316">
            <v>2000</v>
          </cell>
        </row>
        <row r="1317">
          <cell r="F1317" t="str">
            <v>Ubin warna 30x30 cm</v>
          </cell>
          <cell r="G1317" t="str">
            <v>buah</v>
          </cell>
          <cell r="H1317">
            <v>4500</v>
          </cell>
        </row>
        <row r="1318">
          <cell r="F1318" t="str">
            <v>Ubin warna 40x40 cm</v>
          </cell>
          <cell r="G1318" t="str">
            <v>buah</v>
          </cell>
          <cell r="H1318">
            <v>6000</v>
          </cell>
        </row>
        <row r="1319">
          <cell r="F1319" t="str">
            <v>Ubin warna 60x60 cm</v>
          </cell>
          <cell r="G1319" t="str">
            <v>buah</v>
          </cell>
          <cell r="H1319">
            <v>8000</v>
          </cell>
        </row>
        <row r="1320">
          <cell r="F1320" t="str">
            <v>Underlayer karpet</v>
          </cell>
          <cell r="G1320" t="str">
            <v>m2</v>
          </cell>
          <cell r="H1320">
            <v>10000</v>
          </cell>
        </row>
        <row r="1321">
          <cell r="F1321" t="str">
            <v>UPVC decking</v>
          </cell>
          <cell r="G1321" t="str">
            <v>m2</v>
          </cell>
          <cell r="H1321">
            <v>500000</v>
          </cell>
        </row>
        <row r="1322">
          <cell r="F1322" t="str">
            <v>Vinyl</v>
          </cell>
          <cell r="G1322" t="str">
            <v>buah</v>
          </cell>
          <cell r="H1322">
            <v>7000</v>
          </cell>
        </row>
        <row r="1324">
          <cell r="F1324" t="str">
            <v>Additive</v>
          </cell>
          <cell r="G1324" t="str">
            <v>liter</v>
          </cell>
          <cell r="H1324">
            <v>51600</v>
          </cell>
        </row>
        <row r="1325">
          <cell r="F1325" t="str">
            <v xml:space="preserve">Zat Aditif </v>
          </cell>
          <cell r="G1325" t="str">
            <v xml:space="preserve">kg </v>
          </cell>
          <cell r="H1325">
            <v>25000</v>
          </cell>
        </row>
        <row r="1326">
          <cell r="F1326" t="str">
            <v>Floor lantai (Beton lantai kerja)</v>
          </cell>
          <cell r="G1326" t="str">
            <v>m3</v>
          </cell>
          <cell r="H1326">
            <v>805600</v>
          </cell>
        </row>
        <row r="1327">
          <cell r="F1327" t="str">
            <v>Lantai Kerja</v>
          </cell>
          <cell r="G1327" t="str">
            <v>m3</v>
          </cell>
          <cell r="H1327">
            <v>805000</v>
          </cell>
        </row>
        <row r="1328">
          <cell r="F1328" t="str">
            <v>Adukan beton berpori (Aggregat  10/20mm) ready mix</v>
          </cell>
          <cell r="G1328" t="str">
            <v>m3</v>
          </cell>
          <cell r="H1328">
            <v>2250000</v>
          </cell>
        </row>
        <row r="1329">
          <cell r="F1329" t="str">
            <v>Adukan beton K-100 ready mix</v>
          </cell>
          <cell r="G1329" t="str">
            <v>m3</v>
          </cell>
          <cell r="H1329">
            <v>788100</v>
          </cell>
        </row>
        <row r="1330">
          <cell r="F1330" t="str">
            <v>Adukan beton K-125 ready mix</v>
          </cell>
          <cell r="G1330" t="str">
            <v>m3</v>
          </cell>
          <cell r="H1330">
            <v>805600</v>
          </cell>
        </row>
        <row r="1331">
          <cell r="F1331" t="str">
            <v>Adukan beton K-175 ready mix</v>
          </cell>
          <cell r="G1331" t="str">
            <v>m3</v>
          </cell>
          <cell r="H1331">
            <v>848100</v>
          </cell>
        </row>
        <row r="1332">
          <cell r="F1332" t="str">
            <v>Adukan beton K-200 ready mix</v>
          </cell>
          <cell r="G1332" t="str">
            <v>m3</v>
          </cell>
          <cell r="H1332">
            <v>869200</v>
          </cell>
        </row>
        <row r="1333">
          <cell r="F1333" t="str">
            <v>Adukan beton K-225 ready mix</v>
          </cell>
          <cell r="G1333" t="str">
            <v>m3</v>
          </cell>
          <cell r="H1333">
            <v>887700</v>
          </cell>
        </row>
        <row r="1334">
          <cell r="F1334" t="str">
            <v>Adukan beton K-250 ready mix</v>
          </cell>
          <cell r="G1334" t="str">
            <v>m3</v>
          </cell>
          <cell r="H1334">
            <v>911300</v>
          </cell>
        </row>
        <row r="1335">
          <cell r="F1335" t="str">
            <v>Adukan beton K-275 ready mix</v>
          </cell>
          <cell r="G1335" t="str">
            <v>m3</v>
          </cell>
          <cell r="H1335">
            <v>937100</v>
          </cell>
        </row>
        <row r="1336">
          <cell r="F1336" t="str">
            <v>Adukan beton K-300 ready mix</v>
          </cell>
          <cell r="G1336" t="str">
            <v>m3</v>
          </cell>
          <cell r="H1336">
            <v>961200</v>
          </cell>
        </row>
        <row r="1337">
          <cell r="F1337" t="str">
            <v>Adukan beton K-350 ready mix</v>
          </cell>
          <cell r="G1337" t="str">
            <v>m3</v>
          </cell>
          <cell r="H1337">
            <v>1001900</v>
          </cell>
        </row>
        <row r="1338">
          <cell r="F1338" t="str">
            <v>Adukan beton K-400 ready mix</v>
          </cell>
          <cell r="G1338" t="str">
            <v>m3</v>
          </cell>
          <cell r="H1338">
            <v>1066100</v>
          </cell>
        </row>
        <row r="1339">
          <cell r="F1339" t="str">
            <v>Adukan beton K-500 ready mix</v>
          </cell>
          <cell r="G1339" t="str">
            <v>m3</v>
          </cell>
          <cell r="H1339">
            <v>1152800</v>
          </cell>
        </row>
        <row r="1340">
          <cell r="F1340" t="str">
            <v>Beton fc' 15 Mpa</v>
          </cell>
          <cell r="G1340" t="str">
            <v>m3</v>
          </cell>
          <cell r="H1340">
            <v>848100</v>
          </cell>
        </row>
        <row r="1341">
          <cell r="F1341" t="str">
            <v>Compound gypsum</v>
          </cell>
          <cell r="G1341" t="str">
            <v>kg</v>
          </cell>
          <cell r="H1341">
            <v>3500</v>
          </cell>
        </row>
        <row r="1342">
          <cell r="F1342" t="str">
            <v>Compound hardboard</v>
          </cell>
          <cell r="G1342" t="str">
            <v>kg</v>
          </cell>
          <cell r="H1342">
            <v>3700</v>
          </cell>
        </row>
        <row r="1343">
          <cell r="F1343" t="str">
            <v>Curing compound</v>
          </cell>
          <cell r="G1343" t="str">
            <v>liter</v>
          </cell>
          <cell r="H1343">
            <v>44100</v>
          </cell>
        </row>
        <row r="1344">
          <cell r="F1344" t="str">
            <v>Flexible waterproofing</v>
          </cell>
          <cell r="G1344" t="str">
            <v>kg</v>
          </cell>
          <cell r="H1344">
            <v>52400</v>
          </cell>
        </row>
        <row r="1345">
          <cell r="F1345" t="str">
            <v xml:space="preserve">Membran Bakar </v>
          </cell>
          <cell r="G1345" t="str">
            <v>m2</v>
          </cell>
          <cell r="H1345">
            <v>150000</v>
          </cell>
        </row>
        <row r="1346">
          <cell r="F1346" t="str">
            <v xml:space="preserve">Cairan Primer </v>
          </cell>
          <cell r="G1346" t="str">
            <v xml:space="preserve">kg </v>
          </cell>
          <cell r="H1346">
            <v>57500</v>
          </cell>
        </row>
        <row r="1347">
          <cell r="F1347" t="str">
            <v>Formtie/penjaga jarak bekesting/spacer</v>
          </cell>
          <cell r="G1347" t="str">
            <v>buah</v>
          </cell>
          <cell r="H1347">
            <v>7000</v>
          </cell>
        </row>
        <row r="1348">
          <cell r="F1348" t="str">
            <v>Kassa</v>
          </cell>
          <cell r="G1348" t="str">
            <v>m'</v>
          </cell>
          <cell r="H1348">
            <v>8100</v>
          </cell>
        </row>
        <row r="1349">
          <cell r="F1349" t="str">
            <v>Kolom beton pracetak</v>
          </cell>
          <cell r="G1349" t="str">
            <v>batang</v>
          </cell>
          <cell r="H1349">
            <v>282000</v>
          </cell>
        </row>
        <row r="1350">
          <cell r="F1350" t="str">
            <v>Panel beton pracetak</v>
          </cell>
          <cell r="G1350" t="str">
            <v>lembar</v>
          </cell>
          <cell r="H1350">
            <v>125000</v>
          </cell>
        </row>
        <row r="1351">
          <cell r="F1351" t="str">
            <v>Paper tape hardboard</v>
          </cell>
          <cell r="G1351" t="str">
            <v>m'</v>
          </cell>
          <cell r="H1351">
            <v>4800</v>
          </cell>
        </row>
        <row r="1352">
          <cell r="F1352" t="str">
            <v>Pengisi khusus  rongga nat</v>
          </cell>
          <cell r="G1352" t="str">
            <v>kg</v>
          </cell>
          <cell r="H1352">
            <v>15500</v>
          </cell>
        </row>
        <row r="1353">
          <cell r="F1353" t="str">
            <v>Perekat  khusus  penutup dinding</v>
          </cell>
          <cell r="G1353" t="str">
            <v>kg</v>
          </cell>
          <cell r="H1353">
            <v>21100</v>
          </cell>
        </row>
        <row r="1354">
          <cell r="F1354" t="str">
            <v>Perekat  khusus  penutup lantai</v>
          </cell>
          <cell r="G1354" t="str">
            <v>kg</v>
          </cell>
          <cell r="H1354">
            <v>17200</v>
          </cell>
        </row>
        <row r="1355">
          <cell r="F1355" t="str">
            <v>Semen 40 Kg</v>
          </cell>
          <cell r="G1355" t="str">
            <v>zak</v>
          </cell>
          <cell r="H1355">
            <v>46600</v>
          </cell>
        </row>
        <row r="1356">
          <cell r="F1356" t="str">
            <v>Semen 50 Kg</v>
          </cell>
          <cell r="G1356" t="str">
            <v>zak</v>
          </cell>
          <cell r="H1356">
            <v>58200</v>
          </cell>
        </row>
        <row r="1357">
          <cell r="F1357" t="str">
            <v>Semen grout</v>
          </cell>
          <cell r="G1357" t="str">
            <v>kg</v>
          </cell>
          <cell r="H1357">
            <v>6000</v>
          </cell>
        </row>
        <row r="1358">
          <cell r="F1358" t="str">
            <v>Semen merah</v>
          </cell>
          <cell r="G1358" t="str">
            <v>kg</v>
          </cell>
          <cell r="H1358">
            <v>15800</v>
          </cell>
        </row>
        <row r="1359">
          <cell r="F1359" t="str">
            <v>Semen Merk II 40 Kg</v>
          </cell>
          <cell r="G1359" t="str">
            <v>zak</v>
          </cell>
          <cell r="H1359">
            <v>46500</v>
          </cell>
        </row>
        <row r="1360">
          <cell r="F1360" t="str">
            <v>Semen Merk II 50 Kg</v>
          </cell>
          <cell r="G1360" t="str">
            <v>zak</v>
          </cell>
          <cell r="H1360">
            <v>57600</v>
          </cell>
        </row>
        <row r="1361">
          <cell r="F1361" t="str">
            <v>Semen nat</v>
          </cell>
          <cell r="G1361" t="str">
            <v>kg</v>
          </cell>
          <cell r="H1361">
            <v>16100</v>
          </cell>
        </row>
        <row r="1362">
          <cell r="F1362" t="str">
            <v>Semen Portland (PC)</v>
          </cell>
          <cell r="G1362" t="str">
            <v>kg</v>
          </cell>
          <cell r="H1362">
            <v>1300</v>
          </cell>
        </row>
        <row r="1363">
          <cell r="F1363" t="str">
            <v>Semen putih 40 Kg</v>
          </cell>
          <cell r="G1363" t="str">
            <v>zak</v>
          </cell>
          <cell r="H1363">
            <v>89700</v>
          </cell>
        </row>
        <row r="1364">
          <cell r="F1364" t="str">
            <v>Semen putih 50 Kg</v>
          </cell>
          <cell r="G1364" t="str">
            <v>zak</v>
          </cell>
          <cell r="H1364">
            <v>97700</v>
          </cell>
        </row>
        <row r="1365">
          <cell r="F1365" t="str">
            <v>Semen warna</v>
          </cell>
          <cell r="G1365" t="str">
            <v>kg</v>
          </cell>
          <cell r="H1365">
            <v>7800</v>
          </cell>
        </row>
        <row r="1366">
          <cell r="F1366" t="str">
            <v>Waterproofing</v>
          </cell>
          <cell r="G1366" t="str">
            <v>kg</v>
          </cell>
          <cell r="H1366">
            <v>61200</v>
          </cell>
        </row>
        <row r="1367">
          <cell r="F1367" t="str">
            <v>Waterproofing Cristalin</v>
          </cell>
          <cell r="G1367" t="str">
            <v>kg</v>
          </cell>
          <cell r="H1367">
            <v>62000</v>
          </cell>
        </row>
        <row r="1368">
          <cell r="F1368" t="str">
            <v>Waterproofing Semen Base</v>
          </cell>
          <cell r="G1368" t="str">
            <v>kg</v>
          </cell>
          <cell r="H1368">
            <v>74500</v>
          </cell>
        </row>
        <row r="1369">
          <cell r="F1369" t="str">
            <v>Waterproofing Acrylic Base</v>
          </cell>
          <cell r="G1369" t="str">
            <v>kg</v>
          </cell>
          <cell r="H1369">
            <v>64000</v>
          </cell>
        </row>
        <row r="1370">
          <cell r="F1370" t="str">
            <v>Joint Sealant</v>
          </cell>
          <cell r="G1370" t="str">
            <v>kg</v>
          </cell>
          <cell r="H1370">
            <v>22000</v>
          </cell>
        </row>
        <row r="1371">
          <cell r="F1371" t="str">
            <v>Polytene 125 Mikron</v>
          </cell>
          <cell r="G1371" t="str">
            <v xml:space="preserve">kg </v>
          </cell>
          <cell r="H1371">
            <v>46000</v>
          </cell>
        </row>
        <row r="1372">
          <cell r="F1372" t="str">
            <v>Dowel dia. 25 mm (BjTs)</v>
          </cell>
          <cell r="G1372" t="str">
            <v>Kg</v>
          </cell>
          <cell r="H1372">
            <v>15367.965367965367</v>
          </cell>
        </row>
        <row r="1373">
          <cell r="F1373" t="str">
            <v>Tie Bar Dia. 16 mm (BjTS)</v>
          </cell>
          <cell r="G1373" t="str">
            <v xml:space="preserve">Kg </v>
          </cell>
          <cell r="H1373">
            <v>17721.518987341773</v>
          </cell>
        </row>
        <row r="1374">
          <cell r="F1374" t="str">
            <v>Lolos screen 2 ukuran 9,5-19,0</v>
          </cell>
          <cell r="G1374" t="str">
            <v>m3</v>
          </cell>
          <cell r="H1374">
            <v>1970000</v>
          </cell>
        </row>
        <row r="1375">
          <cell r="F1375" t="str">
            <v>Lolos screen 2 ukuran 0-5</v>
          </cell>
          <cell r="G1375" t="str">
            <v>m3</v>
          </cell>
          <cell r="H1375">
            <v>1799000</v>
          </cell>
        </row>
        <row r="1376">
          <cell r="F1376" t="str">
            <v>Lantai Kerja fc 10 Mpa</v>
          </cell>
          <cell r="G1376" t="str">
            <v>m3</v>
          </cell>
          <cell r="H1376">
            <v>1236000</v>
          </cell>
        </row>
        <row r="1377">
          <cell r="F1377" t="str">
            <v>Lantai Kerja fc 7,5 Mpa</v>
          </cell>
          <cell r="G1377" t="str">
            <v>m3</v>
          </cell>
          <cell r="H1377">
            <v>928000</v>
          </cell>
        </row>
        <row r="1378">
          <cell r="F1378" t="str">
            <v xml:space="preserve">U-Ditch 30x30x120 cm </v>
          </cell>
          <cell r="G1378" t="str">
            <v>Buah</v>
          </cell>
          <cell r="H1378">
            <v>220000</v>
          </cell>
        </row>
        <row r="1379">
          <cell r="F1379" t="str">
            <v xml:space="preserve">U-Ditch 30x40x120 cm </v>
          </cell>
          <cell r="G1379" t="str">
            <v>Buah</v>
          </cell>
          <cell r="H1379">
            <v>240000</v>
          </cell>
        </row>
        <row r="1380">
          <cell r="F1380" t="str">
            <v xml:space="preserve">U-Ditch 40x40x120 cm </v>
          </cell>
          <cell r="G1380" t="str">
            <v>Buah</v>
          </cell>
          <cell r="H1380">
            <v>270000</v>
          </cell>
        </row>
        <row r="1381">
          <cell r="F1381" t="str">
            <v xml:space="preserve">U-Ditch 40x50x120 cm </v>
          </cell>
          <cell r="G1381" t="str">
            <v>Buah</v>
          </cell>
          <cell r="H1381">
            <v>290000</v>
          </cell>
        </row>
        <row r="1382">
          <cell r="F1382" t="str">
            <v xml:space="preserve">U-Ditch 40x60x120 cm </v>
          </cell>
          <cell r="G1382" t="str">
            <v>Buah</v>
          </cell>
          <cell r="H1382">
            <v>320000</v>
          </cell>
        </row>
        <row r="1383">
          <cell r="F1383" t="str">
            <v xml:space="preserve">U-Ditch 50x50x120 cm </v>
          </cell>
          <cell r="G1383" t="str">
            <v>Buah</v>
          </cell>
          <cell r="H1383">
            <v>340000</v>
          </cell>
        </row>
        <row r="1384">
          <cell r="F1384" t="str">
            <v xml:space="preserve">U-Ditch 50x60x120 cm </v>
          </cell>
          <cell r="G1384" t="str">
            <v>Buah</v>
          </cell>
          <cell r="H1384">
            <v>370000</v>
          </cell>
        </row>
        <row r="1385">
          <cell r="F1385" t="str">
            <v xml:space="preserve">U-Ditch 50x70x120 cm </v>
          </cell>
          <cell r="G1385" t="str">
            <v>Buah</v>
          </cell>
          <cell r="H1385">
            <v>390000</v>
          </cell>
        </row>
        <row r="1386">
          <cell r="F1386" t="str">
            <v xml:space="preserve">U-Ditch 60x60x120 cm </v>
          </cell>
          <cell r="G1386" t="str">
            <v>Buah</v>
          </cell>
          <cell r="H1386">
            <v>420000</v>
          </cell>
        </row>
        <row r="1387">
          <cell r="F1387" t="str">
            <v xml:space="preserve">U-Ditch 60x70x120 cm </v>
          </cell>
          <cell r="G1387" t="str">
            <v>Buah</v>
          </cell>
          <cell r="H1387">
            <v>440000</v>
          </cell>
        </row>
        <row r="1388">
          <cell r="F1388" t="str">
            <v xml:space="preserve">U-Ditch 60x80x120 cm </v>
          </cell>
          <cell r="G1388" t="str">
            <v>Buah</v>
          </cell>
          <cell r="H1388">
            <v>470000</v>
          </cell>
        </row>
        <row r="1389">
          <cell r="F1389" t="str">
            <v xml:space="preserve">U-Ditch 80x60x120 cm </v>
          </cell>
          <cell r="G1389" t="str">
            <v>Buah</v>
          </cell>
          <cell r="H1389">
            <v>490000</v>
          </cell>
        </row>
        <row r="1390">
          <cell r="F1390" t="str">
            <v xml:space="preserve">U-Ditch 80x80x120 cm </v>
          </cell>
          <cell r="G1390" t="str">
            <v>Buah</v>
          </cell>
          <cell r="H1390">
            <v>520000</v>
          </cell>
        </row>
        <row r="1391">
          <cell r="F1391" t="str">
            <v xml:space="preserve">U-Ditch 80x100x120 cm </v>
          </cell>
          <cell r="G1391" t="str">
            <v>Buah</v>
          </cell>
          <cell r="H1391">
            <v>540000</v>
          </cell>
        </row>
        <row r="1392">
          <cell r="F1392" t="str">
            <v xml:space="preserve">U-Ditch 100x100x120 cm </v>
          </cell>
          <cell r="G1392" t="str">
            <v>Buah</v>
          </cell>
          <cell r="H1392">
            <v>570000</v>
          </cell>
        </row>
        <row r="1393">
          <cell r="F1393" t="str">
            <v xml:space="preserve">U-Ditch 100x120x120 cm </v>
          </cell>
          <cell r="G1393" t="str">
            <v>Buah</v>
          </cell>
          <cell r="H1393">
            <v>590000</v>
          </cell>
        </row>
        <row r="1394">
          <cell r="F1394" t="str">
            <v xml:space="preserve">U-Ditch 120x120x120 cm </v>
          </cell>
          <cell r="G1394" t="str">
            <v>Buah</v>
          </cell>
          <cell r="H1394">
            <v>620000</v>
          </cell>
        </row>
        <row r="1395">
          <cell r="F1395" t="str">
            <v xml:space="preserve">U-Ditch 120x140x120 cm </v>
          </cell>
          <cell r="G1395" t="str">
            <v>Buah</v>
          </cell>
          <cell r="H1395">
            <v>640000</v>
          </cell>
        </row>
        <row r="1396">
          <cell r="F1396" t="str">
            <v xml:space="preserve">U-Ditch 140x140x120 cm </v>
          </cell>
          <cell r="G1396" t="str">
            <v>Buah</v>
          </cell>
          <cell r="H1396">
            <v>670000</v>
          </cell>
        </row>
        <row r="1397">
          <cell r="F1397" t="str">
            <v xml:space="preserve">U-Ditch 150x100x120 cm </v>
          </cell>
          <cell r="G1397" t="str">
            <v>Buah</v>
          </cell>
          <cell r="H1397">
            <v>680000</v>
          </cell>
        </row>
        <row r="1398">
          <cell r="F1398" t="str">
            <v xml:space="preserve">U-Ditch 150x150x120 cm </v>
          </cell>
          <cell r="G1398" t="str">
            <v>Buah</v>
          </cell>
          <cell r="H1398">
            <v>710000</v>
          </cell>
        </row>
        <row r="1399">
          <cell r="F1399" t="str">
            <v xml:space="preserve">U-Ditch 150x170x120 cm </v>
          </cell>
          <cell r="G1399" t="str">
            <v>Buah</v>
          </cell>
          <cell r="H1399">
            <v>730000</v>
          </cell>
        </row>
        <row r="1400">
          <cell r="F1400" t="str">
            <v xml:space="preserve">U-Ditch 160x160x120 cm </v>
          </cell>
          <cell r="G1400" t="str">
            <v>Buah</v>
          </cell>
          <cell r="H1400">
            <v>750000</v>
          </cell>
        </row>
        <row r="1401">
          <cell r="F1401" t="str">
            <v xml:space="preserve">U-Ditch 160x180x120 cm </v>
          </cell>
          <cell r="G1401" t="str">
            <v>Buah</v>
          </cell>
          <cell r="H1401">
            <v>780000</v>
          </cell>
        </row>
        <row r="1402">
          <cell r="F1402" t="str">
            <v xml:space="preserve">U-Ditch 180x180x120 cm </v>
          </cell>
          <cell r="G1402" t="str">
            <v>Buah</v>
          </cell>
          <cell r="H1402">
            <v>800000</v>
          </cell>
        </row>
        <row r="1403">
          <cell r="F1403" t="str">
            <v xml:space="preserve">U-Ditch 180x200x120 cm </v>
          </cell>
          <cell r="G1403" t="str">
            <v>Buah</v>
          </cell>
          <cell r="H1403">
            <v>830000</v>
          </cell>
        </row>
        <row r="1404">
          <cell r="F1404" t="str">
            <v xml:space="preserve">U-Ditch 200x200x120 cm </v>
          </cell>
          <cell r="G1404" t="str">
            <v>Buah</v>
          </cell>
          <cell r="H1404">
            <v>850000</v>
          </cell>
        </row>
        <row r="1405">
          <cell r="F1405" t="str">
            <v>Tutup U-Ditch 39x60x6 (tipe LD)</v>
          </cell>
          <cell r="G1405" t="str">
            <v xml:space="preserve">buah </v>
          </cell>
          <cell r="H1405">
            <v>70000</v>
          </cell>
        </row>
        <row r="1406">
          <cell r="F1406" t="str">
            <v>Tutup U-Ditch 51x60x7 (tipe LD)</v>
          </cell>
          <cell r="G1406" t="str">
            <v xml:space="preserve">buah </v>
          </cell>
          <cell r="H1406">
            <v>100000</v>
          </cell>
        </row>
        <row r="1407">
          <cell r="F1407" t="str">
            <v>Tutup U-Ditch 62x60x7,5 (tipe LD)</v>
          </cell>
          <cell r="G1407" t="str">
            <v xml:space="preserve">buah </v>
          </cell>
          <cell r="H1407">
            <v>125000</v>
          </cell>
        </row>
        <row r="1408">
          <cell r="F1408" t="str">
            <v>Tutup U-Ditch 73x60x7,8 (tipe LD)</v>
          </cell>
          <cell r="G1408" t="str">
            <v>buah</v>
          </cell>
          <cell r="H1408">
            <v>165000</v>
          </cell>
        </row>
        <row r="1409">
          <cell r="F1409" t="str">
            <v>Tutup U-Ditch 94x60x10 (tipe LD)</v>
          </cell>
          <cell r="G1409" t="str">
            <v xml:space="preserve">buah </v>
          </cell>
          <cell r="H1409">
            <v>195000</v>
          </cell>
        </row>
        <row r="1410">
          <cell r="F1410" t="str">
            <v>Tutup U-Ditch 39x60x9 (tipe HD)</v>
          </cell>
          <cell r="G1410" t="str">
            <v xml:space="preserve">buah </v>
          </cell>
          <cell r="H1410">
            <v>125000</v>
          </cell>
        </row>
        <row r="1411">
          <cell r="F1411" t="str">
            <v>Tutup U-Ditch 51x60x10 (tipe HD)</v>
          </cell>
          <cell r="G1411" t="str">
            <v xml:space="preserve">buah </v>
          </cell>
          <cell r="H1411">
            <v>176000</v>
          </cell>
        </row>
        <row r="1412">
          <cell r="F1412" t="str">
            <v>Tutup U-Ditch 73x60x14 (tipe HD)</v>
          </cell>
          <cell r="G1412" t="str">
            <v xml:space="preserve">buah </v>
          </cell>
          <cell r="H1412">
            <v>235000</v>
          </cell>
        </row>
        <row r="1413">
          <cell r="F1413" t="str">
            <v>Tutup U-Ditch 94x60x15 (tipe HD)</v>
          </cell>
          <cell r="G1413" t="str">
            <v xml:space="preserve">Buah </v>
          </cell>
          <cell r="H1413">
            <v>375000</v>
          </cell>
        </row>
        <row r="1415">
          <cell r="F1415" t="str">
            <v>Cat  anti karat</v>
          </cell>
          <cell r="G1415" t="str">
            <v>kg</v>
          </cell>
          <cell r="H1415">
            <v>58200</v>
          </cell>
        </row>
        <row r="1416">
          <cell r="F1416" t="str">
            <v>Cat  besi</v>
          </cell>
          <cell r="G1416" t="str">
            <v>kg</v>
          </cell>
          <cell r="H1416">
            <v>62800</v>
          </cell>
        </row>
        <row r="1417">
          <cell r="F1417" t="str">
            <v>Cat  coating</v>
          </cell>
          <cell r="G1417" t="str">
            <v>liter</v>
          </cell>
          <cell r="H1417">
            <v>75700</v>
          </cell>
        </row>
        <row r="1418">
          <cell r="F1418" t="str">
            <v>Cat  genteng</v>
          </cell>
          <cell r="G1418" t="str">
            <v>kg</v>
          </cell>
          <cell r="H1418">
            <v>52800</v>
          </cell>
        </row>
        <row r="1419">
          <cell r="F1419" t="str">
            <v>Cat  tembok per 20 kg</v>
          </cell>
          <cell r="G1419" t="str">
            <v>kg</v>
          </cell>
          <cell r="H1419">
            <v>528800</v>
          </cell>
        </row>
        <row r="1420">
          <cell r="F1420" t="str">
            <v>Cat antara (cat besi)</v>
          </cell>
          <cell r="G1420" t="str">
            <v>kg</v>
          </cell>
          <cell r="H1420">
            <v>49700</v>
          </cell>
        </row>
        <row r="1421">
          <cell r="F1421" t="str">
            <v>Cat dasar (cat besi)</v>
          </cell>
          <cell r="G1421" t="str">
            <v>kg</v>
          </cell>
          <cell r="H1421">
            <v>52300</v>
          </cell>
        </row>
        <row r="1422">
          <cell r="F1422" t="str">
            <v>Cat dasar (cat kayu)</v>
          </cell>
          <cell r="G1422" t="str">
            <v>kg</v>
          </cell>
          <cell r="H1422">
            <v>38200</v>
          </cell>
        </row>
        <row r="1423">
          <cell r="F1423" t="str">
            <v>Cat kayu</v>
          </cell>
          <cell r="G1423" t="str">
            <v>kg</v>
          </cell>
          <cell r="H1423">
            <v>50000</v>
          </cell>
        </row>
        <row r="1424">
          <cell r="F1424" t="str">
            <v>Cat dasar (cat tembok eksterior)</v>
          </cell>
          <cell r="G1424" t="str">
            <v>kg</v>
          </cell>
          <cell r="H1424">
            <v>128500</v>
          </cell>
        </row>
        <row r="1425">
          <cell r="F1425" t="str">
            <v>Cat dasar (cat tembok interior)</v>
          </cell>
          <cell r="G1425" t="str">
            <v>kg</v>
          </cell>
          <cell r="H1425">
            <v>119100</v>
          </cell>
        </row>
        <row r="1426">
          <cell r="F1426" t="str">
            <v>Cat Dasar Plafond</v>
          </cell>
          <cell r="G1426" t="str">
            <v xml:space="preserve">Kg </v>
          </cell>
          <cell r="H1426">
            <v>128500</v>
          </cell>
        </row>
        <row r="1427">
          <cell r="F1427" t="str">
            <v>Cat Plafond Eksterior</v>
          </cell>
          <cell r="G1427" t="str">
            <v>kg</v>
          </cell>
          <cell r="H1427">
            <v>119100</v>
          </cell>
        </row>
        <row r="1428">
          <cell r="F1428" t="str">
            <v>Cat epoxy</v>
          </cell>
          <cell r="G1428" t="str">
            <v>kg</v>
          </cell>
          <cell r="H1428">
            <v>30000</v>
          </cell>
        </row>
        <row r="1429">
          <cell r="F1429" t="str">
            <v>Cat kedap  air  ( water  base)</v>
          </cell>
          <cell r="G1429" t="str">
            <v>kg</v>
          </cell>
          <cell r="H1429">
            <v>53300</v>
          </cell>
        </row>
        <row r="1430">
          <cell r="F1430" t="str">
            <v>Cat penutup (cat besi)</v>
          </cell>
          <cell r="G1430" t="str">
            <v>kg</v>
          </cell>
          <cell r="H1430">
            <v>54700</v>
          </cell>
        </row>
        <row r="1431">
          <cell r="F1431" t="str">
            <v>Cat penutup (cat kayu)</v>
          </cell>
          <cell r="G1431" t="str">
            <v>kg</v>
          </cell>
          <cell r="H1431">
            <v>58500</v>
          </cell>
        </row>
        <row r="1432">
          <cell r="F1432" t="str">
            <v>Cat penutup (cat tembok eksterior)</v>
          </cell>
          <cell r="G1432" t="str">
            <v>kg</v>
          </cell>
          <cell r="H1432">
            <v>136600</v>
          </cell>
        </row>
        <row r="1433">
          <cell r="F1433" t="str">
            <v>Cat penutup (cat tembok interior)</v>
          </cell>
          <cell r="G1433" t="str">
            <v>kg</v>
          </cell>
          <cell r="H1433">
            <v>130500</v>
          </cell>
        </row>
        <row r="1434">
          <cell r="F1434" t="str">
            <v>Cat dinding</v>
          </cell>
          <cell r="G1434" t="str">
            <v>m2</v>
          </cell>
          <cell r="H1434">
            <v>25000</v>
          </cell>
        </row>
        <row r="1435">
          <cell r="F1435" t="str">
            <v>Cat zyncromate</v>
          </cell>
          <cell r="G1435" t="str">
            <v>kg</v>
          </cell>
          <cell r="H1435">
            <v>26000</v>
          </cell>
        </row>
        <row r="1436">
          <cell r="F1436" t="str">
            <v xml:space="preserve">Cat Thermoplast </v>
          </cell>
          <cell r="G1436" t="str">
            <v xml:space="preserve">kg </v>
          </cell>
          <cell r="H1436">
            <v>29120</v>
          </cell>
        </row>
        <row r="1437">
          <cell r="F1437" t="str">
            <v xml:space="preserve">Glass Beads </v>
          </cell>
          <cell r="G1437" t="str">
            <v>kg</v>
          </cell>
          <cell r="H1437">
            <v>18000</v>
          </cell>
        </row>
        <row r="1438">
          <cell r="F1438" t="str">
            <v xml:space="preserve">Compressor </v>
          </cell>
          <cell r="G1438" t="str">
            <v xml:space="preserve">jam </v>
          </cell>
          <cell r="H1438">
            <v>92500</v>
          </cell>
        </row>
        <row r="1439">
          <cell r="F1439" t="str">
            <v xml:space="preserve">Logo PU Akrilik 40x40 cm </v>
          </cell>
          <cell r="G1439" t="str">
            <v xml:space="preserve">buah </v>
          </cell>
          <cell r="H1439">
            <v>400000</v>
          </cell>
        </row>
        <row r="1440">
          <cell r="F1440" t="str">
            <v xml:space="preserve">Logo PU Plat Baja 80x80 cm </v>
          </cell>
          <cell r="G1440" t="str">
            <v xml:space="preserve">buah </v>
          </cell>
          <cell r="H1440">
            <v>450000</v>
          </cell>
        </row>
        <row r="1441">
          <cell r="F1441" t="str">
            <v>Nomor Rumah Akrilik 15x30 cm</v>
          </cell>
          <cell r="G1441" t="str">
            <v xml:space="preserve">buah </v>
          </cell>
          <cell r="H1441">
            <v>55000</v>
          </cell>
        </row>
        <row r="1442">
          <cell r="F1442" t="str">
            <v xml:space="preserve">Bak Cuci Piring </v>
          </cell>
          <cell r="G1442" t="str">
            <v xml:space="preserve">unit </v>
          </cell>
          <cell r="H1442">
            <v>436500</v>
          </cell>
        </row>
        <row r="1443">
          <cell r="F1443" t="str">
            <v>Shower Set</v>
          </cell>
          <cell r="G1443" t="str">
            <v>unit</v>
          </cell>
          <cell r="H1443">
            <v>666000</v>
          </cell>
        </row>
        <row r="1444">
          <cell r="F1444" t="str">
            <v>Dempul</v>
          </cell>
          <cell r="G1444" t="str">
            <v>kg</v>
          </cell>
          <cell r="H1444">
            <v>33500</v>
          </cell>
        </row>
        <row r="1445">
          <cell r="F1445" t="str">
            <v>Dempul jadi</v>
          </cell>
          <cell r="G1445" t="str">
            <v>kg</v>
          </cell>
          <cell r="H1445">
            <v>35500</v>
          </cell>
        </row>
        <row r="1446">
          <cell r="F1446" t="str">
            <v>Kuas  1"</v>
          </cell>
          <cell r="G1446" t="str">
            <v>buah</v>
          </cell>
          <cell r="H1446">
            <v>7100</v>
          </cell>
        </row>
        <row r="1447">
          <cell r="F1447" t="str">
            <v>Kuas  2"</v>
          </cell>
          <cell r="G1447" t="str">
            <v>buah</v>
          </cell>
          <cell r="H1447">
            <v>9800</v>
          </cell>
        </row>
        <row r="1448">
          <cell r="F1448" t="str">
            <v>Kuas  4"</v>
          </cell>
          <cell r="G1448" t="str">
            <v>buah</v>
          </cell>
          <cell r="H1448">
            <v>14100</v>
          </cell>
        </row>
        <row r="1449">
          <cell r="F1449" t="str">
            <v>Kuas 3 inch</v>
          </cell>
          <cell r="G1449" t="str">
            <v>buah</v>
          </cell>
          <cell r="H1449">
            <v>10400</v>
          </cell>
        </row>
        <row r="1450">
          <cell r="F1450" t="str">
            <v>Melamic</v>
          </cell>
          <cell r="G1450" t="str">
            <v>kg</v>
          </cell>
          <cell r="H1450">
            <v>60000</v>
          </cell>
        </row>
        <row r="1451">
          <cell r="F1451" t="str">
            <v>Meni besi</v>
          </cell>
          <cell r="G1451" t="str">
            <v>kg</v>
          </cell>
          <cell r="H1451">
            <v>39700</v>
          </cell>
        </row>
        <row r="1452">
          <cell r="F1452" t="str">
            <v>Meni kayu</v>
          </cell>
          <cell r="G1452" t="str">
            <v>kg</v>
          </cell>
          <cell r="H1452">
            <v>34500</v>
          </cell>
        </row>
        <row r="1453">
          <cell r="F1453" t="str">
            <v>Pelitur</v>
          </cell>
          <cell r="G1453" t="str">
            <v>liter</v>
          </cell>
          <cell r="H1453">
            <v>73700</v>
          </cell>
        </row>
        <row r="1454">
          <cell r="F1454" t="str">
            <v>Pelitur jadi</v>
          </cell>
          <cell r="G1454" t="str">
            <v>liter</v>
          </cell>
          <cell r="H1454">
            <v>66200</v>
          </cell>
        </row>
        <row r="1455">
          <cell r="F1455" t="str">
            <v>Pengencer cat kayu/besi</v>
          </cell>
          <cell r="G1455" t="str">
            <v>liter</v>
          </cell>
          <cell r="H1455">
            <v>20000</v>
          </cell>
        </row>
        <row r="1456">
          <cell r="F1456" t="str">
            <v>Pengencer cat kayu/besi</v>
          </cell>
          <cell r="G1456" t="str">
            <v>kg</v>
          </cell>
          <cell r="H1456">
            <v>17400</v>
          </cell>
        </row>
        <row r="1457">
          <cell r="F1457" t="str">
            <v>Pewarna Beton</v>
          </cell>
          <cell r="G1457" t="str">
            <v>kg</v>
          </cell>
          <cell r="H1457">
            <v>75000</v>
          </cell>
        </row>
        <row r="1458">
          <cell r="F1458" t="str">
            <v>Plamir kayu</v>
          </cell>
          <cell r="G1458" t="str">
            <v>kg</v>
          </cell>
          <cell r="H1458">
            <v>30100</v>
          </cell>
        </row>
        <row r="1459">
          <cell r="F1459" t="str">
            <v>Plamir tembok</v>
          </cell>
          <cell r="G1459" t="str">
            <v>kg</v>
          </cell>
          <cell r="H1459">
            <v>26500</v>
          </cell>
        </row>
        <row r="1460">
          <cell r="F1460" t="str">
            <v>Sanding</v>
          </cell>
          <cell r="G1460" t="str">
            <v>kg</v>
          </cell>
          <cell r="H1460">
            <v>90000</v>
          </cell>
        </row>
        <row r="1461">
          <cell r="F1461" t="str">
            <v>Vernis</v>
          </cell>
          <cell r="G1461" t="str">
            <v>liter</v>
          </cell>
          <cell r="H1461">
            <v>44500</v>
          </cell>
        </row>
        <row r="1462">
          <cell r="F1462" t="str">
            <v>Wood filler</v>
          </cell>
          <cell r="G1462" t="str">
            <v>kg</v>
          </cell>
          <cell r="H1462">
            <v>53000</v>
          </cell>
        </row>
        <row r="1463">
          <cell r="F1463" t="str">
            <v>Woodstain</v>
          </cell>
          <cell r="G1463" t="str">
            <v>kg</v>
          </cell>
          <cell r="H1463">
            <v>87000</v>
          </cell>
        </row>
        <row r="1465">
          <cell r="F1465" t="str">
            <v>1 set  kunci pintu (kw  1)</v>
          </cell>
          <cell r="G1465" t="str">
            <v>buah</v>
          </cell>
          <cell r="H1465">
            <v>180900</v>
          </cell>
        </row>
        <row r="1466">
          <cell r="F1466" t="str">
            <v>1 set  kunci pintu (kw  2)</v>
          </cell>
          <cell r="G1466" t="str">
            <v>buah</v>
          </cell>
          <cell r="H1466">
            <v>117900</v>
          </cell>
        </row>
        <row r="1467">
          <cell r="F1467" t="str">
            <v>1 set handle+kunci</v>
          </cell>
          <cell r="G1467" t="str">
            <v>buah</v>
          </cell>
          <cell r="H1467">
            <v>279000</v>
          </cell>
        </row>
        <row r="1468">
          <cell r="F1468" t="str">
            <v>Door closer</v>
          </cell>
          <cell r="G1468" t="str">
            <v>buah</v>
          </cell>
          <cell r="H1468">
            <v>167500</v>
          </cell>
        </row>
        <row r="1469">
          <cell r="F1469" t="str">
            <v>Door holder</v>
          </cell>
          <cell r="G1469" t="str">
            <v>buah</v>
          </cell>
          <cell r="H1469">
            <v>81000</v>
          </cell>
        </row>
        <row r="1470">
          <cell r="F1470" t="str">
            <v>Door stop</v>
          </cell>
          <cell r="G1470" t="str">
            <v>buah</v>
          </cell>
          <cell r="H1470">
            <v>58500</v>
          </cell>
        </row>
        <row r="1471">
          <cell r="F1471" t="str">
            <v>Engsel angin</v>
          </cell>
          <cell r="G1471" t="str">
            <v>buah</v>
          </cell>
          <cell r="H1471">
            <v>27400</v>
          </cell>
        </row>
        <row r="1472">
          <cell r="F1472" t="str">
            <v>Engsel jendela</v>
          </cell>
          <cell r="G1472" t="str">
            <v>buah</v>
          </cell>
          <cell r="H1472">
            <v>18900</v>
          </cell>
        </row>
        <row r="1473">
          <cell r="F1473" t="str">
            <v>Engsel kupu-kupu</v>
          </cell>
          <cell r="G1473" t="str">
            <v>buah</v>
          </cell>
          <cell r="H1473">
            <v>41700</v>
          </cell>
        </row>
        <row r="1474">
          <cell r="F1474" t="str">
            <v>Engsel lengan jendela</v>
          </cell>
          <cell r="G1474" t="str">
            <v>buah</v>
          </cell>
          <cell r="H1474">
            <v>26500</v>
          </cell>
        </row>
        <row r="1475">
          <cell r="F1475" t="str">
            <v>Engsel pintu (kw 1)</v>
          </cell>
          <cell r="G1475" t="str">
            <v>buah</v>
          </cell>
          <cell r="H1475">
            <v>31500</v>
          </cell>
        </row>
        <row r="1476">
          <cell r="F1476" t="str">
            <v>Engsel pintu (kw 2)</v>
          </cell>
          <cell r="G1476" t="str">
            <v>buah</v>
          </cell>
          <cell r="H1476">
            <v>23700</v>
          </cell>
        </row>
        <row r="1477">
          <cell r="F1477" t="str">
            <v>Floor hinge</v>
          </cell>
          <cell r="G1477" t="str">
            <v>buah</v>
          </cell>
          <cell r="H1477">
            <v>500000</v>
          </cell>
        </row>
        <row r="1478">
          <cell r="F1478" t="str">
            <v>Gerendel Biasa</v>
          </cell>
          <cell r="G1478" t="str">
            <v>buah</v>
          </cell>
          <cell r="H1478">
            <v>32600</v>
          </cell>
        </row>
        <row r="1479">
          <cell r="F1479" t="str">
            <v>Grendel</v>
          </cell>
          <cell r="G1479" t="str">
            <v>buah</v>
          </cell>
          <cell r="H1479">
            <v>15000</v>
          </cell>
        </row>
        <row r="1480">
          <cell r="F1480" t="str">
            <v>Grendel tanam</v>
          </cell>
          <cell r="G1480" t="str">
            <v>buah</v>
          </cell>
          <cell r="H1480">
            <v>150000</v>
          </cell>
        </row>
        <row r="1481">
          <cell r="F1481" t="str">
            <v>Handle pintu (kw  1)</v>
          </cell>
          <cell r="G1481" t="str">
            <v>buah</v>
          </cell>
          <cell r="H1481">
            <v>140800</v>
          </cell>
        </row>
        <row r="1482">
          <cell r="F1482" t="str">
            <v xml:space="preserve">Hendle Jendela </v>
          </cell>
          <cell r="G1482" t="str">
            <v xml:space="preserve">buah </v>
          </cell>
          <cell r="H1482">
            <v>58500</v>
          </cell>
        </row>
        <row r="1483">
          <cell r="F1483" t="str">
            <v>Kait angin</v>
          </cell>
          <cell r="G1483" t="str">
            <v>buah</v>
          </cell>
          <cell r="H1483">
            <v>12000</v>
          </cell>
        </row>
        <row r="1484">
          <cell r="F1484" t="str">
            <v>Kunci lemari</v>
          </cell>
          <cell r="G1484" t="str">
            <v>buah</v>
          </cell>
          <cell r="H1484">
            <v>14100</v>
          </cell>
        </row>
        <row r="1485">
          <cell r="F1485" t="str">
            <v>Kunci silinder</v>
          </cell>
          <cell r="G1485" t="str">
            <v>buah</v>
          </cell>
          <cell r="H1485">
            <v>70000</v>
          </cell>
        </row>
        <row r="1486">
          <cell r="F1486" t="str">
            <v>Kunci slot</v>
          </cell>
          <cell r="G1486" t="str">
            <v>buah</v>
          </cell>
          <cell r="H1486">
            <v>101300</v>
          </cell>
        </row>
        <row r="1487">
          <cell r="F1487" t="str">
            <v>Kunci tanam</v>
          </cell>
          <cell r="G1487" t="str">
            <v>buah</v>
          </cell>
          <cell r="H1487">
            <v>65800</v>
          </cell>
        </row>
        <row r="1488">
          <cell r="F1488" t="str">
            <v>Kunci tanam antik</v>
          </cell>
          <cell r="G1488" t="str">
            <v>buah</v>
          </cell>
          <cell r="H1488">
            <v>144300</v>
          </cell>
        </row>
        <row r="1489">
          <cell r="F1489" t="str">
            <v>Kunci tanam biasa</v>
          </cell>
          <cell r="G1489" t="str">
            <v>buah</v>
          </cell>
          <cell r="H1489">
            <v>65800</v>
          </cell>
        </row>
        <row r="1490">
          <cell r="F1490" t="str">
            <v>Kunci Tanam ex  lokal 2x  slag</v>
          </cell>
          <cell r="G1490" t="str">
            <v>buah</v>
          </cell>
          <cell r="H1490">
            <v>75000</v>
          </cell>
        </row>
        <row r="1491">
          <cell r="F1491" t="str">
            <v>Kunci tanam kamar mandi</v>
          </cell>
          <cell r="G1491" t="str">
            <v>buah</v>
          </cell>
          <cell r="H1491">
            <v>46900</v>
          </cell>
        </row>
        <row r="1492">
          <cell r="F1492" t="str">
            <v>Pull handle (kw  1)</v>
          </cell>
          <cell r="G1492" t="str">
            <v>buah</v>
          </cell>
          <cell r="H1492">
            <v>290800</v>
          </cell>
        </row>
        <row r="1493">
          <cell r="F1493" t="str">
            <v>Pull handle stainless  jumbo  (kw  1)</v>
          </cell>
          <cell r="G1493" t="str">
            <v>buah</v>
          </cell>
          <cell r="H1493">
            <v>435200</v>
          </cell>
        </row>
        <row r="1494">
          <cell r="F1494" t="str">
            <v>Rel pintu dorong</v>
          </cell>
          <cell r="G1494" t="str">
            <v>set</v>
          </cell>
          <cell r="H1494">
            <v>243100</v>
          </cell>
        </row>
        <row r="1495">
          <cell r="F1495" t="str">
            <v>Spring knip</v>
          </cell>
          <cell r="G1495" t="str">
            <v>buah</v>
          </cell>
          <cell r="H1495">
            <v>21600</v>
          </cell>
        </row>
        <row r="1496">
          <cell r="F1496" t="str">
            <v>Tarikan Pintu Stainless</v>
          </cell>
          <cell r="G1496" t="str">
            <v>buah</v>
          </cell>
          <cell r="H1496">
            <v>60000</v>
          </cell>
        </row>
        <row r="1497">
          <cell r="F1497" t="str">
            <v>Venetions blinds dan vertical blinds</v>
          </cell>
          <cell r="G1497" t="str">
            <v>m2</v>
          </cell>
          <cell r="H1497">
            <v>140000</v>
          </cell>
        </row>
        <row r="1499">
          <cell r="F1499" t="str">
            <v>Glass block 20x20 cm</v>
          </cell>
          <cell r="G1499" t="str">
            <v>buah</v>
          </cell>
          <cell r="H1499">
            <v>2500</v>
          </cell>
        </row>
        <row r="1500">
          <cell r="F1500" t="str">
            <v>Frame besi kaca nako</v>
          </cell>
          <cell r="G1500" t="str">
            <v>daun</v>
          </cell>
          <cell r="H1500">
            <v>400000</v>
          </cell>
        </row>
        <row r="1501">
          <cell r="F1501" t="str">
            <v>Jendela nako</v>
          </cell>
          <cell r="G1501" t="str">
            <v>buah</v>
          </cell>
          <cell r="H1501">
            <v>400000</v>
          </cell>
        </row>
        <row r="1502">
          <cell r="F1502" t="str">
            <v xml:space="preserve">Jendela Kaca Upvc 2 daun </v>
          </cell>
          <cell r="G1502" t="str">
            <v xml:space="preserve">buah </v>
          </cell>
          <cell r="H1502">
            <v>2000000</v>
          </cell>
        </row>
        <row r="1503">
          <cell r="F1503" t="str">
            <v xml:space="preserve">Jendela Ornamen GRC </v>
          </cell>
          <cell r="G1503" t="str">
            <v xml:space="preserve">buah </v>
          </cell>
          <cell r="H1503">
            <v>596000</v>
          </cell>
        </row>
        <row r="1504">
          <cell r="F1504" t="str">
            <v>Jendela Nako Rangka Aluminium (rangka+kaca 5 mm)</v>
          </cell>
          <cell r="G1504" t="str">
            <v>m2</v>
          </cell>
          <cell r="H1504">
            <v>242000</v>
          </cell>
        </row>
        <row r="1505">
          <cell r="F1505" t="str">
            <v>Kaca buram 12mm</v>
          </cell>
          <cell r="G1505" t="str">
            <v>m2</v>
          </cell>
          <cell r="H1505">
            <v>317000</v>
          </cell>
        </row>
        <row r="1506">
          <cell r="F1506" t="str">
            <v>Kaca cermin 5 mm</v>
          </cell>
          <cell r="G1506" t="str">
            <v>m2</v>
          </cell>
          <cell r="H1506">
            <v>221400</v>
          </cell>
        </row>
        <row r="1507">
          <cell r="F1507" t="str">
            <v>Kaca cermin 6mm</v>
          </cell>
          <cell r="G1507" t="str">
            <v>m2</v>
          </cell>
          <cell r="H1507">
            <v>270900</v>
          </cell>
        </row>
        <row r="1508">
          <cell r="F1508" t="str">
            <v>Kaca cermin 8 mm</v>
          </cell>
          <cell r="G1508" t="str">
            <v>m2</v>
          </cell>
          <cell r="H1508">
            <v>796100</v>
          </cell>
        </row>
        <row r="1509">
          <cell r="F1509" t="str">
            <v>Kaca es  kabur 3 mm</v>
          </cell>
          <cell r="G1509" t="str">
            <v>m2</v>
          </cell>
          <cell r="H1509">
            <v>85000</v>
          </cell>
        </row>
        <row r="1510">
          <cell r="F1510" t="str">
            <v>Kaca es  kabur 5 mm</v>
          </cell>
          <cell r="G1510" t="str">
            <v>m2</v>
          </cell>
          <cell r="H1510">
            <v>95000</v>
          </cell>
        </row>
        <row r="1511">
          <cell r="F1511" t="str">
            <v>Kaca gravire 5mm</v>
          </cell>
          <cell r="G1511" t="str">
            <v>m2</v>
          </cell>
          <cell r="H1511">
            <v>794400</v>
          </cell>
        </row>
        <row r="1512">
          <cell r="F1512" t="str">
            <v>Kaca gravire putih 5mm</v>
          </cell>
          <cell r="G1512" t="str">
            <v>m2</v>
          </cell>
          <cell r="H1512">
            <v>750000</v>
          </cell>
        </row>
        <row r="1513">
          <cell r="F1513" t="str">
            <v>Kaca laminated 12 mm</v>
          </cell>
          <cell r="G1513" t="str">
            <v>m2</v>
          </cell>
          <cell r="H1513">
            <v>900000</v>
          </cell>
        </row>
        <row r="1514">
          <cell r="F1514" t="str">
            <v>Kaca laminated 8 mm</v>
          </cell>
          <cell r="G1514" t="str">
            <v>m2</v>
          </cell>
          <cell r="H1514">
            <v>700000</v>
          </cell>
        </row>
        <row r="1515">
          <cell r="F1515" t="str">
            <v>Kaca lukis  alur 5mm</v>
          </cell>
          <cell r="G1515" t="str">
            <v>m2</v>
          </cell>
          <cell r="H1515">
            <v>688700</v>
          </cell>
        </row>
        <row r="1516">
          <cell r="F1516" t="str">
            <v>Kaca patri 5 mm</v>
          </cell>
          <cell r="G1516" t="str">
            <v>m2</v>
          </cell>
          <cell r="H1516">
            <v>1516300</v>
          </cell>
        </row>
        <row r="1517">
          <cell r="F1517" t="str">
            <v>Kaca polos</v>
          </cell>
          <cell r="G1517" t="str">
            <v>m2</v>
          </cell>
          <cell r="H1517">
            <v>120000</v>
          </cell>
        </row>
        <row r="1518">
          <cell r="F1518" t="str">
            <v>Kaca polos 3 mm</v>
          </cell>
          <cell r="G1518" t="str">
            <v>m2</v>
          </cell>
          <cell r="H1518">
            <v>120000</v>
          </cell>
        </row>
        <row r="1519">
          <cell r="F1519" t="str">
            <v>Kaca polos 5 mm</v>
          </cell>
          <cell r="G1519" t="str">
            <v>m2</v>
          </cell>
          <cell r="H1519">
            <v>198000</v>
          </cell>
        </row>
        <row r="1520">
          <cell r="F1520" t="str">
            <v>Kaca polos 6 mm</v>
          </cell>
          <cell r="G1520" t="str">
            <v>m2</v>
          </cell>
          <cell r="H1520">
            <v>237000</v>
          </cell>
        </row>
        <row r="1521">
          <cell r="F1521" t="str">
            <v>Kaca polos 8 mm</v>
          </cell>
          <cell r="G1521" t="str">
            <v>m2</v>
          </cell>
          <cell r="H1521">
            <v>226400</v>
          </cell>
        </row>
        <row r="1522">
          <cell r="F1522" t="str">
            <v>Kaca tanpa tripel 5mm</v>
          </cell>
          <cell r="G1522" t="str">
            <v>m2</v>
          </cell>
          <cell r="H1522">
            <v>3447000</v>
          </cell>
        </row>
        <row r="1523">
          <cell r="F1523" t="str">
            <v>Kaca tempered 12 mm</v>
          </cell>
          <cell r="G1523" t="str">
            <v>m2</v>
          </cell>
          <cell r="H1523">
            <v>600000</v>
          </cell>
        </row>
        <row r="1524">
          <cell r="F1524" t="str">
            <v>Kaca triple 5mm</v>
          </cell>
          <cell r="G1524" t="str">
            <v>m2</v>
          </cell>
          <cell r="H1524">
            <v>3179400</v>
          </cell>
        </row>
        <row r="1525">
          <cell r="F1525" t="str">
            <v>Kaca triple platinum 5mm</v>
          </cell>
          <cell r="G1525" t="str">
            <v>m2</v>
          </cell>
          <cell r="H1525">
            <v>3702800</v>
          </cell>
        </row>
        <row r="1526">
          <cell r="F1526" t="str">
            <v>Kaca wireglass 5 mm</v>
          </cell>
          <cell r="G1526" t="str">
            <v>m2</v>
          </cell>
          <cell r="H1526">
            <v>144800</v>
          </cell>
        </row>
        <row r="1527">
          <cell r="F1527" t="str">
            <v>Profil kaca</v>
          </cell>
          <cell r="G1527" t="str">
            <v>m¹</v>
          </cell>
          <cell r="H1527">
            <v>14500</v>
          </cell>
        </row>
        <row r="1528">
          <cell r="F1528" t="str">
            <v>Profil kaca tebal 6 mm</v>
          </cell>
          <cell r="G1528" t="str">
            <v>m2</v>
          </cell>
          <cell r="H1528">
            <v>15000</v>
          </cell>
        </row>
        <row r="1529">
          <cell r="F1529" t="str">
            <v>Ray Band 3mm</v>
          </cell>
          <cell r="G1529" t="str">
            <v>m2</v>
          </cell>
          <cell r="H1529">
            <v>85100</v>
          </cell>
        </row>
        <row r="1530">
          <cell r="F1530" t="str">
            <v>Ray Band 5mm</v>
          </cell>
          <cell r="G1530" t="str">
            <v>m2</v>
          </cell>
          <cell r="H1530">
            <v>112400</v>
          </cell>
        </row>
        <row r="1532">
          <cell r="F1532" t="str">
            <v>Bak  reservoir  fibreglass (kapasitas 1050  liter)</v>
          </cell>
          <cell r="G1532" t="str">
            <v>buah</v>
          </cell>
          <cell r="H1532">
            <v>1793400</v>
          </cell>
        </row>
        <row r="1533">
          <cell r="F1533" t="str">
            <v>Bak  reservoir  fibreglass (kapasitas 1200  liter)</v>
          </cell>
          <cell r="G1533" t="str">
            <v>buah</v>
          </cell>
          <cell r="H1533">
            <v>1448700</v>
          </cell>
        </row>
        <row r="1534">
          <cell r="F1534" t="str">
            <v>Bak  reservoir  fibreglass (kapasitas 1550  liter)</v>
          </cell>
          <cell r="G1534" t="str">
            <v>buah</v>
          </cell>
          <cell r="H1534">
            <v>2125600</v>
          </cell>
        </row>
        <row r="1535">
          <cell r="F1535" t="str">
            <v>Bak  reservoir  fibreglass (kapasitas 2000  liter)</v>
          </cell>
          <cell r="G1535" t="str">
            <v>buah</v>
          </cell>
          <cell r="H1535">
            <v>2778200</v>
          </cell>
        </row>
        <row r="1536">
          <cell r="F1536" t="str">
            <v>Bak  reservoir  fibreglass (kapasitas 650  liter)</v>
          </cell>
          <cell r="G1536" t="str">
            <v>buah</v>
          </cell>
          <cell r="H1536">
            <v>868300</v>
          </cell>
        </row>
        <row r="1537">
          <cell r="F1537" t="str">
            <v>Bak cuci stainlesteel</v>
          </cell>
          <cell r="G1537" t="str">
            <v>buah</v>
          </cell>
          <cell r="H1537">
            <v>230600</v>
          </cell>
        </row>
        <row r="1538">
          <cell r="F1538" t="str">
            <v>Bak cuci teraso</v>
          </cell>
          <cell r="G1538" t="str">
            <v>buah</v>
          </cell>
          <cell r="H1538">
            <v>600000</v>
          </cell>
        </row>
        <row r="1539">
          <cell r="F1539" t="str">
            <v>Bak fiberglass 1 m3</v>
          </cell>
          <cell r="G1539" t="str">
            <v>buah</v>
          </cell>
          <cell r="H1539">
            <v>400000</v>
          </cell>
        </row>
        <row r="1540">
          <cell r="F1540" t="str">
            <v>Bak fiberglass 70x70x66 cm</v>
          </cell>
          <cell r="G1540" t="str">
            <v>buah</v>
          </cell>
          <cell r="H1540">
            <v>328400</v>
          </cell>
        </row>
        <row r="1541">
          <cell r="F1541" t="str">
            <v>Bak teraso</v>
          </cell>
          <cell r="G1541" t="str">
            <v>buah</v>
          </cell>
          <cell r="H1541">
            <v>450000</v>
          </cell>
        </row>
        <row r="1542">
          <cell r="F1542" t="str">
            <v>Bathup</v>
          </cell>
          <cell r="G1542" t="str">
            <v>unit</v>
          </cell>
          <cell r="H1542">
            <v>2500000</v>
          </cell>
        </row>
        <row r="1543">
          <cell r="F1543" t="str">
            <v>Carbon filter kap. 0,1 m3/hari</v>
          </cell>
          <cell r="G1543" t="str">
            <v>unit</v>
          </cell>
          <cell r="H1543">
            <v>650000</v>
          </cell>
        </row>
        <row r="1544">
          <cell r="F1544" t="str">
            <v>Carbon filter kap. 0,6 m3/hari</v>
          </cell>
          <cell r="G1544" t="str">
            <v>unit</v>
          </cell>
          <cell r="H1544">
            <v>3000000</v>
          </cell>
        </row>
        <row r="1545">
          <cell r="F1545" t="str">
            <v>Clean out</v>
          </cell>
          <cell r="G1545" t="str">
            <v>buah</v>
          </cell>
          <cell r="H1545">
            <v>70000</v>
          </cell>
        </row>
        <row r="1546">
          <cell r="F1546" t="str">
            <v>Flexible hose</v>
          </cell>
          <cell r="G1546" t="str">
            <v>m'</v>
          </cell>
          <cell r="H1546">
            <v>55000</v>
          </cell>
        </row>
        <row r="1547">
          <cell r="F1547" t="str">
            <v>Flexible hose</v>
          </cell>
          <cell r="G1547" t="str">
            <v>buah</v>
          </cell>
          <cell r="H1547">
            <v>50000</v>
          </cell>
        </row>
        <row r="1548">
          <cell r="F1548" t="str">
            <v>Floor drain stainles steel</v>
          </cell>
          <cell r="G1548" t="str">
            <v>buah</v>
          </cell>
          <cell r="H1548">
            <v>44700</v>
          </cell>
        </row>
        <row r="1549">
          <cell r="F1549" t="str">
            <v>Grab bar</v>
          </cell>
          <cell r="G1549" t="str">
            <v>buah</v>
          </cell>
          <cell r="H1549">
            <v>120000</v>
          </cell>
        </row>
        <row r="1550">
          <cell r="F1550" t="str">
            <v>Grease trap central fiberglass, kap. 5 m3</v>
          </cell>
          <cell r="G1550" t="str">
            <v>unit</v>
          </cell>
          <cell r="H1550">
            <v>20000000</v>
          </cell>
        </row>
        <row r="1551">
          <cell r="F1551" t="str">
            <v>Grease trap portable fiberglass, kap. 30 Liter</v>
          </cell>
          <cell r="G1551" t="str">
            <v>unit</v>
          </cell>
          <cell r="H1551">
            <v>1000000</v>
          </cell>
        </row>
        <row r="1552">
          <cell r="F1552" t="str">
            <v>Grease trap portable stainless, kap. 30 Liter</v>
          </cell>
          <cell r="G1552" t="str">
            <v>unit</v>
          </cell>
          <cell r="H1552">
            <v>1500000</v>
          </cell>
        </row>
        <row r="1553">
          <cell r="F1553" t="str">
            <v>Jet washer</v>
          </cell>
          <cell r="G1553" t="str">
            <v>buah</v>
          </cell>
          <cell r="H1553">
            <v>100000</v>
          </cell>
        </row>
        <row r="1554">
          <cell r="F1554" t="str">
            <v>Kloset duduk/monoblok</v>
          </cell>
          <cell r="G1554" t="str">
            <v>buah</v>
          </cell>
          <cell r="H1554">
            <v>1490000</v>
          </cell>
        </row>
        <row r="1555">
          <cell r="F1555" t="str">
            <v>Kloset jongkok</v>
          </cell>
          <cell r="G1555" t="str">
            <v>buah</v>
          </cell>
          <cell r="H1555">
            <v>250000</v>
          </cell>
        </row>
        <row r="1556">
          <cell r="F1556" t="str">
            <v>Komunal 10</v>
          </cell>
          <cell r="G1556" t="str">
            <v>unit</v>
          </cell>
          <cell r="H1556">
            <v>30000000</v>
          </cell>
        </row>
        <row r="1557">
          <cell r="F1557" t="str">
            <v>Komunal 100</v>
          </cell>
          <cell r="G1557" t="str">
            <v>unit</v>
          </cell>
          <cell r="H1557">
            <v>310000000</v>
          </cell>
        </row>
        <row r="1558">
          <cell r="F1558" t="str">
            <v>Komunal 125</v>
          </cell>
          <cell r="G1558" t="str">
            <v>unit</v>
          </cell>
          <cell r="H1558">
            <v>390000000</v>
          </cell>
        </row>
        <row r="1559">
          <cell r="F1559" t="str">
            <v>Komunal 150</v>
          </cell>
          <cell r="G1559" t="str">
            <v>unit</v>
          </cell>
          <cell r="H1559">
            <v>465000000</v>
          </cell>
        </row>
        <row r="1560">
          <cell r="F1560" t="str">
            <v>Komunal 25</v>
          </cell>
          <cell r="G1560" t="str">
            <v>unit</v>
          </cell>
          <cell r="H1560">
            <v>70000000</v>
          </cell>
        </row>
        <row r="1561">
          <cell r="F1561" t="str">
            <v>Komunal 50</v>
          </cell>
          <cell r="G1561" t="str">
            <v>unit</v>
          </cell>
          <cell r="H1561">
            <v>135000000</v>
          </cell>
        </row>
        <row r="1562">
          <cell r="F1562" t="str">
            <v>Komunal 75</v>
          </cell>
          <cell r="G1562" t="str">
            <v>unit</v>
          </cell>
          <cell r="H1562">
            <v>245000000</v>
          </cell>
        </row>
        <row r="1563">
          <cell r="F1563" t="str">
            <v>Kran air</v>
          </cell>
          <cell r="G1563" t="str">
            <v>buah</v>
          </cell>
          <cell r="H1563">
            <v>41700</v>
          </cell>
        </row>
        <row r="1564">
          <cell r="F1564" t="str">
            <v>Partisi urinoir</v>
          </cell>
          <cell r="G1564" t="str">
            <v>buah</v>
          </cell>
          <cell r="H1564">
            <v>700000</v>
          </cell>
        </row>
        <row r="1565">
          <cell r="F1565" t="str">
            <v>Pintu kubikel</v>
          </cell>
          <cell r="G1565" t="str">
            <v>set</v>
          </cell>
          <cell r="H1565">
            <v>1000000</v>
          </cell>
        </row>
        <row r="1566">
          <cell r="F1566" t="str">
            <v>Pompa booster 150 lpm (vertical in line-packaged)</v>
          </cell>
          <cell r="G1566" t="str">
            <v>unit</v>
          </cell>
          <cell r="H1566">
            <v>1200000</v>
          </cell>
        </row>
        <row r="1567">
          <cell r="F1567" t="str">
            <v>Pompa booster 450 lpm (centrifugal end suction)</v>
          </cell>
          <cell r="G1567" t="str">
            <v>unit</v>
          </cell>
          <cell r="H1567">
            <v>2970000</v>
          </cell>
        </row>
        <row r="1568">
          <cell r="F1568" t="str">
            <v>Pompa jet 100 lpm</v>
          </cell>
          <cell r="G1568" t="str">
            <v>unit</v>
          </cell>
          <cell r="H1568">
            <v>2000000</v>
          </cell>
        </row>
        <row r="1569">
          <cell r="F1569" t="str">
            <v>Pompa jet 27 lpm</v>
          </cell>
          <cell r="G1569" t="str">
            <v>unit</v>
          </cell>
          <cell r="H1569">
            <v>900000</v>
          </cell>
        </row>
        <row r="1570">
          <cell r="F1570" t="str">
            <v>Pompa jet 34 lpm</v>
          </cell>
          <cell r="G1570" t="str">
            <v>unit</v>
          </cell>
          <cell r="H1570">
            <v>1200000</v>
          </cell>
        </row>
        <row r="1571">
          <cell r="F1571" t="str">
            <v>Pompa lift 250 lpm</v>
          </cell>
          <cell r="G1571" t="str">
            <v>unit</v>
          </cell>
          <cell r="H1571">
            <v>3500000</v>
          </cell>
        </row>
        <row r="1572">
          <cell r="F1572" t="str">
            <v>Pompa lift 80 lpm</v>
          </cell>
          <cell r="G1572" t="str">
            <v>unit</v>
          </cell>
          <cell r="H1572">
            <v>1000000</v>
          </cell>
        </row>
        <row r="1573">
          <cell r="F1573" t="str">
            <v>Pompa transfer 150 lpm (centrifugal end suction)</v>
          </cell>
          <cell r="G1573" t="str">
            <v>unit</v>
          </cell>
          <cell r="H1573">
            <v>1000000</v>
          </cell>
        </row>
        <row r="1574">
          <cell r="F1574" t="str">
            <v>Pressure tank 1.000 liter</v>
          </cell>
          <cell r="G1574" t="str">
            <v>unit</v>
          </cell>
          <cell r="H1574">
            <v>17000000</v>
          </cell>
        </row>
        <row r="1575">
          <cell r="F1575" t="str">
            <v>Priming tank fiber 1.000 liter</v>
          </cell>
          <cell r="G1575" t="str">
            <v>unit</v>
          </cell>
          <cell r="H1575">
            <v>2850000</v>
          </cell>
        </row>
        <row r="1576">
          <cell r="F1576" t="str">
            <v>Priming tank fiber 2.000 liter</v>
          </cell>
          <cell r="G1576" t="str">
            <v>unit</v>
          </cell>
          <cell r="H1576">
            <v>4000000</v>
          </cell>
        </row>
        <row r="1577">
          <cell r="F1577" t="str">
            <v>Priming tank fiber 500 liter</v>
          </cell>
          <cell r="G1577" t="str">
            <v>unit</v>
          </cell>
          <cell r="H1577">
            <v>1300000</v>
          </cell>
        </row>
        <row r="1578">
          <cell r="F1578" t="str">
            <v>Priming tank fiber 800 liter</v>
          </cell>
          <cell r="G1578" t="str">
            <v>unit</v>
          </cell>
          <cell r="H1578">
            <v>2080000</v>
          </cell>
        </row>
        <row r="1579">
          <cell r="F1579" t="str">
            <v>Robe hook</v>
          </cell>
          <cell r="G1579" t="str">
            <v>buah</v>
          </cell>
          <cell r="H1579">
            <v>70000</v>
          </cell>
        </row>
        <row r="1580">
          <cell r="F1580" t="str">
            <v>Roof tank fiberglass kap. 12 m3</v>
          </cell>
          <cell r="G1580" t="str">
            <v>unit</v>
          </cell>
          <cell r="H1580">
            <v>36000000</v>
          </cell>
        </row>
        <row r="1581">
          <cell r="F1581" t="str">
            <v>Roof tank fiberglass kap. 2 m3</v>
          </cell>
          <cell r="G1581" t="str">
            <v>unit</v>
          </cell>
          <cell r="H1581">
            <v>6000000</v>
          </cell>
        </row>
        <row r="1582">
          <cell r="F1582" t="str">
            <v>Roof tank fiberglass kap. 4 m3</v>
          </cell>
          <cell r="G1582" t="str">
            <v>unit</v>
          </cell>
          <cell r="H1582">
            <v>12000000</v>
          </cell>
        </row>
        <row r="1583">
          <cell r="F1583" t="str">
            <v>Roof tank stainless kap. 12 m3</v>
          </cell>
          <cell r="G1583" t="str">
            <v>unit</v>
          </cell>
          <cell r="H1583">
            <v>48000000</v>
          </cell>
        </row>
        <row r="1584">
          <cell r="F1584" t="str">
            <v>Roof tank stainless kap. 2 m3</v>
          </cell>
          <cell r="G1584" t="str">
            <v>unit</v>
          </cell>
          <cell r="H1584">
            <v>6400000</v>
          </cell>
        </row>
        <row r="1585">
          <cell r="F1585" t="str">
            <v>Roof tank stainless kap. 4 m3</v>
          </cell>
          <cell r="G1585" t="str">
            <v>unit</v>
          </cell>
          <cell r="H1585">
            <v>15000000</v>
          </cell>
        </row>
        <row r="1586">
          <cell r="F1586" t="str">
            <v>Sand filter kap. 0,1 m3/hari</v>
          </cell>
          <cell r="G1586" t="str">
            <v>unit</v>
          </cell>
          <cell r="H1586">
            <v>2500000</v>
          </cell>
        </row>
        <row r="1587">
          <cell r="F1587" t="str">
            <v>Sand filter kap. 14 m3/hari</v>
          </cell>
          <cell r="G1587" t="str">
            <v>unit</v>
          </cell>
          <cell r="H1587">
            <v>4800000</v>
          </cell>
        </row>
        <row r="1588">
          <cell r="F1588" t="str">
            <v>Sekat kubikel</v>
          </cell>
          <cell r="G1588" t="str">
            <v>m2</v>
          </cell>
          <cell r="H1588">
            <v>1200000</v>
          </cell>
        </row>
        <row r="1589">
          <cell r="F1589" t="str">
            <v>Septic  0,6</v>
          </cell>
          <cell r="G1589" t="str">
            <v>unit</v>
          </cell>
          <cell r="H1589">
            <v>3200000</v>
          </cell>
        </row>
        <row r="1590">
          <cell r="F1590" t="str">
            <v>Septic  0,8</v>
          </cell>
          <cell r="G1590" t="str">
            <v>unit</v>
          </cell>
          <cell r="H1590">
            <v>3500000</v>
          </cell>
        </row>
        <row r="1591">
          <cell r="F1591" t="str">
            <v>Septic  1</v>
          </cell>
          <cell r="G1591" t="str">
            <v>unit</v>
          </cell>
          <cell r="H1591">
            <v>3600000</v>
          </cell>
        </row>
        <row r="1592">
          <cell r="F1592" t="str">
            <v>Septic  2</v>
          </cell>
          <cell r="G1592" t="str">
            <v>unit</v>
          </cell>
          <cell r="H1592">
            <v>4600000</v>
          </cell>
        </row>
        <row r="1593">
          <cell r="F1593" t="str">
            <v>Septic  5</v>
          </cell>
          <cell r="G1593" t="str">
            <v>unit</v>
          </cell>
          <cell r="H1593">
            <v>16000000</v>
          </cell>
        </row>
        <row r="1594">
          <cell r="F1594" t="str">
            <v>Sewage Treatment Plant (STP) fiberglass kap. 10 m3</v>
          </cell>
          <cell r="G1594" t="str">
            <v>unit</v>
          </cell>
          <cell r="H1594">
            <v>53200000</v>
          </cell>
        </row>
        <row r="1595">
          <cell r="F1595" t="str">
            <v>Sewage Treatment Plant (STP) fiberglass kap. 2 m3</v>
          </cell>
          <cell r="G1595" t="str">
            <v>unit</v>
          </cell>
          <cell r="H1595">
            <v>19500000</v>
          </cell>
        </row>
        <row r="1596">
          <cell r="F1596" t="str">
            <v>Sewage Treatment Plant (STP) fiberglass kap. 30 m3</v>
          </cell>
          <cell r="G1596" t="str">
            <v>unit</v>
          </cell>
          <cell r="H1596">
            <v>100000000</v>
          </cell>
        </row>
        <row r="1597">
          <cell r="F1597" t="str">
            <v>Sewage Treatment Plant (STP) fiberglass kap. 5 m3</v>
          </cell>
          <cell r="G1597" t="str">
            <v>unit</v>
          </cell>
          <cell r="H1597">
            <v>33000000</v>
          </cell>
        </row>
        <row r="1598">
          <cell r="F1598" t="str">
            <v>Sewage Treatment Plant (STP) precast kap. 30 m3</v>
          </cell>
          <cell r="G1598" t="str">
            <v>unit</v>
          </cell>
          <cell r="H1598">
            <v>84000000</v>
          </cell>
        </row>
        <row r="1599">
          <cell r="F1599" t="str">
            <v>Silika filter kap. 0,1 m3/hari</v>
          </cell>
          <cell r="G1599" t="str">
            <v>unit</v>
          </cell>
          <cell r="H1599">
            <v>500000</v>
          </cell>
        </row>
        <row r="1600">
          <cell r="F1600" t="str">
            <v>Soap holder</v>
          </cell>
          <cell r="G1600" t="str">
            <v>buah</v>
          </cell>
          <cell r="H1600">
            <v>150000</v>
          </cell>
        </row>
        <row r="1601">
          <cell r="F1601" t="str">
            <v>Stop kran PVC 1/2"</v>
          </cell>
          <cell r="G1601" t="str">
            <v>buah</v>
          </cell>
          <cell r="H1601">
            <v>4000</v>
          </cell>
        </row>
        <row r="1602">
          <cell r="F1602" t="str">
            <v>Stop kran PVC 3/4"</v>
          </cell>
          <cell r="G1602" t="str">
            <v>buah</v>
          </cell>
          <cell r="H1602">
            <v>6000</v>
          </cell>
        </row>
        <row r="1603">
          <cell r="F1603" t="str">
            <v>Submersible cutter pump kap. 100 lpm</v>
          </cell>
          <cell r="G1603" t="str">
            <v>unit</v>
          </cell>
          <cell r="H1603">
            <v>8500000</v>
          </cell>
        </row>
        <row r="1604">
          <cell r="F1604" t="str">
            <v>Tangki toren kap. 0,7 m3</v>
          </cell>
          <cell r="G1604" t="str">
            <v>unit</v>
          </cell>
          <cell r="H1604">
            <v>1100000</v>
          </cell>
        </row>
        <row r="1605">
          <cell r="F1605" t="str">
            <v>Tangki toren kap. 1,5 m3</v>
          </cell>
          <cell r="G1605" t="str">
            <v>unit</v>
          </cell>
          <cell r="H1605">
            <v>1700000</v>
          </cell>
        </row>
        <row r="1606">
          <cell r="F1606" t="str">
            <v>Tangki toren kap. 2,5 m3</v>
          </cell>
          <cell r="G1606" t="str">
            <v>unit</v>
          </cell>
          <cell r="H1606">
            <v>3400000</v>
          </cell>
        </row>
        <row r="1607">
          <cell r="F1607" t="str">
            <v>Tangki toren kap. 3 m3</v>
          </cell>
          <cell r="G1607" t="str">
            <v>unit</v>
          </cell>
          <cell r="H1607">
            <v>4600000</v>
          </cell>
        </row>
        <row r="1608">
          <cell r="F1608" t="str">
            <v>Tangki toren kap. 4 m3</v>
          </cell>
          <cell r="G1608" t="str">
            <v>unit</v>
          </cell>
          <cell r="H1608">
            <v>5500000</v>
          </cell>
        </row>
        <row r="1609">
          <cell r="F1609" t="str">
            <v>Tangki toren kap. 5 m3</v>
          </cell>
          <cell r="G1609" t="str">
            <v>unit</v>
          </cell>
          <cell r="H1609">
            <v>6900000</v>
          </cell>
        </row>
        <row r="1610">
          <cell r="F1610" t="str">
            <v>Tangki toren kap. 5,5 m3</v>
          </cell>
          <cell r="G1610" t="str">
            <v>unit</v>
          </cell>
          <cell r="H1610">
            <v>7100000</v>
          </cell>
        </row>
        <row r="1611">
          <cell r="F1611" t="str">
            <v>Tangki toren kap. 6 m3</v>
          </cell>
          <cell r="G1611" t="str">
            <v>unit</v>
          </cell>
          <cell r="H1611">
            <v>7850000</v>
          </cell>
        </row>
        <row r="1612">
          <cell r="F1612" t="str">
            <v>Tangki Panel FRP kap. 12 m3</v>
          </cell>
          <cell r="G1612" t="str">
            <v xml:space="preserve">unit </v>
          </cell>
          <cell r="H1612">
            <v>15000000</v>
          </cell>
        </row>
        <row r="1613">
          <cell r="F1613" t="str">
            <v>Tangki panel Stainless Steel kapasitas 12 m3 + Material Bantu / Aksesoris</v>
          </cell>
          <cell r="G1613" t="str">
            <v xml:space="preserve">Unit </v>
          </cell>
          <cell r="H1613">
            <v>12500000</v>
          </cell>
        </row>
        <row r="1614">
          <cell r="F1614" t="str">
            <v>Tangki panel GRP
kapasitas 12 m3 +
Material Bantu /
Aksesoris</v>
          </cell>
          <cell r="G1614" t="str">
            <v xml:space="preserve">Unit </v>
          </cell>
          <cell r="H1614">
            <v>12000000</v>
          </cell>
        </row>
        <row r="1615">
          <cell r="F1615" t="str">
            <v>Tangki Toren Kapasitas 0,5 m3</v>
          </cell>
          <cell r="G1615" t="str">
            <v xml:space="preserve">Unit </v>
          </cell>
          <cell r="H1615">
            <v>650000</v>
          </cell>
        </row>
        <row r="1616">
          <cell r="F1616" t="str">
            <v xml:space="preserve">Pompa Jet 30 lpm </v>
          </cell>
          <cell r="G1616" t="str">
            <v>unit</v>
          </cell>
          <cell r="H1616">
            <v>730000</v>
          </cell>
        </row>
        <row r="1617">
          <cell r="F1617" t="str">
            <v>Galian tanah biasa</v>
          </cell>
          <cell r="G1617" t="str">
            <v>m3</v>
          </cell>
          <cell r="H1617">
            <v>45000</v>
          </cell>
        </row>
        <row r="1618">
          <cell r="F1618" t="str">
            <v xml:space="preserve">Urukan Tanah </v>
          </cell>
          <cell r="G1618" t="str">
            <v>m2</v>
          </cell>
          <cell r="H1618">
            <v>65000</v>
          </cell>
        </row>
        <row r="1619">
          <cell r="F1619" t="str">
            <v xml:space="preserve">Timbunan Pasir </v>
          </cell>
          <cell r="G1619" t="str">
            <v>m3</v>
          </cell>
          <cell r="H1619">
            <v>150000</v>
          </cell>
        </row>
        <row r="1620">
          <cell r="F1620" t="str">
            <v xml:space="preserve">Buis Beton 1/2 dia. 30 cm </v>
          </cell>
          <cell r="G1620" t="str">
            <v xml:space="preserve">buah </v>
          </cell>
          <cell r="H1620">
            <v>93000</v>
          </cell>
        </row>
        <row r="1621">
          <cell r="F1621" t="str">
            <v xml:space="preserve">Buis Beton 1/2 dia. 40 cm </v>
          </cell>
          <cell r="G1621" t="str">
            <v xml:space="preserve">buah </v>
          </cell>
          <cell r="H1621">
            <v>110250</v>
          </cell>
        </row>
        <row r="1622">
          <cell r="F1622" t="str">
            <v xml:space="preserve">Buis Beton 1/2 dia. 50 cm </v>
          </cell>
          <cell r="G1622" t="str">
            <v xml:space="preserve">buah </v>
          </cell>
          <cell r="H1622">
            <v>115000</v>
          </cell>
        </row>
        <row r="1623">
          <cell r="F1623" t="str">
            <v xml:space="preserve">Buis Beton 1/2 dia. 60 cm </v>
          </cell>
          <cell r="G1623" t="str">
            <v xml:space="preserve">buah </v>
          </cell>
          <cell r="H1623">
            <v>125500</v>
          </cell>
        </row>
        <row r="1624">
          <cell r="F1624" t="str">
            <v xml:space="preserve">Buis beton 1/2 dia. 80 cm </v>
          </cell>
          <cell r="G1624" t="str">
            <v xml:space="preserve">buah </v>
          </cell>
          <cell r="H1624">
            <v>150600</v>
          </cell>
        </row>
        <row r="1625">
          <cell r="F1625" t="str">
            <v xml:space="preserve">Buis Beton 1/2 dia. 100 cm </v>
          </cell>
          <cell r="G1625" t="str">
            <v xml:space="preserve">buah </v>
          </cell>
          <cell r="H1625">
            <v>190000</v>
          </cell>
        </row>
        <row r="1626">
          <cell r="F1626" t="str">
            <v xml:space="preserve">Buis Beton dia. 30 cm </v>
          </cell>
          <cell r="G1626" t="str">
            <v xml:space="preserve">buah </v>
          </cell>
          <cell r="H1626">
            <v>75000</v>
          </cell>
        </row>
        <row r="1627">
          <cell r="F1627" t="str">
            <v xml:space="preserve">Buis Beton dia. 40 cm </v>
          </cell>
          <cell r="G1627" t="str">
            <v xml:space="preserve">buah </v>
          </cell>
          <cell r="H1627">
            <v>120000</v>
          </cell>
        </row>
        <row r="1628">
          <cell r="F1628" t="str">
            <v xml:space="preserve">Buis Beton dia. 50 cm </v>
          </cell>
          <cell r="G1628" t="str">
            <v xml:space="preserve">buah </v>
          </cell>
          <cell r="H1628">
            <v>150000</v>
          </cell>
        </row>
        <row r="1629">
          <cell r="F1629" t="str">
            <v xml:space="preserve">Buis Beton dia. 60 cm </v>
          </cell>
          <cell r="G1629" t="str">
            <v xml:space="preserve">buah </v>
          </cell>
          <cell r="H1629">
            <v>250000</v>
          </cell>
        </row>
        <row r="1630">
          <cell r="F1630" t="str">
            <v xml:space="preserve">Buis beton dia. 80 cm </v>
          </cell>
          <cell r="G1630" t="str">
            <v xml:space="preserve">buah </v>
          </cell>
          <cell r="H1630">
            <v>255400</v>
          </cell>
        </row>
        <row r="1631">
          <cell r="F1631" t="str">
            <v xml:space="preserve">Buis Beton dia. 100 cm </v>
          </cell>
          <cell r="G1631" t="str">
            <v xml:space="preserve">buah </v>
          </cell>
          <cell r="H1631">
            <v>269500</v>
          </cell>
        </row>
        <row r="1632">
          <cell r="F1632" t="str">
            <v xml:space="preserve">Ijuk </v>
          </cell>
          <cell r="G1632" t="str">
            <v xml:space="preserve">kg </v>
          </cell>
          <cell r="H1632">
            <v>7000</v>
          </cell>
        </row>
        <row r="1633">
          <cell r="F1633" t="str">
            <v xml:space="preserve">Beton </v>
          </cell>
          <cell r="G1633" t="str">
            <v>m3</v>
          </cell>
          <cell r="H1633">
            <v>825000</v>
          </cell>
        </row>
        <row r="1634">
          <cell r="F1634" t="str">
            <v xml:space="preserve">tulangan </v>
          </cell>
          <cell r="G1634" t="str">
            <v>kg</v>
          </cell>
          <cell r="H1634">
            <v>10300</v>
          </cell>
        </row>
        <row r="1635">
          <cell r="F1635" t="str">
            <v xml:space="preserve">Bekisting </v>
          </cell>
          <cell r="G1635" t="str">
            <v>m2</v>
          </cell>
          <cell r="H1635">
            <v>37500</v>
          </cell>
        </row>
        <row r="1636">
          <cell r="F1636" t="str">
            <v>Kanstin uk. 10x20x40</v>
          </cell>
          <cell r="G1636" t="str">
            <v xml:space="preserve">Buah </v>
          </cell>
          <cell r="H1636">
            <v>27383</v>
          </cell>
        </row>
        <row r="1637">
          <cell r="F1637" t="str">
            <v>Kanstin uk. 15x40x60</v>
          </cell>
          <cell r="G1637" t="str">
            <v xml:space="preserve">buah </v>
          </cell>
          <cell r="H1637">
            <v>93000</v>
          </cell>
        </row>
        <row r="1638">
          <cell r="F1638" t="str">
            <v>Box Culvert 40x40x100 cm</v>
          </cell>
          <cell r="G1638" t="str">
            <v xml:space="preserve">buah </v>
          </cell>
          <cell r="H1638">
            <v>855000</v>
          </cell>
        </row>
        <row r="1639">
          <cell r="F1639" t="str">
            <v>Box Culvert 50x50x100 cm</v>
          </cell>
          <cell r="G1639" t="str">
            <v xml:space="preserve">buah </v>
          </cell>
          <cell r="H1639">
            <v>1119000</v>
          </cell>
        </row>
        <row r="1640">
          <cell r="F1640" t="str">
            <v>Box Culvert 60x60x100 cm</v>
          </cell>
          <cell r="G1640" t="str">
            <v xml:space="preserve">buah </v>
          </cell>
          <cell r="H1640">
            <v>1504000</v>
          </cell>
        </row>
        <row r="1641">
          <cell r="F1641" t="str">
            <v>Box Culvert 80x80x100 cm</v>
          </cell>
          <cell r="G1641" t="str">
            <v xml:space="preserve">buah </v>
          </cell>
          <cell r="H1641">
            <v>2560000</v>
          </cell>
        </row>
        <row r="1642">
          <cell r="F1642" t="str">
            <v>Box Culvert 100x100x100 cm</v>
          </cell>
          <cell r="G1642" t="str">
            <v xml:space="preserve">buah </v>
          </cell>
          <cell r="H1642">
            <v>3052000</v>
          </cell>
        </row>
        <row r="1643">
          <cell r="F1643" t="str">
            <v>Box Culvert 150x150x100 cm</v>
          </cell>
          <cell r="G1643" t="str">
            <v xml:space="preserve">buah </v>
          </cell>
          <cell r="H1643">
            <v>3570000</v>
          </cell>
        </row>
        <row r="1644">
          <cell r="F1644" t="str">
            <v>Box Culvert 200x200x100 cm</v>
          </cell>
          <cell r="G1644" t="str">
            <v xml:space="preserve">buah </v>
          </cell>
          <cell r="H1644">
            <v>3930000</v>
          </cell>
        </row>
        <row r="1645">
          <cell r="F1645" t="str">
            <v>Box Culvert 300x300x100 cm</v>
          </cell>
          <cell r="G1645" t="str">
            <v xml:space="preserve">buah </v>
          </cell>
          <cell r="H1645">
            <v>4110000</v>
          </cell>
        </row>
        <row r="1646">
          <cell r="F1646" t="str">
            <v>Tempat  sabun gantung</v>
          </cell>
          <cell r="G1646" t="str">
            <v>buah</v>
          </cell>
          <cell r="H1646">
            <v>70100</v>
          </cell>
        </row>
        <row r="1647">
          <cell r="F1647" t="str">
            <v>Tempat  sabun tanam</v>
          </cell>
          <cell r="G1647" t="str">
            <v>buah</v>
          </cell>
          <cell r="H1647">
            <v>53300</v>
          </cell>
        </row>
        <row r="1648">
          <cell r="F1648" t="str">
            <v>Tissue holder</v>
          </cell>
          <cell r="G1648" t="str">
            <v>buah</v>
          </cell>
          <cell r="H1648">
            <v>150000</v>
          </cell>
        </row>
        <row r="1649">
          <cell r="F1649" t="str">
            <v>Towel bar</v>
          </cell>
          <cell r="G1649" t="str">
            <v>buah</v>
          </cell>
          <cell r="H1649">
            <v>150000</v>
          </cell>
        </row>
        <row r="1650">
          <cell r="F1650" t="str">
            <v>Urinoir</v>
          </cell>
          <cell r="G1650" t="str">
            <v>buah</v>
          </cell>
          <cell r="H1650">
            <v>456800</v>
          </cell>
        </row>
        <row r="1651">
          <cell r="F1651" t="str">
            <v>Wastafel</v>
          </cell>
          <cell r="G1651" t="str">
            <v>buah</v>
          </cell>
          <cell r="H1651">
            <v>325100</v>
          </cell>
        </row>
        <row r="1652">
          <cell r="F1652" t="str">
            <v>Water drain</v>
          </cell>
          <cell r="G1652" t="str">
            <v>set</v>
          </cell>
          <cell r="H1652">
            <v>321900</v>
          </cell>
        </row>
        <row r="1654">
          <cell r="F1654" t="str">
            <v>Bensin</v>
          </cell>
          <cell r="G1654" t="str">
            <v>liter</v>
          </cell>
          <cell r="H1654">
            <v>7800</v>
          </cell>
        </row>
        <row r="1655">
          <cell r="F1655" t="str">
            <v>Bensin (industri)</v>
          </cell>
          <cell r="G1655" t="str">
            <v>liter</v>
          </cell>
          <cell r="H1655">
            <v>8100</v>
          </cell>
        </row>
        <row r="1656">
          <cell r="F1656" t="str">
            <v>Bentonite</v>
          </cell>
          <cell r="G1656" t="str">
            <v>m3</v>
          </cell>
          <cell r="H1656">
            <v>20000000</v>
          </cell>
        </row>
        <row r="1657">
          <cell r="F1657" t="str">
            <v>Cairan perontok karat</v>
          </cell>
          <cell r="G1657" t="str">
            <v>kg</v>
          </cell>
          <cell r="H1657">
            <v>20000</v>
          </cell>
        </row>
        <row r="1658">
          <cell r="F1658" t="str">
            <v>Cuka bibit</v>
          </cell>
          <cell r="G1658" t="str">
            <v>liter</v>
          </cell>
          <cell r="H1658">
            <v>50000</v>
          </cell>
        </row>
        <row r="1659">
          <cell r="F1659" t="str">
            <v>Minyak bekisting</v>
          </cell>
          <cell r="G1659" t="str">
            <v>liter</v>
          </cell>
          <cell r="H1659">
            <v>16800</v>
          </cell>
        </row>
        <row r="1660">
          <cell r="F1660" t="str">
            <v>Minyak cat</v>
          </cell>
          <cell r="G1660" t="str">
            <v>kg</v>
          </cell>
          <cell r="H1660">
            <v>24000</v>
          </cell>
        </row>
        <row r="1661">
          <cell r="F1661" t="str">
            <v>Minyak pelumas</v>
          </cell>
          <cell r="G1661" t="str">
            <v>liter</v>
          </cell>
          <cell r="H1661">
            <v>28000</v>
          </cell>
        </row>
        <row r="1662">
          <cell r="F1662" t="str">
            <v>Minyak tanah</v>
          </cell>
          <cell r="G1662" t="str">
            <v>liter</v>
          </cell>
          <cell r="H1662">
            <v>15300</v>
          </cell>
        </row>
        <row r="1663">
          <cell r="F1663" t="str">
            <v>Oli hidrolis</v>
          </cell>
          <cell r="G1663" t="str">
            <v>liter</v>
          </cell>
          <cell r="H1663">
            <v>31300</v>
          </cell>
        </row>
        <row r="1664">
          <cell r="F1664" t="str">
            <v>Oli mesin</v>
          </cell>
          <cell r="G1664" t="str">
            <v>liter</v>
          </cell>
          <cell r="H1664">
            <v>30300</v>
          </cell>
        </row>
        <row r="1665">
          <cell r="F1665" t="str">
            <v>Premium (industri)</v>
          </cell>
          <cell r="G1665" t="str">
            <v>liter</v>
          </cell>
          <cell r="H1665">
            <v>9400</v>
          </cell>
        </row>
        <row r="1666">
          <cell r="F1666" t="str">
            <v>Residu</v>
          </cell>
          <cell r="G1666" t="str">
            <v>liter</v>
          </cell>
          <cell r="H1666">
            <v>21000</v>
          </cell>
        </row>
        <row r="1667">
          <cell r="F1667" t="str">
            <v>Solar</v>
          </cell>
          <cell r="G1667" t="str">
            <v>liter</v>
          </cell>
          <cell r="H1667">
            <v>6500</v>
          </cell>
        </row>
        <row r="1668">
          <cell r="F1668" t="str">
            <v>Solar (industri)</v>
          </cell>
          <cell r="G1668" t="str">
            <v>liter</v>
          </cell>
          <cell r="H1668">
            <v>8800</v>
          </cell>
        </row>
        <row r="1669">
          <cell r="F1669" t="str">
            <v>Steamvet</v>
          </cell>
          <cell r="G1669" t="str">
            <v>liter</v>
          </cell>
          <cell r="H1669">
            <v>51000</v>
          </cell>
        </row>
        <row r="1670">
          <cell r="F1670" t="str">
            <v>Teak oil</v>
          </cell>
          <cell r="G1670" t="str">
            <v>liter</v>
          </cell>
          <cell r="H1670">
            <v>29200</v>
          </cell>
        </row>
        <row r="1671">
          <cell r="F1671" t="str">
            <v>Thinner</v>
          </cell>
          <cell r="G1671" t="str">
            <v>liter</v>
          </cell>
          <cell r="H1671">
            <v>21800</v>
          </cell>
        </row>
        <row r="1672">
          <cell r="F1672" t="str">
            <v>Thinner A</v>
          </cell>
          <cell r="G1672" t="str">
            <v>liter</v>
          </cell>
          <cell r="H1672">
            <v>18800</v>
          </cell>
        </row>
        <row r="1674">
          <cell r="F1674" t="str">
            <v>Aluminium composite panel</v>
          </cell>
          <cell r="G1674" t="str">
            <v>m2</v>
          </cell>
          <cell r="H1674">
            <v>225800</v>
          </cell>
        </row>
        <row r="1675">
          <cell r="F1675" t="str">
            <v>Aluminium spandrel 10x600 cm</v>
          </cell>
          <cell r="G1675" t="str">
            <v>lembar</v>
          </cell>
          <cell r="H1675">
            <v>200000</v>
          </cell>
        </row>
        <row r="1676">
          <cell r="F1676" t="str">
            <v>Aluminium strip</v>
          </cell>
          <cell r="G1676" t="str">
            <v>m'</v>
          </cell>
          <cell r="H1676">
            <v>50000</v>
          </cell>
        </row>
        <row r="1677">
          <cell r="F1677" t="str">
            <v>Besi as  drat</v>
          </cell>
          <cell r="G1677" t="str">
            <v>kg</v>
          </cell>
          <cell r="H1677">
            <v>40200</v>
          </cell>
        </row>
        <row r="1678">
          <cell r="F1678" t="str">
            <v>Besi profil</v>
          </cell>
          <cell r="G1678" t="str">
            <v>kg</v>
          </cell>
          <cell r="H1678">
            <v>34500</v>
          </cell>
        </row>
        <row r="1679">
          <cell r="F1679" t="str">
            <v>Blok besi cor type skep</v>
          </cell>
          <cell r="G1679" t="str">
            <v>bh</v>
          </cell>
          <cell r="H1679">
            <v>1055700</v>
          </cell>
        </row>
        <row r="1680">
          <cell r="F1680" t="str">
            <v>Blok besi type ronsel</v>
          </cell>
          <cell r="G1680" t="str">
            <v>bh</v>
          </cell>
          <cell r="H1680">
            <v>1508800</v>
          </cell>
        </row>
        <row r="1681">
          <cell r="F1681" t="str">
            <v>Buis  brons</v>
          </cell>
          <cell r="G1681" t="str">
            <v>bh</v>
          </cell>
          <cell r="H1681">
            <v>422000</v>
          </cell>
        </row>
        <row r="1682">
          <cell r="F1682" t="str">
            <v>C  channel galvanis  lebar 40 mm</v>
          </cell>
          <cell r="G1682" t="str">
            <v>m'</v>
          </cell>
          <cell r="H1682">
            <v>10700</v>
          </cell>
        </row>
        <row r="1683">
          <cell r="F1683" t="str">
            <v>C  channel galvanis  lebar 75 mm</v>
          </cell>
          <cell r="G1683" t="str">
            <v>m'</v>
          </cell>
          <cell r="H1683">
            <v>13600</v>
          </cell>
        </row>
        <row r="1684">
          <cell r="F1684" t="str">
            <v>Cat  meni</v>
          </cell>
          <cell r="G1684" t="str">
            <v>kg</v>
          </cell>
          <cell r="H1684">
            <v>50600</v>
          </cell>
        </row>
        <row r="1685">
          <cell r="F1685" t="str">
            <v>Daun Pintu HDF 36x720x2100</v>
          </cell>
          <cell r="G1685" t="str">
            <v>unit</v>
          </cell>
          <cell r="H1685">
            <v>475000</v>
          </cell>
        </row>
        <row r="1686">
          <cell r="F1686" t="str">
            <v xml:space="preserve">Pintu uPVC lebar 80 cm </v>
          </cell>
          <cell r="G1686" t="str">
            <v xml:space="preserve">buah </v>
          </cell>
          <cell r="H1686">
            <v>1043100</v>
          </cell>
        </row>
        <row r="1687">
          <cell r="F1687" t="str">
            <v xml:space="preserve">Pintu uPVC lebar 70 cm </v>
          </cell>
          <cell r="G1687" t="str">
            <v xml:space="preserve">buah </v>
          </cell>
          <cell r="H1687">
            <v>730000</v>
          </cell>
        </row>
        <row r="1688">
          <cell r="F1688" t="str">
            <v>Frame aluminium</v>
          </cell>
          <cell r="G1688" t="str">
            <v>m'</v>
          </cell>
          <cell r="H1688">
            <v>38333</v>
          </cell>
        </row>
        <row r="1689">
          <cell r="F1689" t="str">
            <v>Rangka Aluminium</v>
          </cell>
          <cell r="G1689" t="str">
            <v>m'</v>
          </cell>
          <cell r="H1689">
            <v>39000</v>
          </cell>
        </row>
        <row r="1690">
          <cell r="F1690" t="str">
            <v>Gembok</v>
          </cell>
          <cell r="G1690" t="str">
            <v>bh</v>
          </cell>
          <cell r="H1690">
            <v>102300</v>
          </cell>
        </row>
        <row r="1691">
          <cell r="F1691" t="str">
            <v>Grease</v>
          </cell>
          <cell r="G1691" t="str">
            <v>kg</v>
          </cell>
          <cell r="H1691">
            <v>67800</v>
          </cell>
        </row>
        <row r="1692">
          <cell r="F1692" t="str">
            <v>Hollow  galvanis  20x40x0,4 mm</v>
          </cell>
          <cell r="G1692" t="str">
            <v>m'</v>
          </cell>
          <cell r="H1692">
            <v>7500</v>
          </cell>
        </row>
        <row r="1693">
          <cell r="F1693" t="str">
            <v>Metal Hollow 20x40 mm</v>
          </cell>
          <cell r="G1693" t="str">
            <v>m'</v>
          </cell>
          <cell r="H1693">
            <v>7500</v>
          </cell>
        </row>
        <row r="1694">
          <cell r="F1694" t="str">
            <v>Hollow galvanis 40x40x0,4 mm</v>
          </cell>
          <cell r="G1694" t="str">
            <v>m'</v>
          </cell>
          <cell r="H1694">
            <v>10700</v>
          </cell>
        </row>
        <row r="1695">
          <cell r="F1695" t="str">
            <v>Jalusi aluminium</v>
          </cell>
          <cell r="G1695" t="str">
            <v>m2</v>
          </cell>
          <cell r="H1695">
            <v>600000</v>
          </cell>
        </row>
        <row r="1696">
          <cell r="F1696" t="str">
            <v>Jalusi uPVC</v>
          </cell>
          <cell r="G1696" t="str">
            <v xml:space="preserve">buah </v>
          </cell>
          <cell r="H1696">
            <v>49500</v>
          </cell>
        </row>
        <row r="1697">
          <cell r="F1697" t="str">
            <v>Kontra mur type ronsel</v>
          </cell>
          <cell r="G1697" t="str">
            <v>bh</v>
          </cell>
          <cell r="H1697">
            <v>343800</v>
          </cell>
        </row>
        <row r="1698">
          <cell r="F1698" t="str">
            <v>Kontra mur type skep</v>
          </cell>
          <cell r="G1698" t="str">
            <v>bh</v>
          </cell>
          <cell r="H1698">
            <v>301300</v>
          </cell>
        </row>
        <row r="1699">
          <cell r="F1699" t="str">
            <v>kopel/universal join</v>
          </cell>
          <cell r="G1699" t="str">
            <v>bh</v>
          </cell>
          <cell r="H1699">
            <v>542800</v>
          </cell>
        </row>
        <row r="1700">
          <cell r="F1700" t="str">
            <v>Kusen aluminium 4"  putih</v>
          </cell>
          <cell r="G1700" t="str">
            <v>m'</v>
          </cell>
          <cell r="H1700">
            <v>107000</v>
          </cell>
        </row>
        <row r="1701">
          <cell r="F1701" t="str">
            <v>Kusen Bovenlight Upvc</v>
          </cell>
          <cell r="G1701" t="str">
            <v xml:space="preserve">bauh </v>
          </cell>
          <cell r="H1701">
            <v>270000</v>
          </cell>
        </row>
        <row r="1702">
          <cell r="F1702" t="str">
            <v>Lager type ronsel</v>
          </cell>
          <cell r="G1702" t="str">
            <v>bh</v>
          </cell>
          <cell r="H1702">
            <v>905000</v>
          </cell>
        </row>
        <row r="1703">
          <cell r="F1703" t="str">
            <v>Lager type skep</v>
          </cell>
          <cell r="G1703" t="str">
            <v>bh</v>
          </cell>
          <cell r="H1703">
            <v>693400</v>
          </cell>
        </row>
        <row r="1704">
          <cell r="F1704" t="str">
            <v>Mur baut  1/2"  x  4"</v>
          </cell>
          <cell r="G1704" t="str">
            <v>bh</v>
          </cell>
          <cell r="H1704">
            <v>16100</v>
          </cell>
        </row>
        <row r="1705">
          <cell r="F1705" t="str">
            <v>Mur baut  5/8"  x  4"</v>
          </cell>
          <cell r="G1705" t="str">
            <v>bh</v>
          </cell>
          <cell r="H1705">
            <v>19500</v>
          </cell>
        </row>
        <row r="1706">
          <cell r="F1706" t="str">
            <v>Mur baut  M8 steinless</v>
          </cell>
          <cell r="G1706" t="str">
            <v>bh</v>
          </cell>
          <cell r="H1706">
            <v>19500</v>
          </cell>
        </row>
        <row r="1707">
          <cell r="F1707" t="str">
            <v xml:space="preserve">Baut dan Mur f12 L=4" </v>
          </cell>
          <cell r="G1707" t="str">
            <v xml:space="preserve">buah </v>
          </cell>
          <cell r="H1707">
            <v>20000</v>
          </cell>
        </row>
        <row r="1708">
          <cell r="F1708" t="str">
            <v>Baut dan Mur f12, L=6"</v>
          </cell>
          <cell r="G1708" t="str">
            <v xml:space="preserve">buah </v>
          </cell>
          <cell r="H1708">
            <v>22000</v>
          </cell>
        </row>
        <row r="1709">
          <cell r="F1709" t="str">
            <v>Baut dan Mur f12, L=7"</v>
          </cell>
          <cell r="G1709" t="str">
            <v xml:space="preserve">buah </v>
          </cell>
          <cell r="H1709">
            <v>23000</v>
          </cell>
        </row>
        <row r="1710">
          <cell r="F1710" t="str">
            <v xml:space="preserve">Ring Plat </v>
          </cell>
          <cell r="G1710" t="str">
            <v xml:space="preserve">buah </v>
          </cell>
          <cell r="H1710">
            <v>2500</v>
          </cell>
        </row>
        <row r="1711">
          <cell r="F1711" t="str">
            <v>Mur brons  ronsel</v>
          </cell>
          <cell r="G1711" t="str">
            <v>kg</v>
          </cell>
          <cell r="H1711">
            <v>210400</v>
          </cell>
        </row>
        <row r="1712">
          <cell r="F1712" t="str">
            <v>Mur brons  type skep</v>
          </cell>
          <cell r="G1712" t="str">
            <v>kg</v>
          </cell>
          <cell r="H1712">
            <v>210400</v>
          </cell>
        </row>
        <row r="1713">
          <cell r="F1713" t="str">
            <v>Pen spindie type ronsel</v>
          </cell>
          <cell r="G1713" t="str">
            <v>bh</v>
          </cell>
          <cell r="H1713">
            <v>102300</v>
          </cell>
        </row>
        <row r="1714">
          <cell r="F1714" t="str">
            <v>Penyangga roda gigi</v>
          </cell>
          <cell r="G1714" t="str">
            <v>bh</v>
          </cell>
          <cell r="H1714">
            <v>542800</v>
          </cell>
        </row>
        <row r="1715">
          <cell r="F1715" t="str">
            <v>Pintu alluminium</v>
          </cell>
          <cell r="G1715" t="str">
            <v>m'</v>
          </cell>
          <cell r="H1715">
            <v>73600</v>
          </cell>
        </row>
        <row r="1716">
          <cell r="F1716" t="str">
            <v>Pintu KM  aluminium</v>
          </cell>
          <cell r="G1716" t="str">
            <v>unit</v>
          </cell>
          <cell r="H1716">
            <v>1500000</v>
          </cell>
        </row>
        <row r="1717">
          <cell r="F1717" t="str">
            <v>Pintu lipat  besi</v>
          </cell>
          <cell r="G1717" t="str">
            <v>m2</v>
          </cell>
          <cell r="H1717">
            <v>494200</v>
          </cell>
        </row>
        <row r="1718">
          <cell r="F1718" t="str">
            <v>Pintu lipat PVC</v>
          </cell>
          <cell r="G1718" t="str">
            <v>m2</v>
          </cell>
          <cell r="H1718">
            <v>750000</v>
          </cell>
        </row>
        <row r="1719">
          <cell r="F1719" t="str">
            <v>Plat  peluncur</v>
          </cell>
          <cell r="G1719" t="str">
            <v>kg</v>
          </cell>
          <cell r="H1719">
            <v>210400</v>
          </cell>
        </row>
        <row r="1720">
          <cell r="F1720" t="str">
            <v>Plat besi 3 mm</v>
          </cell>
          <cell r="G1720" t="str">
            <v>kg</v>
          </cell>
          <cell r="H1720">
            <v>34500</v>
          </cell>
        </row>
        <row r="1721">
          <cell r="F1721" t="str">
            <v>Profil aluminium</v>
          </cell>
          <cell r="G1721" t="str">
            <v>m'</v>
          </cell>
          <cell r="H1721">
            <v>130000</v>
          </cell>
        </row>
        <row r="1722">
          <cell r="F1722" t="str">
            <v>Profil Aluminium ”T”</v>
          </cell>
          <cell r="G1722" t="str">
            <v>m'</v>
          </cell>
          <cell r="H1722">
            <v>15000</v>
          </cell>
        </row>
        <row r="1723">
          <cell r="F1723" t="str">
            <v>Profil slimar aluminium</v>
          </cell>
          <cell r="G1723" t="str">
            <v>m'</v>
          </cell>
          <cell r="H1723">
            <v>60000</v>
          </cell>
        </row>
        <row r="1724">
          <cell r="F1724" t="str">
            <v>Rangka metal hollow 40.40.1,2 mm</v>
          </cell>
          <cell r="G1724" t="str">
            <v>m'</v>
          </cell>
          <cell r="H1724">
            <v>16200</v>
          </cell>
        </row>
        <row r="1725">
          <cell r="F1725" t="str">
            <v>Rangka metal hollow 40.40.2 mm</v>
          </cell>
          <cell r="G1725" t="str">
            <v>m'</v>
          </cell>
          <cell r="H1725">
            <v>19000</v>
          </cell>
        </row>
        <row r="1726">
          <cell r="F1726" t="str">
            <v>roda gigi nanas</v>
          </cell>
          <cell r="G1726" t="str">
            <v>bh</v>
          </cell>
          <cell r="H1726">
            <v>1025800</v>
          </cell>
        </row>
        <row r="1727">
          <cell r="F1727" t="str">
            <v>Roda gigi pinggiran</v>
          </cell>
          <cell r="G1727" t="str">
            <v>bh</v>
          </cell>
          <cell r="H1727">
            <v>1750300</v>
          </cell>
        </row>
        <row r="1728">
          <cell r="F1728" t="str">
            <v>Rolling door aluminium</v>
          </cell>
          <cell r="G1728" t="str">
            <v>m2</v>
          </cell>
          <cell r="H1728">
            <v>600600</v>
          </cell>
        </row>
        <row r="1729">
          <cell r="F1729" t="str">
            <v>Rolling door besi</v>
          </cell>
          <cell r="G1729" t="str">
            <v>m2</v>
          </cell>
          <cell r="H1729">
            <v>509100</v>
          </cell>
        </row>
        <row r="1730">
          <cell r="F1730" t="str">
            <v>Rubber seal</v>
          </cell>
          <cell r="G1730" t="str">
            <v>m'</v>
          </cell>
          <cell r="H1730">
            <v>1811200</v>
          </cell>
        </row>
        <row r="1731">
          <cell r="F1731" t="str">
            <v>Sliding pintu J4</v>
          </cell>
          <cell r="G1731" t="str">
            <v>buah</v>
          </cell>
          <cell r="H1731">
            <v>456000</v>
          </cell>
        </row>
        <row r="1732">
          <cell r="F1732" t="str">
            <v>Stang draft  diameter 1,5"  +  mur baut</v>
          </cell>
          <cell r="G1732" t="str">
            <v>m'</v>
          </cell>
          <cell r="H1732">
            <v>2750000</v>
          </cell>
        </row>
        <row r="1733">
          <cell r="F1733" t="str">
            <v>Stang draft  diameter 1,75"  +  mur baut</v>
          </cell>
          <cell r="G1733" t="str">
            <v>m'</v>
          </cell>
          <cell r="H1733">
            <v>3150000</v>
          </cell>
        </row>
        <row r="1734">
          <cell r="F1734" t="str">
            <v>Stang draft  diameter 2"  +  mur baut</v>
          </cell>
          <cell r="G1734" t="str">
            <v>m'</v>
          </cell>
          <cell r="H1734">
            <v>3500000</v>
          </cell>
        </row>
        <row r="1735">
          <cell r="F1735" t="str">
            <v>Stang draft  diameter 2,25"  +  mur baut</v>
          </cell>
          <cell r="G1735" t="str">
            <v>m'</v>
          </cell>
          <cell r="H1735">
            <v>3800000</v>
          </cell>
        </row>
        <row r="1736">
          <cell r="F1736" t="str">
            <v>Stang gembok</v>
          </cell>
          <cell r="G1736" t="str">
            <v>bh</v>
          </cell>
          <cell r="H1736">
            <v>78200</v>
          </cell>
        </row>
        <row r="1737">
          <cell r="F1737" t="str">
            <v>Stang pemutar type ronsel</v>
          </cell>
          <cell r="G1737" t="str">
            <v>bh</v>
          </cell>
          <cell r="H1737">
            <v>1146500</v>
          </cell>
        </row>
        <row r="1738">
          <cell r="F1738" t="str">
            <v>Stang pemutar type skep</v>
          </cell>
          <cell r="G1738" t="str">
            <v>bh</v>
          </cell>
          <cell r="H1738">
            <v>633600</v>
          </cell>
        </row>
        <row r="1739">
          <cell r="F1739" t="str">
            <v>Sunscreen aluminium</v>
          </cell>
          <cell r="G1739" t="str">
            <v>m2</v>
          </cell>
          <cell r="H1739">
            <v>381900</v>
          </cell>
        </row>
        <row r="1740">
          <cell r="F1740" t="str">
            <v>Talang galvalum lebar 50 cm tebal 0,4 mm</v>
          </cell>
          <cell r="G1740" t="str">
            <v>m'</v>
          </cell>
          <cell r="H1740">
            <v>53300</v>
          </cell>
        </row>
        <row r="1741">
          <cell r="F1741" t="str">
            <v>Talang datar/jurai seng lebar 90cm</v>
          </cell>
          <cell r="G1741" t="str">
            <v>m</v>
          </cell>
          <cell r="H1741">
            <v>75000</v>
          </cell>
        </row>
        <row r="1742">
          <cell r="F1742" t="str">
            <v xml:space="preserve">Talang Seng 1/2 lingkaran diameter 15cm </v>
          </cell>
          <cell r="G1742" t="str">
            <v>m</v>
          </cell>
          <cell r="H1742">
            <v>133000</v>
          </cell>
        </row>
        <row r="1743">
          <cell r="F1743" t="str">
            <v>Thinner</v>
          </cell>
          <cell r="G1743" t="str">
            <v>ltr</v>
          </cell>
          <cell r="H1743">
            <v>35600</v>
          </cell>
        </row>
        <row r="1745">
          <cell r="F1745" t="str">
            <v>Hanger tray panjang 2,5 m</v>
          </cell>
          <cell r="G1745" t="str">
            <v>buah</v>
          </cell>
          <cell r="H1745">
            <v>300000</v>
          </cell>
        </row>
        <row r="1746">
          <cell r="F1746" t="str">
            <v>Kabel BCC 10 mm² (0,10 kg/m)</v>
          </cell>
          <cell r="G1746" t="str">
            <v>m'</v>
          </cell>
          <cell r="H1746">
            <v>29000</v>
          </cell>
        </row>
        <row r="1747">
          <cell r="F1747" t="str">
            <v>Kabel BCC 16 mm² (0,16 kg/m)</v>
          </cell>
          <cell r="G1747" t="str">
            <v>m'</v>
          </cell>
          <cell r="H1747">
            <v>33000</v>
          </cell>
        </row>
        <row r="1748">
          <cell r="F1748" t="str">
            <v>Kabel BCC 25 mm² (0,25 kg/m)</v>
          </cell>
          <cell r="G1748" t="str">
            <v>m'</v>
          </cell>
          <cell r="H1748">
            <v>53000</v>
          </cell>
        </row>
        <row r="1749">
          <cell r="F1749" t="str">
            <v>Kabel BCC 35 mm² (0,35 kg/m)</v>
          </cell>
          <cell r="G1749" t="str">
            <v>m'</v>
          </cell>
          <cell r="H1749">
            <v>72000</v>
          </cell>
        </row>
        <row r="1750">
          <cell r="F1750" t="str">
            <v>Kabel BCC 4 mm² (0,04 kg/m)</v>
          </cell>
          <cell r="G1750" t="str">
            <v>m'</v>
          </cell>
          <cell r="H1750">
            <v>12000</v>
          </cell>
        </row>
        <row r="1751">
          <cell r="F1751" t="str">
            <v>Kabel BCC 50 mm² (0,50 kg/m)</v>
          </cell>
          <cell r="G1751" t="str">
            <v>m'</v>
          </cell>
          <cell r="H1751">
            <v>95500</v>
          </cell>
        </row>
        <row r="1752">
          <cell r="F1752" t="str">
            <v>Kabel BCC 6 mm² (0,06 kg/m)</v>
          </cell>
          <cell r="G1752" t="str">
            <v>m'</v>
          </cell>
          <cell r="H1752">
            <v>13200</v>
          </cell>
        </row>
        <row r="1753">
          <cell r="F1753" t="str">
            <v>BCC 6 mm2 (0,06 kg/m) dan aksesoris</v>
          </cell>
          <cell r="G1753" t="str">
            <v>m'</v>
          </cell>
          <cell r="H1753">
            <v>38300</v>
          </cell>
        </row>
        <row r="1754">
          <cell r="F1754" t="str">
            <v>Kabel BCC 70 mm² (0,70 kg/m)</v>
          </cell>
          <cell r="G1754" t="str">
            <v>m'</v>
          </cell>
          <cell r="H1754">
            <v>136000</v>
          </cell>
        </row>
        <row r="1755">
          <cell r="F1755" t="str">
            <v>Kabel BCC 95 mm² (0,95 kg/m)</v>
          </cell>
          <cell r="G1755" t="str">
            <v>m'</v>
          </cell>
          <cell r="H1755">
            <v>185000</v>
          </cell>
        </row>
        <row r="1756">
          <cell r="F1756" t="str">
            <v>Kabel FRC 1 x 150 mm²</v>
          </cell>
          <cell r="G1756" t="str">
            <v>m'</v>
          </cell>
          <cell r="H1756">
            <v>275000</v>
          </cell>
        </row>
        <row r="1757">
          <cell r="F1757" t="str">
            <v>Kabel FRC 2 x 1,5 mm²</v>
          </cell>
          <cell r="G1757" t="str">
            <v>m'</v>
          </cell>
          <cell r="H1757">
            <v>23000</v>
          </cell>
        </row>
        <row r="1758">
          <cell r="F1758" t="str">
            <v>Kabel FRC 2 x 1,5 mm2 + PVC Conduit HI 20 mm dan aksesoris</v>
          </cell>
          <cell r="G1758" t="str">
            <v>m'</v>
          </cell>
          <cell r="H1758">
            <v>27100</v>
          </cell>
        </row>
        <row r="1759">
          <cell r="F1759" t="str">
            <v>Kabel FRC 2 x 2,5 mm²</v>
          </cell>
          <cell r="G1759" t="str">
            <v>m'</v>
          </cell>
          <cell r="H1759">
            <v>33500</v>
          </cell>
        </row>
        <row r="1760">
          <cell r="F1760" t="str">
            <v>Kabel FRC 2 x 2,5 mm2 + PVC Conduit HI 20 mm dan aksesoris</v>
          </cell>
          <cell r="G1760" t="str">
            <v>m'</v>
          </cell>
          <cell r="H1760">
            <v>37600</v>
          </cell>
        </row>
        <row r="1761">
          <cell r="F1761" t="str">
            <v>Kabel FRC 3 x 2,5 mm²</v>
          </cell>
          <cell r="G1761" t="str">
            <v>m'</v>
          </cell>
          <cell r="H1761">
            <v>40000</v>
          </cell>
        </row>
        <row r="1762">
          <cell r="F1762" t="str">
            <v>Kabel FRC 4 x 150 mm²</v>
          </cell>
          <cell r="G1762" t="str">
            <v>m'</v>
          </cell>
          <cell r="H1762">
            <v>1607400</v>
          </cell>
        </row>
        <row r="1763">
          <cell r="F1763" t="str">
            <v>Kabel FRC 4 x 4 mm²</v>
          </cell>
          <cell r="G1763" t="str">
            <v>m'</v>
          </cell>
          <cell r="H1763">
            <v>90000</v>
          </cell>
        </row>
        <row r="1764">
          <cell r="F1764" t="str">
            <v>Kabel FRC 4 x 6 mm²</v>
          </cell>
          <cell r="G1764" t="str">
            <v>m'</v>
          </cell>
          <cell r="H1764">
            <v>110000</v>
          </cell>
        </row>
        <row r="1765">
          <cell r="F1765" t="str">
            <v>Kabel NYA 1 x 1,5 mm²</v>
          </cell>
          <cell r="G1765" t="str">
            <v>m'</v>
          </cell>
          <cell r="H1765">
            <v>3200</v>
          </cell>
        </row>
        <row r="1766">
          <cell r="F1766" t="str">
            <v>Kabel NYA 1 x 10 mm²</v>
          </cell>
          <cell r="G1766" t="str">
            <v>m'</v>
          </cell>
          <cell r="H1766">
            <v>20000</v>
          </cell>
        </row>
        <row r="1767">
          <cell r="F1767" t="str">
            <v>Kabel NYA 1 x 16 mm²</v>
          </cell>
          <cell r="G1767" t="str">
            <v>m'</v>
          </cell>
          <cell r="H1767">
            <v>33000</v>
          </cell>
        </row>
        <row r="1768">
          <cell r="F1768" t="str">
            <v>Kabel NYA 1 x 2,5 mm²</v>
          </cell>
          <cell r="G1768" t="str">
            <v>m'</v>
          </cell>
          <cell r="H1768">
            <v>5300</v>
          </cell>
        </row>
        <row r="1769">
          <cell r="F1769" t="str">
            <v>Kabel NYA 1 x 4 mm²</v>
          </cell>
          <cell r="G1769" t="str">
            <v>m'</v>
          </cell>
          <cell r="H1769">
            <v>8300</v>
          </cell>
        </row>
        <row r="1770">
          <cell r="F1770" t="str">
            <v>Kabel NYA 1 x 6 mm²</v>
          </cell>
          <cell r="G1770" t="str">
            <v>m'</v>
          </cell>
          <cell r="H1770">
            <v>12200</v>
          </cell>
        </row>
        <row r="1771">
          <cell r="F1771" t="str">
            <v>Kabel NYA 2 x 1,5 mm²</v>
          </cell>
          <cell r="G1771" t="str">
            <v>m'</v>
          </cell>
          <cell r="H1771">
            <v>9200</v>
          </cell>
        </row>
        <row r="1772">
          <cell r="F1772" t="str">
            <v>Kabel NYA 3 x 1,5 mm²</v>
          </cell>
          <cell r="G1772" t="str">
            <v>m'</v>
          </cell>
          <cell r="H1772">
            <v>14000</v>
          </cell>
        </row>
        <row r="1773">
          <cell r="F1773" t="str">
            <v>Kabel NYA 3 x 2,5 mm²</v>
          </cell>
          <cell r="G1773" t="str">
            <v>m'</v>
          </cell>
          <cell r="H1773">
            <v>19448</v>
          </cell>
        </row>
        <row r="1774">
          <cell r="F1774" t="str">
            <v>Kabel NYA 5 x 2,5 mm²</v>
          </cell>
          <cell r="G1774" t="str">
            <v>m'</v>
          </cell>
          <cell r="H1774">
            <v>51500</v>
          </cell>
        </row>
        <row r="1775">
          <cell r="F1775" t="str">
            <v>Kabel NYA 1 x 35 mm²</v>
          </cell>
          <cell r="G1775" t="str">
            <v>m'</v>
          </cell>
          <cell r="H1775">
            <v>71250</v>
          </cell>
        </row>
        <row r="1776">
          <cell r="F1776" t="str">
            <v>Kabel NYA 1 x 95 mm²</v>
          </cell>
          <cell r="G1776" t="str">
            <v>m'</v>
          </cell>
          <cell r="H1776">
            <v>181000</v>
          </cell>
        </row>
        <row r="1777">
          <cell r="F1777" t="str">
            <v>Kabel NYFGBY 2 x 1,5 mm²</v>
          </cell>
          <cell r="G1777" t="str">
            <v>m'</v>
          </cell>
          <cell r="H1777">
            <v>22750</v>
          </cell>
        </row>
        <row r="1778">
          <cell r="F1778" t="str">
            <v>Kabel NYFGBY 2 x 10 mm²</v>
          </cell>
          <cell r="G1778" t="str">
            <v>m'</v>
          </cell>
          <cell r="H1778">
            <v>60750</v>
          </cell>
        </row>
        <row r="1779">
          <cell r="F1779" t="str">
            <v>Kabel NYFGBY 2 x 16 mm²</v>
          </cell>
          <cell r="G1779" t="str">
            <v>m'</v>
          </cell>
          <cell r="H1779">
            <v>82000</v>
          </cell>
        </row>
        <row r="1780">
          <cell r="F1780" t="str">
            <v>Kabel NYFGBY 2 x 2,5 mm²</v>
          </cell>
          <cell r="G1780" t="str">
            <v>m'</v>
          </cell>
          <cell r="H1780">
            <v>30500</v>
          </cell>
        </row>
        <row r="1781">
          <cell r="F1781" t="str">
            <v>Kabel NYFGBY 2 x 4 mm²</v>
          </cell>
          <cell r="G1781" t="str">
            <v>m'</v>
          </cell>
          <cell r="H1781">
            <v>35200</v>
          </cell>
        </row>
        <row r="1782">
          <cell r="F1782" t="str">
            <v>Kabel NYFGBY 2 x 6 mm²</v>
          </cell>
          <cell r="G1782" t="str">
            <v>m'</v>
          </cell>
          <cell r="H1782">
            <v>43350</v>
          </cell>
        </row>
        <row r="1783">
          <cell r="F1783" t="str">
            <v>Kabel NYFGBY 3 x 1,5 mm²</v>
          </cell>
          <cell r="G1783" t="str">
            <v>m'</v>
          </cell>
          <cell r="H1783">
            <v>28500</v>
          </cell>
        </row>
        <row r="1784">
          <cell r="F1784" t="str">
            <v>Kabel NYFGBY 3 x 10 mm²</v>
          </cell>
          <cell r="G1784" t="str">
            <v>m'</v>
          </cell>
          <cell r="H1784">
            <v>79600</v>
          </cell>
        </row>
        <row r="1785">
          <cell r="F1785" t="str">
            <v>Kabel NYFGBY 3 x 16 mm²</v>
          </cell>
          <cell r="G1785" t="str">
            <v>m'</v>
          </cell>
          <cell r="H1785">
            <v>128900</v>
          </cell>
        </row>
        <row r="1786">
          <cell r="F1786" t="str">
            <v>Kabel NYFGBY 3 x 2,5 mm²</v>
          </cell>
          <cell r="G1786" t="str">
            <v>m'</v>
          </cell>
          <cell r="H1786">
            <v>32900</v>
          </cell>
        </row>
        <row r="1787">
          <cell r="F1787" t="str">
            <v>Kabel NYFGBY 3 x 4 mm²</v>
          </cell>
          <cell r="G1787" t="str">
            <v>m'</v>
          </cell>
          <cell r="H1787">
            <v>49000</v>
          </cell>
        </row>
        <row r="1788">
          <cell r="F1788" t="str">
            <v>Kabel NYFGBY 3 x 6 mm²</v>
          </cell>
          <cell r="G1788" t="str">
            <v>m'</v>
          </cell>
          <cell r="H1788">
            <v>63500</v>
          </cell>
        </row>
        <row r="1789">
          <cell r="F1789" t="str">
            <v>Kabel NYFGBY 4 x 1,5 mm²</v>
          </cell>
          <cell r="G1789" t="str">
            <v>m'</v>
          </cell>
          <cell r="H1789">
            <v>29400</v>
          </cell>
        </row>
        <row r="1790">
          <cell r="F1790" t="str">
            <v>Kabel NYFGBY 4 x 10 mm²</v>
          </cell>
          <cell r="G1790" t="str">
            <v>m'</v>
          </cell>
          <cell r="H1790">
            <v>100600</v>
          </cell>
        </row>
        <row r="1791">
          <cell r="F1791" t="str">
            <v>Kabel NYFGBY 4 x 120 mm²</v>
          </cell>
          <cell r="G1791" t="str">
            <v>m'</v>
          </cell>
          <cell r="H1791">
            <v>969500</v>
          </cell>
        </row>
        <row r="1792">
          <cell r="F1792" t="str">
            <v>Kabel NYFGBY 4 x 150 mm²</v>
          </cell>
          <cell r="G1792" t="str">
            <v>m'</v>
          </cell>
          <cell r="H1792">
            <v>1187650</v>
          </cell>
        </row>
        <row r="1793">
          <cell r="F1793" t="str">
            <v>Kabel NYFGBY 4 x 16 mm²</v>
          </cell>
          <cell r="G1793" t="str">
            <v>m'</v>
          </cell>
          <cell r="H1793">
            <v>159300</v>
          </cell>
        </row>
        <row r="1794">
          <cell r="F1794" t="str">
            <v>Kabel NYFGBY 4 x 185 mm²</v>
          </cell>
          <cell r="G1794" t="str">
            <v>m'</v>
          </cell>
          <cell r="H1794">
            <v>1470650</v>
          </cell>
        </row>
        <row r="1795">
          <cell r="F1795" t="str">
            <v>Kabel NYFGBY 4 x 2,5 mm²</v>
          </cell>
          <cell r="G1795" t="str">
            <v>m'</v>
          </cell>
          <cell r="H1795">
            <v>38600</v>
          </cell>
        </row>
        <row r="1796">
          <cell r="F1796" t="str">
            <v>Kabel NYFGBY 4 x 240 mm²</v>
          </cell>
          <cell r="G1796" t="str">
            <v>m'</v>
          </cell>
          <cell r="H1796">
            <v>1921500</v>
          </cell>
        </row>
        <row r="1797">
          <cell r="F1797" t="str">
            <v>Kabel NYFGBY 4 x 25 mm²</v>
          </cell>
          <cell r="G1797" t="str">
            <v>m'</v>
          </cell>
          <cell r="H1797">
            <v>247200</v>
          </cell>
        </row>
        <row r="1798">
          <cell r="F1798" t="str">
            <v>Kabel NYFGBY 4 x 300 mm²</v>
          </cell>
          <cell r="G1798" t="str">
            <v>m'</v>
          </cell>
          <cell r="H1798">
            <v>2392250</v>
          </cell>
        </row>
        <row r="1799">
          <cell r="F1799" t="str">
            <v>Kabel NYFGBY 4 x 35 mm²</v>
          </cell>
          <cell r="G1799" t="str">
            <v>m'</v>
          </cell>
          <cell r="H1799">
            <v>314750</v>
          </cell>
        </row>
        <row r="1800">
          <cell r="F1800" t="str">
            <v>Kabel NYFGBY 4 x 4 mm²</v>
          </cell>
          <cell r="G1800" t="str">
            <v>m'</v>
          </cell>
          <cell r="H1800">
            <v>66000</v>
          </cell>
        </row>
        <row r="1801">
          <cell r="F1801" t="str">
            <v>Kabel NYFGBY 4 x 50 mm²</v>
          </cell>
          <cell r="G1801" t="str">
            <v>m'</v>
          </cell>
          <cell r="H1801">
            <v>411600</v>
          </cell>
        </row>
        <row r="1802">
          <cell r="F1802" t="str">
            <v>Kabel NYFGBY 4 x 6 mm²</v>
          </cell>
          <cell r="G1802" t="str">
            <v>m'</v>
          </cell>
          <cell r="H1802">
            <v>70200</v>
          </cell>
        </row>
        <row r="1803">
          <cell r="F1803" t="str">
            <v>Kabel NYFGBY 4 x 70 mm²</v>
          </cell>
          <cell r="G1803" t="str">
            <v>m'</v>
          </cell>
          <cell r="H1803">
            <v>575250</v>
          </cell>
        </row>
        <row r="1804">
          <cell r="F1804" t="str">
            <v>Kabel NYFGBY 4 x 95 mm²</v>
          </cell>
          <cell r="G1804" t="str">
            <v>m'</v>
          </cell>
          <cell r="H1804">
            <v>743750</v>
          </cell>
        </row>
        <row r="1805">
          <cell r="F1805" t="str">
            <v>Kabel NYM 2 x 1,5 mm²</v>
          </cell>
          <cell r="G1805" t="str">
            <v>m'</v>
          </cell>
          <cell r="H1805">
            <v>8880</v>
          </cell>
        </row>
        <row r="1806">
          <cell r="F1806" t="str">
            <v>Kabel NYM 2 x 10 mm²</v>
          </cell>
          <cell r="G1806" t="str">
            <v>m'</v>
          </cell>
          <cell r="H1806">
            <v>49000</v>
          </cell>
        </row>
        <row r="1807">
          <cell r="F1807" t="str">
            <v>Kabel NYM 2 x 2,5 mm²</v>
          </cell>
          <cell r="G1807" t="str">
            <v>m'</v>
          </cell>
          <cell r="H1807">
            <v>13250</v>
          </cell>
        </row>
        <row r="1808">
          <cell r="F1808" t="str">
            <v>Kabel NYM 2 x 4 mm²</v>
          </cell>
          <cell r="G1808" t="str">
            <v>m'</v>
          </cell>
          <cell r="H1808">
            <v>19950</v>
          </cell>
        </row>
        <row r="1809">
          <cell r="F1809" t="str">
            <v>Kabel NYM 2 x 6 mm²</v>
          </cell>
          <cell r="G1809" t="str">
            <v>m'</v>
          </cell>
          <cell r="H1809">
            <v>29000</v>
          </cell>
        </row>
        <row r="1810">
          <cell r="F1810" t="str">
            <v>Kabel NYM 3 x 1,5 mm²</v>
          </cell>
          <cell r="G1810" t="str">
            <v>m'</v>
          </cell>
          <cell r="H1810">
            <v>11400</v>
          </cell>
        </row>
        <row r="1811">
          <cell r="F1811" t="str">
            <v>Kabel NYM 3 x 10 mm²</v>
          </cell>
          <cell r="G1811" t="str">
            <v>m'</v>
          </cell>
          <cell r="H1811">
            <v>69200</v>
          </cell>
        </row>
        <row r="1812">
          <cell r="F1812" t="str">
            <v>Kabel NYM 3 x 2,5 mm²</v>
          </cell>
          <cell r="G1812" t="str">
            <v>m'</v>
          </cell>
          <cell r="H1812">
            <v>21300</v>
          </cell>
        </row>
        <row r="1813">
          <cell r="F1813" t="str">
            <v>Kabel NYM 3 x 4 mm²</v>
          </cell>
          <cell r="G1813" t="str">
            <v>m'</v>
          </cell>
          <cell r="H1813">
            <v>27000</v>
          </cell>
        </row>
        <row r="1814">
          <cell r="F1814" t="str">
            <v>Kabel NYM 3 x 2,5
mm2 (LSOH)</v>
          </cell>
          <cell r="G1814" t="str">
            <v>M'</v>
          </cell>
          <cell r="H1814">
            <v>21300</v>
          </cell>
        </row>
        <row r="1815">
          <cell r="F1815" t="str">
            <v>Kabel NYM 3 x 6 mm²</v>
          </cell>
          <cell r="G1815" t="str">
            <v>m'</v>
          </cell>
          <cell r="H1815">
            <v>43100</v>
          </cell>
        </row>
        <row r="1816">
          <cell r="F1816" t="str">
            <v>Kabel NYM 4 x 1,5 mm²</v>
          </cell>
          <cell r="G1816" t="str">
            <v>m'</v>
          </cell>
          <cell r="H1816">
            <v>14400</v>
          </cell>
        </row>
        <row r="1817">
          <cell r="F1817" t="str">
            <v>Kabel NYM 4 x 10 mm²</v>
          </cell>
          <cell r="G1817" t="str">
            <v>m'</v>
          </cell>
          <cell r="H1817">
            <v>92900</v>
          </cell>
        </row>
        <row r="1818">
          <cell r="F1818" t="str">
            <v>Kabel NYM 4 x 16 mm²</v>
          </cell>
          <cell r="G1818" t="str">
            <v>m'</v>
          </cell>
          <cell r="H1818">
            <v>150000</v>
          </cell>
        </row>
        <row r="1819">
          <cell r="F1819" t="str">
            <v>Kabel NYM 4 x 2,5 mm²</v>
          </cell>
          <cell r="G1819" t="str">
            <v>m'</v>
          </cell>
          <cell r="H1819">
            <v>22700</v>
          </cell>
        </row>
        <row r="1820">
          <cell r="F1820" t="str">
            <v>Kabel NYM 4 x 4 mm²</v>
          </cell>
          <cell r="G1820" t="str">
            <v>m'</v>
          </cell>
          <cell r="H1820">
            <v>37000</v>
          </cell>
        </row>
        <row r="1821">
          <cell r="F1821" t="str">
            <v>Kabel NYM 4 x 6 mm²</v>
          </cell>
          <cell r="G1821" t="str">
            <v>m'</v>
          </cell>
          <cell r="H1821">
            <v>54400</v>
          </cell>
        </row>
        <row r="1822">
          <cell r="F1822" t="str">
            <v>Kabel NYMHY 2 x 1,5 mm²</v>
          </cell>
          <cell r="G1822" t="str">
            <v>m'</v>
          </cell>
          <cell r="H1822">
            <v>9300</v>
          </cell>
        </row>
        <row r="1823">
          <cell r="F1823" t="str">
            <v>Kabel NYMHY 2 x 2,5 mm²</v>
          </cell>
          <cell r="G1823" t="str">
            <v>m'</v>
          </cell>
          <cell r="H1823">
            <v>13900</v>
          </cell>
        </row>
        <row r="1824">
          <cell r="F1824" t="str">
            <v>Kabel NYMHY 3 x 1,5 mm²</v>
          </cell>
          <cell r="G1824" t="str">
            <v>m'</v>
          </cell>
          <cell r="H1824">
            <v>13400</v>
          </cell>
        </row>
        <row r="1825">
          <cell r="F1825" t="str">
            <v>Kabel NYMHY 2(3 x
1,5 mm2) + Conduit
PVC HI 20 mm dan
aksesoris</v>
          </cell>
          <cell r="G1825" t="str">
            <v>m'</v>
          </cell>
          <cell r="H1825">
            <v>35000</v>
          </cell>
        </row>
        <row r="1826">
          <cell r="F1826" t="str">
            <v>Kabel NYMHY 3 x 1,5
mm2 + Conduit PVC
HI 20 mm dan
aksesoris</v>
          </cell>
          <cell r="G1826" t="str">
            <v>m'</v>
          </cell>
          <cell r="H1826">
            <v>17500</v>
          </cell>
        </row>
        <row r="1827">
          <cell r="F1827" t="str">
            <v>Kabel NYMHY 3 x 2,5 mm²</v>
          </cell>
          <cell r="G1827" t="str">
            <v>m'</v>
          </cell>
          <cell r="H1827">
            <v>21300</v>
          </cell>
        </row>
        <row r="1828">
          <cell r="F1828" t="str">
            <v>Kabel NYMHY 4 x 2,5 mm²</v>
          </cell>
          <cell r="G1828" t="str">
            <v>m'</v>
          </cell>
          <cell r="H1828">
            <v>28700</v>
          </cell>
        </row>
        <row r="1829">
          <cell r="F1829" t="str">
            <v>Kabel NYY 1 x 10 mm²</v>
          </cell>
          <cell r="G1829" t="str">
            <v>m'</v>
          </cell>
          <cell r="H1829">
            <v>18000</v>
          </cell>
        </row>
        <row r="1830">
          <cell r="F1830" t="str">
            <v>Kabel NYY 1 x 120 mm²</v>
          </cell>
          <cell r="G1830" t="str">
            <v>m'</v>
          </cell>
          <cell r="H1830">
            <v>246500</v>
          </cell>
        </row>
        <row r="1831">
          <cell r="F1831" t="str">
            <v>Kabel NYY 1 x 150 mm²</v>
          </cell>
          <cell r="G1831" t="str">
            <v>m'</v>
          </cell>
          <cell r="H1831">
            <v>303000</v>
          </cell>
        </row>
        <row r="1832">
          <cell r="F1832" t="str">
            <v>Kabel NYY 1 x 16 mm²</v>
          </cell>
          <cell r="G1832" t="str">
            <v>m'</v>
          </cell>
          <cell r="H1832">
            <v>36000</v>
          </cell>
        </row>
        <row r="1833">
          <cell r="F1833" t="str">
            <v>Kabel NYY 1 x 185 mm²</v>
          </cell>
          <cell r="G1833" t="str">
            <v>m'</v>
          </cell>
          <cell r="H1833">
            <v>377000</v>
          </cell>
        </row>
        <row r="1834">
          <cell r="F1834" t="str">
            <v>Kabel NYY 1 x 25 mm²</v>
          </cell>
          <cell r="G1834" t="str">
            <v>m'</v>
          </cell>
          <cell r="H1834">
            <v>56000</v>
          </cell>
        </row>
        <row r="1835">
          <cell r="F1835" t="str">
            <v>Kabel NYY 1 x 250 mm²</v>
          </cell>
          <cell r="G1835" t="str">
            <v>m'</v>
          </cell>
          <cell r="H1835">
            <v>496000</v>
          </cell>
        </row>
        <row r="1836">
          <cell r="F1836" t="str">
            <v>Kabel NYY 1 x 300 mm²</v>
          </cell>
          <cell r="G1836" t="str">
            <v>m'</v>
          </cell>
          <cell r="H1836">
            <v>619000</v>
          </cell>
        </row>
        <row r="1837">
          <cell r="F1837" t="str">
            <v>Kabel NYY 1 x 35 mm²</v>
          </cell>
          <cell r="G1837" t="str">
            <v>m'</v>
          </cell>
          <cell r="H1837">
            <v>75000</v>
          </cell>
        </row>
        <row r="1838">
          <cell r="F1838" t="str">
            <v>Kabel NYY 1 x 4 mm²</v>
          </cell>
          <cell r="G1838" t="str">
            <v>m'</v>
          </cell>
          <cell r="H1838">
            <v>7500</v>
          </cell>
        </row>
        <row r="1839">
          <cell r="F1839" t="str">
            <v>Kabel NYY 1 x 400 mm²</v>
          </cell>
          <cell r="G1839" t="str">
            <v>m'</v>
          </cell>
          <cell r="H1839">
            <v>786000</v>
          </cell>
        </row>
        <row r="1840">
          <cell r="F1840" t="str">
            <v>Kabel NYY 1 x 50 mm²</v>
          </cell>
          <cell r="G1840" t="str">
            <v>m'</v>
          </cell>
          <cell r="H1840">
            <v>99600</v>
          </cell>
        </row>
        <row r="1841">
          <cell r="F1841" t="str">
            <v>Kabel NYY 1 x 500 mm²</v>
          </cell>
          <cell r="G1841" t="str">
            <v>m'</v>
          </cell>
          <cell r="H1841">
            <v>1004400</v>
          </cell>
        </row>
        <row r="1842">
          <cell r="F1842" t="str">
            <v>Kabel NYY 1 x 6 mm²</v>
          </cell>
          <cell r="G1842" t="str">
            <v>m'</v>
          </cell>
          <cell r="H1842">
            <v>12000</v>
          </cell>
        </row>
        <row r="1843">
          <cell r="F1843" t="str">
            <v>Kabel NYY 1 x 630 mm²</v>
          </cell>
          <cell r="G1843" t="str">
            <v>m'</v>
          </cell>
          <cell r="H1843">
            <v>1245000</v>
          </cell>
        </row>
        <row r="1844">
          <cell r="F1844" t="str">
            <v>Kabel NYY 1 x 70 mm²</v>
          </cell>
          <cell r="G1844" t="str">
            <v>m'</v>
          </cell>
          <cell r="H1844">
            <v>142000</v>
          </cell>
        </row>
        <row r="1845">
          <cell r="F1845" t="str">
            <v>Kabel NYY 1 x 95 mm²</v>
          </cell>
          <cell r="G1845" t="str">
            <v>m'</v>
          </cell>
          <cell r="H1845">
            <v>196500</v>
          </cell>
        </row>
        <row r="1846">
          <cell r="F1846" t="str">
            <v>Kabel NYY 2 x 1,5 mm²</v>
          </cell>
          <cell r="G1846" t="str">
            <v>m'</v>
          </cell>
          <cell r="H1846">
            <v>12000</v>
          </cell>
        </row>
        <row r="1847">
          <cell r="F1847" t="str">
            <v>Kabel NYY 2 x 10 mm²</v>
          </cell>
          <cell r="G1847" t="str">
            <v>m'</v>
          </cell>
          <cell r="H1847">
            <v>57500</v>
          </cell>
        </row>
        <row r="1848">
          <cell r="F1848" t="str">
            <v>Kabel NYY 2 x 16 mm²</v>
          </cell>
          <cell r="G1848" t="str">
            <v>m'</v>
          </cell>
          <cell r="H1848">
            <v>92000</v>
          </cell>
        </row>
        <row r="1849">
          <cell r="F1849" t="str">
            <v>Kabel NYY 2 x 2,5 mm²</v>
          </cell>
          <cell r="G1849" t="str">
            <v>m'</v>
          </cell>
          <cell r="H1849">
            <v>16560</v>
          </cell>
        </row>
        <row r="1850">
          <cell r="F1850" t="str">
            <v>Kabel NYY 2 x 4 mm²</v>
          </cell>
          <cell r="G1850" t="str">
            <v>m'</v>
          </cell>
          <cell r="H1850">
            <v>23000</v>
          </cell>
        </row>
        <row r="1851">
          <cell r="F1851" t="str">
            <v>Kabel NYY 2 x 6 mm²</v>
          </cell>
          <cell r="G1851" t="str">
            <v>m'</v>
          </cell>
          <cell r="H1851">
            <v>35000</v>
          </cell>
        </row>
        <row r="1852">
          <cell r="F1852" t="str">
            <v>Kabel NYY 3 x 1,5 mm²</v>
          </cell>
          <cell r="G1852" t="str">
            <v>m'</v>
          </cell>
          <cell r="H1852">
            <v>15000</v>
          </cell>
        </row>
        <row r="1853">
          <cell r="F1853" t="str">
            <v>Kabel NYY 3 x 10 mm²</v>
          </cell>
          <cell r="G1853" t="str">
            <v>m'</v>
          </cell>
          <cell r="H1853">
            <v>74600</v>
          </cell>
        </row>
        <row r="1854">
          <cell r="F1854" t="str">
            <v>Kabel NYY 3 x 16 mm²</v>
          </cell>
          <cell r="G1854" t="str">
            <v>m'</v>
          </cell>
          <cell r="H1854">
            <v>114000</v>
          </cell>
        </row>
        <row r="1855">
          <cell r="F1855" t="str">
            <v>Kabel NYY 3 x 2,5 mm²</v>
          </cell>
          <cell r="G1855" t="str">
            <v>m'</v>
          </cell>
          <cell r="H1855">
            <v>21500</v>
          </cell>
        </row>
        <row r="1856">
          <cell r="F1856" t="str">
            <v>Kabel NYY 3 x 25 mm²</v>
          </cell>
          <cell r="G1856" t="str">
            <v>m'</v>
          </cell>
          <cell r="H1856">
            <v>174900</v>
          </cell>
        </row>
        <row r="1857">
          <cell r="F1857" t="str">
            <v>Kabel NYY 3 x 35 mm²</v>
          </cell>
          <cell r="G1857" t="str">
            <v>m'</v>
          </cell>
          <cell r="H1857">
            <v>235500</v>
          </cell>
        </row>
        <row r="1858">
          <cell r="F1858" t="str">
            <v>Kabel NYY 3 x 4 mm²</v>
          </cell>
          <cell r="G1858" t="str">
            <v>m'</v>
          </cell>
          <cell r="H1858">
            <v>33000</v>
          </cell>
        </row>
        <row r="1859">
          <cell r="F1859" t="str">
            <v>Kabel NYY 3 x 50 mm²</v>
          </cell>
          <cell r="G1859" t="str">
            <v>m'</v>
          </cell>
          <cell r="H1859">
            <v>305700</v>
          </cell>
        </row>
        <row r="1860">
          <cell r="F1860" t="str">
            <v>Kabel NYY 3 x 6 mm²</v>
          </cell>
          <cell r="G1860" t="str">
            <v>m'</v>
          </cell>
          <cell r="H1860">
            <v>46000</v>
          </cell>
        </row>
        <row r="1861">
          <cell r="F1861" t="str">
            <v>Kabel NYY 4 x 1,5 mm²</v>
          </cell>
          <cell r="G1861" t="str">
            <v>m'</v>
          </cell>
          <cell r="H1861">
            <v>18600</v>
          </cell>
        </row>
        <row r="1862">
          <cell r="F1862" t="str">
            <v>Kabel NYY 4 x 10 mm²</v>
          </cell>
          <cell r="G1862" t="str">
            <v>m'</v>
          </cell>
          <cell r="H1862">
            <v>96000</v>
          </cell>
        </row>
        <row r="1863">
          <cell r="F1863" t="str">
            <v>Kabel NYY 4 x 120 mm²</v>
          </cell>
          <cell r="G1863" t="str">
            <v>m'</v>
          </cell>
          <cell r="H1863">
            <v>1011900</v>
          </cell>
        </row>
        <row r="1864">
          <cell r="F1864" t="str">
            <v>Kabel NYY 4 x 150 mm²</v>
          </cell>
          <cell r="G1864" t="str">
            <v>m'</v>
          </cell>
          <cell r="H1864">
            <v>1245000</v>
          </cell>
        </row>
        <row r="1865">
          <cell r="F1865" t="str">
            <v>Kabel NYY 4 x 16 mm²</v>
          </cell>
          <cell r="G1865" t="str">
            <v>m'</v>
          </cell>
          <cell r="H1865">
            <v>148500</v>
          </cell>
        </row>
        <row r="1866">
          <cell r="F1866" t="str">
            <v>Kabel NYY 4 x 185 mm²</v>
          </cell>
          <cell r="G1866" t="str">
            <v>m'</v>
          </cell>
          <cell r="H1866">
            <v>1552800</v>
          </cell>
        </row>
        <row r="1867">
          <cell r="F1867" t="str">
            <v>Kabel NYY 4 x 2,5 mm²</v>
          </cell>
          <cell r="G1867" t="str">
            <v>m'</v>
          </cell>
          <cell r="H1867">
            <v>28620</v>
          </cell>
        </row>
        <row r="1868">
          <cell r="F1868" t="str">
            <v>Kabel NYY 4 x 240 mm²</v>
          </cell>
          <cell r="G1868" t="str">
            <v>m'</v>
          </cell>
          <cell r="H1868">
            <v>2044800</v>
          </cell>
        </row>
        <row r="1869">
          <cell r="F1869" t="str">
            <v>Kabel NYY 4 x 25 mm²</v>
          </cell>
          <cell r="G1869" t="str">
            <v>m'</v>
          </cell>
          <cell r="H1869">
            <v>228000</v>
          </cell>
        </row>
        <row r="1870">
          <cell r="F1870" t="str">
            <v>Kabel NYY 4 x 300 mm²</v>
          </cell>
          <cell r="G1870" t="str">
            <v>m'</v>
          </cell>
          <cell r="H1870">
            <v>2550900</v>
          </cell>
        </row>
        <row r="1871">
          <cell r="F1871" t="str">
            <v>Kabel NYY 4 x 35 mm²</v>
          </cell>
          <cell r="G1871" t="str">
            <v>m'</v>
          </cell>
          <cell r="H1871">
            <v>310500</v>
          </cell>
        </row>
        <row r="1872">
          <cell r="F1872" t="str">
            <v>Kabel NYY 4 x 4 mm²</v>
          </cell>
          <cell r="G1872" t="str">
            <v>m'</v>
          </cell>
          <cell r="H1872">
            <v>43000</v>
          </cell>
        </row>
        <row r="1873">
          <cell r="F1873" t="str">
            <v>Kabel NYY 4 x 50 mm²</v>
          </cell>
          <cell r="G1873" t="str">
            <v>m'</v>
          </cell>
          <cell r="H1873">
            <v>412200</v>
          </cell>
        </row>
        <row r="1874">
          <cell r="F1874" t="str">
            <v>Kabel NYY 4 x 6 mm²</v>
          </cell>
          <cell r="G1874" t="str">
            <v>m'</v>
          </cell>
          <cell r="H1874">
            <v>61000</v>
          </cell>
        </row>
        <row r="1875">
          <cell r="F1875" t="str">
            <v>Kabel NYY 4 x 70 mm²</v>
          </cell>
          <cell r="G1875" t="str">
            <v>m'</v>
          </cell>
          <cell r="H1875">
            <v>584700</v>
          </cell>
        </row>
        <row r="1876">
          <cell r="F1876" t="str">
            <v>Kabel NYY 4 x 95 mm²</v>
          </cell>
          <cell r="G1876" t="str">
            <v>m'</v>
          </cell>
          <cell r="H1876">
            <v>805200</v>
          </cell>
        </row>
        <row r="1877">
          <cell r="F1877" t="str">
            <v xml:space="preserve">Kabel STP AWG 18 </v>
          </cell>
          <cell r="G1877" t="str">
            <v>m'</v>
          </cell>
          <cell r="H1877">
            <v>4500</v>
          </cell>
        </row>
        <row r="1878">
          <cell r="F1878" t="str">
            <v>Kabel STP AWG 18 + PVC Conduit HI 20 mm (dari MCFA ke TB) dan aksesoris</v>
          </cell>
          <cell r="H1878">
            <v>10700</v>
          </cell>
        </row>
        <row r="1879">
          <cell r="F1879" t="str">
            <v>Kabel ITC 2x2x0,6 mm2</v>
          </cell>
          <cell r="G1879" t="str">
            <v>m'</v>
          </cell>
          <cell r="H1879">
            <v>3924</v>
          </cell>
        </row>
        <row r="1880">
          <cell r="F1880" t="str">
            <v>Kabel ITC 2 x 2 x 0,6 mm2 + PVC Conduit HI 20 mm dan aksesoris</v>
          </cell>
          <cell r="G1880" t="str">
            <v>m'</v>
          </cell>
          <cell r="H1880">
            <v>13100</v>
          </cell>
        </row>
        <row r="1881">
          <cell r="F1881" t="str">
            <v>Kabel UTP CAT 6</v>
          </cell>
          <cell r="G1881" t="str">
            <v>m'</v>
          </cell>
          <cell r="H1881">
            <v>1500</v>
          </cell>
        </row>
        <row r="1882">
          <cell r="F1882" t="str">
            <v xml:space="preserve">Kabel Coaxial 7C-2V </v>
          </cell>
          <cell r="G1882" t="str">
            <v>m'</v>
          </cell>
          <cell r="H1882">
            <v>22800</v>
          </cell>
        </row>
        <row r="1883">
          <cell r="F1883" t="str">
            <v xml:space="preserve">Kabel Ladder 500 x100 mm </v>
          </cell>
          <cell r="G1883" t="str">
            <v xml:space="preserve">unit </v>
          </cell>
          <cell r="H1883">
            <v>494000</v>
          </cell>
        </row>
        <row r="1884">
          <cell r="F1884" t="str">
            <v xml:space="preserve">Kabel Ladder 600 x100 mm </v>
          </cell>
          <cell r="G1884" t="str">
            <v xml:space="preserve">Unit </v>
          </cell>
          <cell r="H1884">
            <v>535000</v>
          </cell>
        </row>
        <row r="1885">
          <cell r="F1885" t="str">
            <v xml:space="preserve">Kabel Ladder 800 x100 mm </v>
          </cell>
          <cell r="G1885" t="str">
            <v xml:space="preserve">Unit </v>
          </cell>
          <cell r="H1885">
            <v>569000</v>
          </cell>
        </row>
        <row r="1886">
          <cell r="F1886" t="str">
            <v xml:space="preserve">Kabel Tray 600 x 100 mm Hotdip Galvanized </v>
          </cell>
          <cell r="G1886" t="str">
            <v xml:space="preserve">Unit </v>
          </cell>
          <cell r="H1886">
            <v>1639000</v>
          </cell>
        </row>
        <row r="1887">
          <cell r="F1887" t="str">
            <v xml:space="preserve">Kabel Tray 600 x100 mm Elektro Galvanized </v>
          </cell>
          <cell r="G1887" t="str">
            <v>Unit</v>
          </cell>
          <cell r="H1887">
            <v>1255500</v>
          </cell>
        </row>
        <row r="1888">
          <cell r="F1888" t="str">
            <v xml:space="preserve">Kabel Tray 600 x 100 mm Powder Coating </v>
          </cell>
          <cell r="G1888" t="str">
            <v xml:space="preserve">Unit </v>
          </cell>
          <cell r="H1888">
            <v>890000</v>
          </cell>
        </row>
        <row r="1889">
          <cell r="F1889" t="str">
            <v>Kabel Tray (Horizontal) 1000 x 100 mm TRU Powder Coating dan aksesoris</v>
          </cell>
          <cell r="G1889" t="str">
            <v>Unit</v>
          </cell>
          <cell r="H1889">
            <v>650000</v>
          </cell>
        </row>
        <row r="1890">
          <cell r="F1890" t="str">
            <v>Kabel Tray (Horizontal) 1000 x 100 mm TRU Hot Dip Galvanized dan aksesoris</v>
          </cell>
          <cell r="G1890" t="str">
            <v>unit</v>
          </cell>
          <cell r="H1890">
            <v>670000</v>
          </cell>
        </row>
        <row r="1891">
          <cell r="F1891" t="str">
            <v>Kabel Tray (Horizontal) 1000 x 100 mm TRU OCP dan aksesoris</v>
          </cell>
          <cell r="G1891" t="str">
            <v>Unit</v>
          </cell>
          <cell r="H1891">
            <v>710000</v>
          </cell>
        </row>
        <row r="1892">
          <cell r="F1892" t="str">
            <v>Kabel Tray (Horizontal) 1000 x 100 mm TRC Powder Coating dan aksesoris</v>
          </cell>
          <cell r="G1892" t="str">
            <v xml:space="preserve">Unit </v>
          </cell>
          <cell r="H1892">
            <v>750000</v>
          </cell>
        </row>
        <row r="1893">
          <cell r="F1893" t="str">
            <v>Kabel Tray (Horizontal) 1000 x 100 mm TRC Hot Dip Galvanized dan aksesoris</v>
          </cell>
          <cell r="G1893" t="str">
            <v xml:space="preserve">Unit </v>
          </cell>
          <cell r="H1893">
            <v>670000</v>
          </cell>
        </row>
        <row r="1894">
          <cell r="F1894" t="str">
            <v>Kabel Tray (Horizontal) 1000 x 100 mm TRC OCP dan aksesoris</v>
          </cell>
          <cell r="G1894" t="str">
            <v xml:space="preserve">Unit </v>
          </cell>
          <cell r="H1894">
            <v>710000</v>
          </cell>
        </row>
        <row r="1895">
          <cell r="F1895" t="str">
            <v>Kabel Tray (Horizontal) 900 x 100 mm TRU Powder Coating dan aksesoris</v>
          </cell>
          <cell r="G1895" t="str">
            <v xml:space="preserve">Unit </v>
          </cell>
          <cell r="H1895">
            <v>550000</v>
          </cell>
        </row>
        <row r="1896">
          <cell r="F1896" t="str">
            <v>Kabel Tray
(Horizontal) 900 x
100 mm TRU Hot Dip
Galvanized dan
aksesoris</v>
          </cell>
          <cell r="G1896" t="str">
            <v>Unit</v>
          </cell>
          <cell r="H1896">
            <v>570000</v>
          </cell>
        </row>
        <row r="1897">
          <cell r="F1897" t="str">
            <v>Kabel Tray
(Horizontal) 900 x
100 mm TRU OCP
dan aksesoris</v>
          </cell>
          <cell r="G1897" t="str">
            <v>Unit</v>
          </cell>
          <cell r="H1897">
            <v>590000</v>
          </cell>
        </row>
        <row r="1898">
          <cell r="F1898" t="str">
            <v>Kabel Tray (Horizontal) 900 x 100 mm TRC Powder Coating dan aksesoris</v>
          </cell>
          <cell r="G1898" t="str">
            <v xml:space="preserve">unit </v>
          </cell>
          <cell r="H1898">
            <v>600000</v>
          </cell>
        </row>
        <row r="1899">
          <cell r="F1899" t="str">
            <v>Kabel Tray (Horizontal) 900 x 100 mm TRC Hot Dip Galvanized dan aksesoris</v>
          </cell>
          <cell r="G1899" t="str">
            <v>Unit</v>
          </cell>
          <cell r="H1899">
            <v>630000</v>
          </cell>
        </row>
        <row r="1900">
          <cell r="F1900" t="str">
            <v>Kabel Tray
(Horizontal) 900 x
100 mm TRC OCP
dan aksesoris</v>
          </cell>
          <cell r="G1900" t="str">
            <v>Unit</v>
          </cell>
          <cell r="H1900">
            <v>650000</v>
          </cell>
        </row>
        <row r="1901">
          <cell r="F1901" t="str">
            <v>Kabel Tray
(Horizontal) 800 x
100 mm TRU Powder
Coating dan aksesoris</v>
          </cell>
          <cell r="G1901" t="str">
            <v>Unit</v>
          </cell>
          <cell r="H1901">
            <v>400000</v>
          </cell>
        </row>
        <row r="1902">
          <cell r="F1902" t="str">
            <v>Kabel Tray
(Horizontal) 800 x
100 mm TRU Hot Dip
Galvanized dan
aksesoris</v>
          </cell>
          <cell r="G1902" t="str">
            <v xml:space="preserve">unit </v>
          </cell>
          <cell r="H1902">
            <v>430000</v>
          </cell>
        </row>
        <row r="1903">
          <cell r="F1903" t="str">
            <v>Kabel Tray
(Horizontal) 800 x
100 mm TRU OCP
dan aksesoris</v>
          </cell>
          <cell r="G1903" t="str">
            <v>Unit</v>
          </cell>
          <cell r="H1903">
            <v>450000</v>
          </cell>
        </row>
        <row r="1904">
          <cell r="F1904" t="str">
            <v>Kabel Tray
(Horizontal) 800 x
100 mm TRC Powder
Coating dan aksesoris</v>
          </cell>
          <cell r="G1904" t="str">
            <v>Unit</v>
          </cell>
          <cell r="H1904">
            <v>470000</v>
          </cell>
        </row>
        <row r="1905">
          <cell r="F1905" t="str">
            <v>Kabel Tray
(Horizontal) 800 x
100 mm TRC Hot Dip
Galvanized dan
aksesoris</v>
          </cell>
          <cell r="G1905" t="str">
            <v>Unit</v>
          </cell>
          <cell r="H1905">
            <v>490000</v>
          </cell>
        </row>
        <row r="1906">
          <cell r="F1906" t="str">
            <v>Kabel Tray (Horizontal) 800 x 100 mm TRC OCP dan aksesoris</v>
          </cell>
          <cell r="G1906" t="str">
            <v xml:space="preserve">unit </v>
          </cell>
          <cell r="H1906">
            <v>510000</v>
          </cell>
        </row>
        <row r="1907">
          <cell r="F1907" t="str">
            <v>Kabel Tray (Horizontal) 700 x 100 mm TRU Powder Coating dan aksesoris</v>
          </cell>
          <cell r="G1907" t="str">
            <v>Unit</v>
          </cell>
          <cell r="H1907">
            <v>350000</v>
          </cell>
        </row>
        <row r="1908">
          <cell r="F1908" t="str">
            <v>Kabel Tray (Horizontal) 700 x 100 mm TRU Hot Dip Galvanized dan aksesoris</v>
          </cell>
          <cell r="G1908" t="str">
            <v>Unit</v>
          </cell>
          <cell r="H1908">
            <v>370000</v>
          </cell>
        </row>
        <row r="1909">
          <cell r="F1909" t="str">
            <v>Kabel Tray (Horizontal) 700 x 100 mm TRU OCP dan aksesoris</v>
          </cell>
          <cell r="G1909" t="str">
            <v>Unit</v>
          </cell>
          <cell r="H1909">
            <v>390000</v>
          </cell>
        </row>
        <row r="1910">
          <cell r="F1910" t="str">
            <v>Kabel Tray (Horizontal) 700 x 100 mm TRC Powder Coating dan aksesoris</v>
          </cell>
          <cell r="G1910" t="str">
            <v xml:space="preserve">unit </v>
          </cell>
          <cell r="H1910">
            <v>410000</v>
          </cell>
        </row>
        <row r="1911">
          <cell r="F1911" t="str">
            <v>Kabel Tray (Horizontal) 700 x 100 mm TRC Hot Dip Galvanized dan aksesoris</v>
          </cell>
          <cell r="G1911" t="str">
            <v>Unit</v>
          </cell>
          <cell r="H1911">
            <v>430000</v>
          </cell>
        </row>
        <row r="1912">
          <cell r="F1912" t="str">
            <v>Kabel Tray (Horizontal) 700 x 100 mm TRC</v>
          </cell>
          <cell r="G1912" t="str">
            <v>Unit</v>
          </cell>
          <cell r="H1912">
            <v>450000</v>
          </cell>
        </row>
        <row r="1913">
          <cell r="F1913" t="str">
            <v>Kabel Tray (Horizontal) 600 x 100 mm TRU Hot Dip Galvanized dan aksesoris</v>
          </cell>
          <cell r="G1913" t="str">
            <v>Unit</v>
          </cell>
          <cell r="H1913">
            <v>470000</v>
          </cell>
        </row>
        <row r="1914">
          <cell r="F1914" t="str">
            <v>(Horizontal) 600 x 100 mm TRC Hot Dip Galvanized dan aksesoris</v>
          </cell>
          <cell r="G1914" t="str">
            <v xml:space="preserve">Unit </v>
          </cell>
          <cell r="H1914">
            <v>350000</v>
          </cell>
        </row>
        <row r="1915">
          <cell r="F1915" t="str">
            <v>Pemasangan 1 Unit Kabel Tray (Horizontal) 600 x 100 mm TRC OCP</v>
          </cell>
          <cell r="G1915" t="str">
            <v>Unit</v>
          </cell>
          <cell r="H1915">
            <v>370000</v>
          </cell>
        </row>
        <row r="1916">
          <cell r="F1916" t="str">
            <v>Kabel Tray (Horizontal) 500 x 100 mm TRU Hot Dip Galvanized dan aksesoris</v>
          </cell>
          <cell r="G1916" t="str">
            <v xml:space="preserve">Unit </v>
          </cell>
          <cell r="H1916">
            <v>385000</v>
          </cell>
        </row>
        <row r="1917">
          <cell r="F1917" t="str">
            <v>Kabel Tray (Horizontal) 500 x 100 mm TRU OCP dan aksesoris</v>
          </cell>
          <cell r="G1917" t="str">
            <v>Unit</v>
          </cell>
          <cell r="H1917">
            <v>395000</v>
          </cell>
        </row>
        <row r="1918">
          <cell r="F1918" t="str">
            <v>Kabel Tray (Horizontal) 500 x 100 mm TRC Powder Coating dan aksesoris</v>
          </cell>
          <cell r="G1918" t="str">
            <v xml:space="preserve">Unit </v>
          </cell>
          <cell r="H1918">
            <v>415000</v>
          </cell>
        </row>
        <row r="1919">
          <cell r="F1919" t="str">
            <v>Kabel Tray (Horizontal) 500 x 100 mm TRC Hot Dip Galvanized dan aksesoris</v>
          </cell>
          <cell r="G1919" t="str">
            <v>Unit</v>
          </cell>
          <cell r="H1919">
            <v>430000</v>
          </cell>
        </row>
        <row r="1920">
          <cell r="F1920" t="str">
            <v>Kabel Tray (Horizontal) 500 x 100 mm TRC OCP dan aksesoris</v>
          </cell>
          <cell r="G1920" t="str">
            <v xml:space="preserve">Unit </v>
          </cell>
          <cell r="H1920">
            <v>445000</v>
          </cell>
        </row>
        <row r="1921">
          <cell r="F1921" t="str">
            <v>Kabel Tray (Horizontal) 400 x 100 mm TRU Hot Dip Galvanized dan aksesoris</v>
          </cell>
          <cell r="G1921" t="str">
            <v>Unit</v>
          </cell>
          <cell r="H1921">
            <v>350000</v>
          </cell>
        </row>
        <row r="1922">
          <cell r="F1922" t="str">
            <v>Kabel Tray (Horizontal) 400 x 100 mm TRU OCP dan aksesoris</v>
          </cell>
          <cell r="G1922" t="str">
            <v xml:space="preserve">Unit </v>
          </cell>
          <cell r="H1922">
            <v>365000</v>
          </cell>
        </row>
        <row r="1923">
          <cell r="F1923" t="str">
            <v>Kabel Tray (Horizontal) 400 x 100 mm TRC Powder Coating dan aksesoris</v>
          </cell>
          <cell r="G1923" t="str">
            <v>Unit</v>
          </cell>
          <cell r="H1923">
            <v>380000</v>
          </cell>
        </row>
        <row r="1924">
          <cell r="F1924" t="str">
            <v>Kabel Tray (Horizontal) 400 x 100 mm TRC Hot Dip Galvanized dan aksesoris</v>
          </cell>
          <cell r="G1924" t="str">
            <v xml:space="preserve">Unit </v>
          </cell>
          <cell r="H1924">
            <v>395000</v>
          </cell>
        </row>
        <row r="1925">
          <cell r="F1925" t="str">
            <v>Kabel Tray (Horizontal) 400 x 100 mm TRC OCP dan aksesoris</v>
          </cell>
          <cell r="G1925" t="str">
            <v>Unit</v>
          </cell>
          <cell r="H1925">
            <v>410000</v>
          </cell>
        </row>
        <row r="1926">
          <cell r="F1926" t="str">
            <v>Kabel Tray (Horizontal) 300 x 100 mm TRU Hot Dip Galvanized dan aksesoris</v>
          </cell>
          <cell r="G1926" t="str">
            <v xml:space="preserve">Unit </v>
          </cell>
          <cell r="H1926">
            <v>300000</v>
          </cell>
        </row>
        <row r="1927">
          <cell r="F1927" t="str">
            <v>Kabel Tray (Horizontal) 300 x 100 mm TRU OCP dan aksesoris</v>
          </cell>
          <cell r="G1927" t="str">
            <v>Unit</v>
          </cell>
          <cell r="H1927">
            <v>320000</v>
          </cell>
        </row>
        <row r="1928">
          <cell r="F1928" t="str">
            <v>Kabel Tray (Horizontal) 300 x 100 mm TRC Powder Coating dan aksesoris</v>
          </cell>
          <cell r="G1928" t="str">
            <v xml:space="preserve">Unit </v>
          </cell>
          <cell r="H1928">
            <v>340000</v>
          </cell>
        </row>
        <row r="1929">
          <cell r="F1929" t="str">
            <v>Kabel Tray (Horizontal) 300 x 100 mm TRC Hot Dip Galvanized dan aksesoris</v>
          </cell>
          <cell r="G1929" t="str">
            <v>Unit</v>
          </cell>
          <cell r="H1929">
            <v>360000</v>
          </cell>
        </row>
        <row r="1930">
          <cell r="F1930" t="str">
            <v>Kabel Tray (Horizontal) 300 x 100 mm TRC OCP dan aksesoris</v>
          </cell>
          <cell r="G1930" t="str">
            <v xml:space="preserve">Unit </v>
          </cell>
          <cell r="H1930">
            <v>380000</v>
          </cell>
        </row>
        <row r="1931">
          <cell r="F1931" t="str">
            <v>Kabel Tray (Horizontal) 200 x 100 mm TRU Hot Dip Galvanized dan aksesoris</v>
          </cell>
          <cell r="G1931" t="str">
            <v>Unit</v>
          </cell>
          <cell r="H1931">
            <v>400000</v>
          </cell>
        </row>
        <row r="1932">
          <cell r="F1932" t="str">
            <v>Kabel Tray (Horizontal) 200 x 100 mm TRU OCP dan aksesoris</v>
          </cell>
          <cell r="G1932" t="str">
            <v xml:space="preserve">Unit </v>
          </cell>
          <cell r="H1932">
            <v>250000</v>
          </cell>
        </row>
        <row r="1933">
          <cell r="F1933" t="str">
            <v>Kabel Tray (Horizontal) 200 x 100 mm TRC Powder Coating dan aksesoris</v>
          </cell>
          <cell r="G1933" t="str">
            <v>Unit</v>
          </cell>
          <cell r="H1933">
            <v>270000</v>
          </cell>
        </row>
        <row r="1934">
          <cell r="F1934" t="str">
            <v>Kabel Tray (Horizontal) 200 x 100 mm TRC Hot Dip Galvanized dan aksesoris</v>
          </cell>
          <cell r="G1934" t="str">
            <v xml:space="preserve">Unit </v>
          </cell>
          <cell r="H1934">
            <v>280000</v>
          </cell>
        </row>
        <row r="1935">
          <cell r="F1935" t="str">
            <v>Kabel Tray (Horizontal) 200 x 100 mm TRC OCP dan aksesoris</v>
          </cell>
          <cell r="G1935" t="str">
            <v>Unit</v>
          </cell>
          <cell r="H1935">
            <v>300000</v>
          </cell>
        </row>
        <row r="1936">
          <cell r="F1936" t="str">
            <v>Kabel Tray (Horizontal) 150 x 100 mm TRU Powder Coating dan aksesoris</v>
          </cell>
          <cell r="G1936" t="str">
            <v xml:space="preserve">Unit </v>
          </cell>
          <cell r="H1936">
            <v>250000</v>
          </cell>
        </row>
        <row r="1937">
          <cell r="F1937" t="str">
            <v>Kabel Tray (Horizontal) 150 x 100 mm TRU Hot Dip Galvanized dan aksesoris</v>
          </cell>
          <cell r="G1937" t="str">
            <v>Unit</v>
          </cell>
          <cell r="H1937">
            <v>260000</v>
          </cell>
        </row>
        <row r="1938">
          <cell r="F1938" t="str">
            <v>Kabel Tray (Horizontal) 150 x 100 mm TRU OCP dan aksesoris</v>
          </cell>
          <cell r="G1938" t="str">
            <v xml:space="preserve">Unit </v>
          </cell>
          <cell r="H1938">
            <v>280000</v>
          </cell>
        </row>
        <row r="1939">
          <cell r="F1939" t="str">
            <v>Kabel Tray (Horizontal) 150 x 100 mm TRC Powder Coating dan aksesoris</v>
          </cell>
          <cell r="G1939" t="str">
            <v>Unit</v>
          </cell>
          <cell r="H1939">
            <v>300000</v>
          </cell>
        </row>
        <row r="1940">
          <cell r="F1940" t="str">
            <v>Kabel Tray (Horizontal) 150 x 100 mm TRC Hot Dip Galvanized dan aksesoris</v>
          </cell>
          <cell r="G1940" t="str">
            <v xml:space="preserve">Unit </v>
          </cell>
          <cell r="H1940">
            <v>320000</v>
          </cell>
        </row>
        <row r="1941">
          <cell r="F1941" t="str">
            <v>Kabel Tray (Horizontal) 150 x 100 mm TRC OCP dan aksesoris</v>
          </cell>
          <cell r="G1941" t="str">
            <v>Unit</v>
          </cell>
          <cell r="H1941">
            <v>350000</v>
          </cell>
        </row>
        <row r="1942">
          <cell r="F1942" t="str">
            <v>Kabel Tray (Vertikal) 1000 x 100 mm TRU Powder Coating dan aksesoris</v>
          </cell>
          <cell r="G1942" t="str">
            <v xml:space="preserve">Unit </v>
          </cell>
          <cell r="H1942">
            <v>350000</v>
          </cell>
        </row>
        <row r="1943">
          <cell r="F1943" t="str">
            <v>Kabel Tray (Vertikal) 1000 x 100 mm TRU Hot Dip Galvanized dan aksesoris</v>
          </cell>
          <cell r="G1943" t="str">
            <v>Unit</v>
          </cell>
          <cell r="H1943">
            <v>370000</v>
          </cell>
        </row>
        <row r="1944">
          <cell r="F1944" t="str">
            <v>Kabel Tray (Vertikal) 1000 x 100 mm TRU OCP dan aksesoris</v>
          </cell>
          <cell r="G1944" t="str">
            <v xml:space="preserve">Unit </v>
          </cell>
          <cell r="H1944">
            <v>390000</v>
          </cell>
        </row>
        <row r="1945">
          <cell r="F1945" t="str">
            <v>Kabel Tray (Vertikal) 1000 x 100 mm TRC Powder Coating dan aksesoris</v>
          </cell>
          <cell r="G1945" t="str">
            <v>Unit</v>
          </cell>
          <cell r="H1945">
            <v>400000</v>
          </cell>
        </row>
        <row r="1946">
          <cell r="F1946" t="str">
            <v>Kabel Tray (Vertikal) 1000 x 100 mm TRC Hot Dip Galvanized dan aksesoris</v>
          </cell>
          <cell r="G1946" t="str">
            <v xml:space="preserve">Unit </v>
          </cell>
          <cell r="H1946">
            <v>410000</v>
          </cell>
        </row>
        <row r="1947">
          <cell r="F1947" t="str">
            <v>Kabel Tray (Vertikal) 1000 x 100 mm TRC OCP dan aksesoris</v>
          </cell>
          <cell r="G1947" t="str">
            <v>Unit</v>
          </cell>
          <cell r="H1947">
            <v>420000</v>
          </cell>
        </row>
        <row r="1948">
          <cell r="F1948" t="str">
            <v>Kabel Tray (Vertikal) 900 x 100 mm TRU Powder Coating dan aksesoris</v>
          </cell>
          <cell r="G1948" t="str">
            <v>Unit</v>
          </cell>
          <cell r="H1948">
            <v>340000</v>
          </cell>
        </row>
        <row r="1949">
          <cell r="F1949" t="str">
            <v>Kabel Tray (Vertikal) 900 x 100 mm TRU Hot Dip Galvanized dan aksesoris</v>
          </cell>
          <cell r="G1949" t="str">
            <v xml:space="preserve">Unit </v>
          </cell>
          <cell r="H1949">
            <v>350000</v>
          </cell>
        </row>
        <row r="1950">
          <cell r="F1950" t="str">
            <v>Kabel Tray (Vertikal) 900 x 100 mm TRU OCP dan aksesoris</v>
          </cell>
          <cell r="G1950" t="str">
            <v>Unit</v>
          </cell>
          <cell r="H1950">
            <v>360000</v>
          </cell>
        </row>
        <row r="1951">
          <cell r="F1951" t="str">
            <v>Kabel Tray (Vertikal) 900 x 100 mm TRC Powder Coating dan aksesoris</v>
          </cell>
          <cell r="G1951" t="str">
            <v>Unit</v>
          </cell>
          <cell r="H1951">
            <v>370000</v>
          </cell>
        </row>
        <row r="1952">
          <cell r="F1952" t="str">
            <v>Kabel Tray (Vertikal) 900 x 100 mm TRC Hot Dip Galvanized dan aksesoris</v>
          </cell>
          <cell r="G1952" t="str">
            <v xml:space="preserve">Unit </v>
          </cell>
          <cell r="H1952">
            <v>380000</v>
          </cell>
        </row>
        <row r="1953">
          <cell r="F1953" t="str">
            <v>Kabel Tray (Vertikal) 900 x 100 mm TRC OCP dan aksesoris</v>
          </cell>
          <cell r="G1953" t="str">
            <v>Unit</v>
          </cell>
          <cell r="H1953">
            <v>390000</v>
          </cell>
        </row>
        <row r="1954">
          <cell r="F1954" t="str">
            <v>Kabel Tray (Vertikal) 800 x 100 mm TRU Powder Coating dan aksesoris</v>
          </cell>
          <cell r="G1954" t="str">
            <v>Unit</v>
          </cell>
          <cell r="H1954">
            <v>350000</v>
          </cell>
        </row>
        <row r="1955">
          <cell r="F1955" t="str">
            <v>Kabel Tray (Vertikal) 800 x 100 mm TRU Hot Dip Galvanized dan aksesoris</v>
          </cell>
          <cell r="G1955" t="str">
            <v xml:space="preserve">Unit </v>
          </cell>
          <cell r="H1955">
            <v>360000</v>
          </cell>
        </row>
        <row r="1956">
          <cell r="F1956" t="str">
            <v>Kabel Tray (Vertikal) 800 x 100 mm TRU OCP dan aksesoris</v>
          </cell>
          <cell r="G1956" t="str">
            <v>Unit</v>
          </cell>
          <cell r="H1956">
            <v>370000</v>
          </cell>
        </row>
        <row r="1957">
          <cell r="F1957" t="str">
            <v>Kabel Tray (Vertikal) 800 x 100 mm TRC Powder Coating dan aksesoris</v>
          </cell>
          <cell r="G1957" t="str">
            <v>Unit</v>
          </cell>
          <cell r="H1957">
            <v>380000</v>
          </cell>
        </row>
        <row r="1958">
          <cell r="F1958" t="str">
            <v>Kabel Tray (Vertikal) 800 x 100 mm TRC Hot Dip Galvanized dan aksesoris</v>
          </cell>
          <cell r="G1958" t="str">
            <v xml:space="preserve">Unit </v>
          </cell>
          <cell r="H1958">
            <v>390000</v>
          </cell>
        </row>
        <row r="1959">
          <cell r="F1959" t="str">
            <v>Kabel Tray (Vertikal) 800 x 100 mm TRC OCP dan aksesoris</v>
          </cell>
          <cell r="G1959" t="str">
            <v>Unit</v>
          </cell>
          <cell r="H1959">
            <v>400000</v>
          </cell>
        </row>
        <row r="1960">
          <cell r="F1960" t="str">
            <v>Kabel Tray (Vertikal) 700 x 100 mm TRU Powder Coating dan aksesoris</v>
          </cell>
          <cell r="G1960" t="str">
            <v>Unit</v>
          </cell>
          <cell r="H1960">
            <v>340000</v>
          </cell>
        </row>
        <row r="1961">
          <cell r="F1961" t="str">
            <v>Kabel Tray (Vertikal) 700 x 100 mm TRU Hot Dip Galvanized dan aksesoris</v>
          </cell>
          <cell r="G1961" t="str">
            <v xml:space="preserve">Unit </v>
          </cell>
          <cell r="H1961">
            <v>350000</v>
          </cell>
        </row>
        <row r="1962">
          <cell r="F1962" t="str">
            <v>Kabel Tray (Vertikal) 700 x 100 mm TRU OCP dan aksesoris</v>
          </cell>
          <cell r="G1962" t="str">
            <v>Unit</v>
          </cell>
          <cell r="H1962">
            <v>360000</v>
          </cell>
        </row>
        <row r="1963">
          <cell r="F1963" t="str">
            <v>Kabel Tray (Vertikal) 700 x 100 mm TRC Powder Coating dan aksesoris</v>
          </cell>
          <cell r="G1963" t="str">
            <v>Unit</v>
          </cell>
          <cell r="H1963">
            <v>370000</v>
          </cell>
        </row>
        <row r="1964">
          <cell r="F1964" t="str">
            <v>Kabel Tray (Vertikal) 700 x 100 mm TRC Hot Dip Galvanized dan aksesoris</v>
          </cell>
          <cell r="G1964" t="str">
            <v xml:space="preserve">Unit </v>
          </cell>
          <cell r="H1964">
            <v>380000</v>
          </cell>
        </row>
        <row r="1965">
          <cell r="F1965" t="str">
            <v>Kabel Tray (Vertikal) 700 x 100 mm TRC OCP dan aksesoris</v>
          </cell>
          <cell r="G1965" t="str">
            <v>Unit</v>
          </cell>
          <cell r="H1965">
            <v>390000</v>
          </cell>
        </row>
        <row r="1966">
          <cell r="F1966" t="str">
            <v>Kabel Tray (Vertikal) 600 x 100 mm TRU Hot Dip Galvanized dan aksesoris</v>
          </cell>
          <cell r="G1966" t="str">
            <v>Unit</v>
          </cell>
          <cell r="H1966">
            <v>340000</v>
          </cell>
        </row>
        <row r="1967">
          <cell r="F1967" t="str">
            <v>Kabel Tray (Vertikal) 600 x 100 mm TRU OCP dan aksesoris</v>
          </cell>
          <cell r="G1967" t="str">
            <v xml:space="preserve">Unit </v>
          </cell>
          <cell r="H1967">
            <v>350000</v>
          </cell>
        </row>
        <row r="1968">
          <cell r="F1968" t="str">
            <v>Kabel Tray (Vertikal)
600 x 100 mm TRC
Powder Coating dan
aksesoris</v>
          </cell>
          <cell r="G1968" t="str">
            <v xml:space="preserve">Unit </v>
          </cell>
          <cell r="H1968">
            <v>360000</v>
          </cell>
        </row>
        <row r="1969">
          <cell r="F1969" t="str">
            <v>Kabel Tray (Vertikal)
600 x 100 mm TRC
Hot Dip Galvanized
dan aksesoris</v>
          </cell>
          <cell r="G1969" t="str">
            <v>Unit</v>
          </cell>
          <cell r="H1969">
            <v>370000</v>
          </cell>
        </row>
        <row r="1970">
          <cell r="F1970" t="str">
            <v>Kabel Tray (Vertikal)
600 x 100 mm TRC
OCP dan aksesoris</v>
          </cell>
          <cell r="G1970" t="str">
            <v xml:space="preserve">Unit </v>
          </cell>
          <cell r="H1970">
            <v>390000</v>
          </cell>
        </row>
        <row r="1971">
          <cell r="F1971" t="str">
            <v>Kabel Tray (Vertikal)
500 x 100 mm TRU
Hot Dip Galvanized
dan aksesoris</v>
          </cell>
          <cell r="G1971" t="str">
            <v>Unit</v>
          </cell>
          <cell r="H1971">
            <v>340000</v>
          </cell>
        </row>
        <row r="1972">
          <cell r="F1972" t="str">
            <v>Kabel Tray (Vertikal)
500 x 100 mm TRU
OCP dan aksesoris</v>
          </cell>
          <cell r="G1972" t="str">
            <v xml:space="preserve">Unit </v>
          </cell>
          <cell r="H1972">
            <v>350000</v>
          </cell>
        </row>
        <row r="1973">
          <cell r="F1973" t="str">
            <v>Kabel Tray (Vertikal)
500 x 100 mm TRC
Powder Coating dan
aksesoris</v>
          </cell>
          <cell r="G1973" t="str">
            <v>Unit</v>
          </cell>
          <cell r="H1973">
            <v>360000</v>
          </cell>
        </row>
        <row r="1974">
          <cell r="F1974" t="str">
            <v>Kabel Tray (Vertikal)
500 x 100 mm TRC
Hot Dip Galvanized
dan aksesoris</v>
          </cell>
          <cell r="G1974" t="str">
            <v xml:space="preserve">Unit </v>
          </cell>
          <cell r="H1974">
            <v>370000</v>
          </cell>
        </row>
        <row r="1975">
          <cell r="F1975" t="str">
            <v>Kabel Tray (Vertikal)
500 x 100 mm TRC
OCP dan aksesoris</v>
          </cell>
          <cell r="G1975" t="str">
            <v>Unit</v>
          </cell>
          <cell r="H1975">
            <v>380000</v>
          </cell>
        </row>
        <row r="1976">
          <cell r="F1976" t="str">
            <v>Kabel Tray (Vertikal)
400 x 100 mm TRU
Hot Dip Galvanized
dan aksesoris</v>
          </cell>
          <cell r="G1976" t="str">
            <v xml:space="preserve">Unit </v>
          </cell>
          <cell r="H1976">
            <v>340000</v>
          </cell>
        </row>
        <row r="1977">
          <cell r="F1977" t="str">
            <v>Kabel Tray (Vertikal)
400 x 100 mm TRU
OCP dan aksesoris</v>
          </cell>
          <cell r="G1977" t="str">
            <v>Unit</v>
          </cell>
          <cell r="H1977">
            <v>350000</v>
          </cell>
        </row>
        <row r="1978">
          <cell r="F1978" t="str">
            <v>Kabel Tray (Vertikal)
400 x 100 mm TRC
Powder Coating dan
aksesoris</v>
          </cell>
          <cell r="G1978" t="str">
            <v xml:space="preserve">Unit </v>
          </cell>
          <cell r="H1978">
            <v>360000</v>
          </cell>
        </row>
        <row r="1979">
          <cell r="F1979" t="str">
            <v>Kabel Tray (Vertikal)
400 x 100 mm TRC
Hot Dip Galvanized
dan aksesoris</v>
          </cell>
          <cell r="G1979" t="str">
            <v>Unit</v>
          </cell>
          <cell r="H1979">
            <v>370000</v>
          </cell>
        </row>
        <row r="1980">
          <cell r="F1980" t="str">
            <v>Kabel Tray (Vertikal)
400 x 100 mm TRC
OCP dan aksesoris</v>
          </cell>
          <cell r="G1980" t="str">
            <v xml:space="preserve">Unit </v>
          </cell>
          <cell r="H1980">
            <v>380000</v>
          </cell>
        </row>
        <row r="1981">
          <cell r="F1981" t="str">
            <v>Kabel Tray (Vertikal)
300 x 100 mm TRU
Hot Dip Galvanized
dan aksesoris</v>
          </cell>
          <cell r="G1981" t="str">
            <v>Unit</v>
          </cell>
          <cell r="H1981">
            <v>340000</v>
          </cell>
        </row>
        <row r="1982">
          <cell r="F1982" t="str">
            <v>Kabel Tray (Vertikal)
300 x 100 mm TRU
OCP dan aksesoris</v>
          </cell>
          <cell r="G1982" t="str">
            <v xml:space="preserve">Unit </v>
          </cell>
          <cell r="H1982">
            <v>350000</v>
          </cell>
        </row>
        <row r="1983">
          <cell r="F1983" t="str">
            <v>Kabel Tray (Vertikal)
300 x 100 mm TRC
Powder Coating dan
aksesoris</v>
          </cell>
          <cell r="G1983" t="str">
            <v>Unit</v>
          </cell>
          <cell r="H1983">
            <v>360000</v>
          </cell>
        </row>
        <row r="1984">
          <cell r="F1984" t="str">
            <v>Kabel Tray (Vertikal)
300 x 100 mm TRC
Hot Dip Galvanized
dan aksesoris</v>
          </cell>
          <cell r="G1984" t="str">
            <v xml:space="preserve">Unit </v>
          </cell>
          <cell r="H1984">
            <v>370000</v>
          </cell>
        </row>
        <row r="1985">
          <cell r="F1985" t="str">
            <v>Kabel Tray (Vertikal)
300 x 100 mm TRC
OCP dan aksesoris</v>
          </cell>
          <cell r="G1985" t="str">
            <v>Unit</v>
          </cell>
          <cell r="H1985">
            <v>380000</v>
          </cell>
        </row>
        <row r="1986">
          <cell r="F1986" t="str">
            <v>Kabel Tray (Vertikal)
200 x 100 mm TRU
Hot Dip Galvanized
dan aksesoris</v>
          </cell>
          <cell r="G1986" t="str">
            <v xml:space="preserve">Unit </v>
          </cell>
          <cell r="H1986">
            <v>330000</v>
          </cell>
        </row>
        <row r="1987">
          <cell r="F1987" t="str">
            <v>Kabel Tray (Vertikal)
200 x 100 mm TRU
OCP dan aksesoris</v>
          </cell>
          <cell r="G1987" t="str">
            <v>Unit</v>
          </cell>
          <cell r="H1987">
            <v>340000</v>
          </cell>
        </row>
        <row r="1988">
          <cell r="F1988" t="str">
            <v>Kabel Tray (Vertikal)
200 x 100 mm TRC
Powder Coating dan
aksesoris</v>
          </cell>
          <cell r="G1988" t="str">
            <v xml:space="preserve">Unit </v>
          </cell>
          <cell r="H1988">
            <v>350000</v>
          </cell>
        </row>
        <row r="1989">
          <cell r="F1989" t="str">
            <v>Kabel Tray (Vertikal)
200 x 100 mm TRC
Hot Dip Galvanized
dan aksesoris</v>
          </cell>
          <cell r="G1989" t="str">
            <v>Unit</v>
          </cell>
          <cell r="H1989">
            <v>360000</v>
          </cell>
        </row>
        <row r="1990">
          <cell r="F1990" t="str">
            <v>Kabel Tray (Vertikal)
200 x 100 mm TRC
OCP dan aksesoris</v>
          </cell>
          <cell r="G1990" t="str">
            <v xml:space="preserve">Unit </v>
          </cell>
          <cell r="H1990">
            <v>370000</v>
          </cell>
        </row>
        <row r="1991">
          <cell r="F1991" t="str">
            <v>Kabel Tray (Vertikal)
150 x 100 mm TRU
Powder Coating dan
aksesoris</v>
          </cell>
          <cell r="G1991" t="str">
            <v>Unit</v>
          </cell>
          <cell r="H1991">
            <v>330000</v>
          </cell>
        </row>
        <row r="1992">
          <cell r="F1992" t="str">
            <v>Kabel Tray (Vertikal)
150 x 100 mm TRU
Hot Dip Galvanized
dan aksesoris</v>
          </cell>
          <cell r="G1992" t="str">
            <v xml:space="preserve">Unit </v>
          </cell>
          <cell r="H1992">
            <v>340000</v>
          </cell>
        </row>
        <row r="1993">
          <cell r="F1993" t="str">
            <v>Kabel Tray (Vertikal)
150 x 100 mm TRU
OCP dan aksesoris</v>
          </cell>
          <cell r="G1993" t="str">
            <v>Unit</v>
          </cell>
          <cell r="H1993">
            <v>350000</v>
          </cell>
        </row>
        <row r="1994">
          <cell r="F1994" t="str">
            <v>Kabel Tray (Vertikal)
150 x 100 mm TRC
Powder Coating dan
aksesoris</v>
          </cell>
          <cell r="G1994" t="str">
            <v xml:space="preserve">Unit </v>
          </cell>
          <cell r="H1994">
            <v>360000</v>
          </cell>
        </row>
        <row r="1995">
          <cell r="F1995" t="str">
            <v>Kabel Tray (Vertikal)
150 x 100 mm TRC
Hot Dip Galvanized
dan aksesoris</v>
          </cell>
          <cell r="G1995" t="str">
            <v>Unit</v>
          </cell>
          <cell r="H1995">
            <v>370000</v>
          </cell>
        </row>
        <row r="1996">
          <cell r="F1996" t="str">
            <v>Kabel Tray (Vertikal)
150 x 100 mm TRC
OCP dan aksesoris</v>
          </cell>
          <cell r="G1996" t="str">
            <v xml:space="preserve">Unit </v>
          </cell>
          <cell r="H1996">
            <v>380000</v>
          </cell>
        </row>
        <row r="1997">
          <cell r="F1997" t="str">
            <v>Kabel tray 200 x 100 mm</v>
          </cell>
          <cell r="G1997" t="str">
            <v>m'</v>
          </cell>
          <cell r="H1997">
            <v>175000</v>
          </cell>
        </row>
        <row r="1998">
          <cell r="F1998" t="str">
            <v>Kabel tray 300 x 100 mm</v>
          </cell>
          <cell r="G1998" t="str">
            <v>m'</v>
          </cell>
          <cell r="H1998">
            <v>219000</v>
          </cell>
        </row>
        <row r="1999">
          <cell r="F1999" t="str">
            <v>Kabel tray 400 x 100 mm</v>
          </cell>
          <cell r="G1999" t="str">
            <v>m'</v>
          </cell>
          <cell r="H1999">
            <v>265000</v>
          </cell>
        </row>
        <row r="2000">
          <cell r="F2000" t="str">
            <v>Kabel tray 500 x 100 mm</v>
          </cell>
          <cell r="G2000" t="str">
            <v>m'</v>
          </cell>
          <cell r="H2000">
            <v>309000</v>
          </cell>
        </row>
        <row r="2001">
          <cell r="F2001" t="str">
            <v>Kabel tray 600 x 100 mm</v>
          </cell>
          <cell r="G2001" t="str">
            <v>m'</v>
          </cell>
          <cell r="H2001">
            <v>352000</v>
          </cell>
        </row>
        <row r="2002">
          <cell r="F2002" t="str">
            <v>Klem kabel tray</v>
          </cell>
          <cell r="G2002" t="str">
            <v>buah</v>
          </cell>
          <cell r="H2002">
            <v>6000</v>
          </cell>
        </row>
        <row r="2003">
          <cell r="F2003" t="str">
            <v>Klem 20 mm</v>
          </cell>
          <cell r="G2003" t="str">
            <v xml:space="preserve">buah </v>
          </cell>
          <cell r="H2003">
            <v>900</v>
          </cell>
        </row>
        <row r="2004">
          <cell r="F2004" t="str">
            <v>Mur baut kabel tray</v>
          </cell>
          <cell r="G2004" t="str">
            <v>buah</v>
          </cell>
          <cell r="H2004">
            <v>1000</v>
          </cell>
        </row>
        <row r="2005">
          <cell r="F2005" t="str">
            <v>PVC conduit HI 20 mm²</v>
          </cell>
          <cell r="G2005" t="str">
            <v>m'</v>
          </cell>
          <cell r="H2005">
            <v>4100</v>
          </cell>
        </row>
        <row r="2006">
          <cell r="F2006" t="str">
            <v>Flexible Conduit 20 mm</v>
          </cell>
          <cell r="G2006" t="str">
            <v>m</v>
          </cell>
          <cell r="H2006">
            <v>5400</v>
          </cell>
        </row>
        <row r="2007">
          <cell r="F2007" t="str">
            <v>PVC conduit HI 32 mm²</v>
          </cell>
          <cell r="G2007" t="str">
            <v>m1</v>
          </cell>
          <cell r="H2007">
            <v>20000</v>
          </cell>
        </row>
        <row r="2008">
          <cell r="F2008" t="str">
            <v xml:space="preserve">Conduit HI 20 mm </v>
          </cell>
          <cell r="G2008" t="str">
            <v>m</v>
          </cell>
          <cell r="H2008">
            <v>4000</v>
          </cell>
        </row>
        <row r="2009">
          <cell r="F2009" t="str">
            <v xml:space="preserve">Saklar Tunggal </v>
          </cell>
          <cell r="G2009" t="str">
            <v xml:space="preserve">buah </v>
          </cell>
          <cell r="H2009">
            <v>24000</v>
          </cell>
        </row>
        <row r="2010">
          <cell r="F2010" t="str">
            <v xml:space="preserve">Saklar Ganda </v>
          </cell>
          <cell r="G2010" t="str">
            <v xml:space="preserve">Buah </v>
          </cell>
          <cell r="H2010">
            <v>33000</v>
          </cell>
        </row>
        <row r="2011">
          <cell r="F2011" t="str">
            <v xml:space="preserve">Saklar Triple </v>
          </cell>
          <cell r="G2011" t="str">
            <v xml:space="preserve">Buag </v>
          </cell>
          <cell r="H2011">
            <v>76000</v>
          </cell>
        </row>
        <row r="2012">
          <cell r="F2012" t="str">
            <v xml:space="preserve">Grid Switch </v>
          </cell>
          <cell r="G2012" t="str">
            <v xml:space="preserve">Buah </v>
          </cell>
          <cell r="H2012">
            <v>108000</v>
          </cell>
        </row>
        <row r="2013">
          <cell r="F2013" t="str">
            <v xml:space="preserve">Grid Switch 4 x 2 Gang </v>
          </cell>
          <cell r="G2013" t="str">
            <v xml:space="preserve">buah </v>
          </cell>
          <cell r="H2013">
            <v>180000</v>
          </cell>
        </row>
        <row r="2014">
          <cell r="F2014" t="str">
            <v xml:space="preserve">Stop Kontak </v>
          </cell>
          <cell r="G2014" t="str">
            <v xml:space="preserve">Buah </v>
          </cell>
          <cell r="H2014">
            <v>70000</v>
          </cell>
        </row>
        <row r="2015">
          <cell r="F2015" t="str">
            <v>Stop Kontak AC</v>
          </cell>
          <cell r="G2015" t="str">
            <v xml:space="preserve">buah </v>
          </cell>
          <cell r="H2015">
            <v>67900</v>
          </cell>
        </row>
        <row r="2016">
          <cell r="F2016" t="str">
            <v xml:space="preserve">T Dus </v>
          </cell>
          <cell r="G2016" t="str">
            <v xml:space="preserve">buah </v>
          </cell>
          <cell r="H2016">
            <v>4000</v>
          </cell>
        </row>
        <row r="2017">
          <cell r="F2017" t="str">
            <v>Socket Conduit 20 mm</v>
          </cell>
          <cell r="G2017" t="str">
            <v xml:space="preserve">buah </v>
          </cell>
          <cell r="H2017">
            <v>700</v>
          </cell>
        </row>
        <row r="2018">
          <cell r="F2018" t="str">
            <v xml:space="preserve">Klem 20 mm </v>
          </cell>
          <cell r="G2018" t="str">
            <v xml:space="preserve">buah </v>
          </cell>
          <cell r="H2018">
            <v>298</v>
          </cell>
        </row>
        <row r="2019">
          <cell r="F2019" t="str">
            <v xml:space="preserve">Isolasi </v>
          </cell>
          <cell r="G2019" t="str">
            <v>m</v>
          </cell>
          <cell r="H2019">
            <v>416</v>
          </cell>
        </row>
        <row r="2020">
          <cell r="F2020" t="str">
            <v xml:space="preserve">lasdop </v>
          </cell>
          <cell r="G2020" t="str">
            <v xml:space="preserve">buah </v>
          </cell>
          <cell r="H2020">
            <v>580</v>
          </cell>
        </row>
        <row r="2021">
          <cell r="F2021" t="str">
            <v xml:space="preserve">Elbow </v>
          </cell>
          <cell r="G2021" t="str">
            <v xml:space="preserve">buah </v>
          </cell>
          <cell r="H2021">
            <v>550</v>
          </cell>
        </row>
        <row r="2022">
          <cell r="F2022" t="str">
            <v xml:space="preserve">Fischer S6 + Sekrup </v>
          </cell>
          <cell r="G2022" t="str">
            <v xml:space="preserve">buah </v>
          </cell>
          <cell r="H2022">
            <v>21.5</v>
          </cell>
        </row>
        <row r="2023">
          <cell r="F2023" t="str">
            <v xml:space="preserve">kWh meter Token 1 Phase </v>
          </cell>
          <cell r="G2023" t="str">
            <v xml:space="preserve">unit </v>
          </cell>
          <cell r="H2023">
            <v>534000</v>
          </cell>
        </row>
        <row r="2024">
          <cell r="F2024" t="str">
            <v xml:space="preserve">kWh meter Token 3 Phase </v>
          </cell>
          <cell r="G2024" t="str">
            <v xml:space="preserve">unit </v>
          </cell>
          <cell r="H2024">
            <v>3150000</v>
          </cell>
        </row>
        <row r="2025">
          <cell r="F2025" t="str">
            <v xml:space="preserve">Software sistem kwh meter swakelola prabayar </v>
          </cell>
          <cell r="G2025" t="str">
            <v xml:space="preserve">buah </v>
          </cell>
          <cell r="H2025">
            <v>2000000</v>
          </cell>
        </row>
        <row r="2026">
          <cell r="F2026" t="str">
            <v xml:space="preserve">PC Server </v>
          </cell>
          <cell r="G2026" t="str">
            <v xml:space="preserve">buah </v>
          </cell>
          <cell r="H2026">
            <v>33900000</v>
          </cell>
        </row>
        <row r="2027">
          <cell r="F2027" t="str">
            <v>Panel Utama Tegangan Menengah</v>
          </cell>
          <cell r="G2027" t="str">
            <v xml:space="preserve">unit </v>
          </cell>
          <cell r="H2027">
            <v>3100000</v>
          </cell>
        </row>
        <row r="2028">
          <cell r="F2028" t="str">
            <v>Panel Utama Tegangan Rendah</v>
          </cell>
          <cell r="G2028" t="str">
            <v xml:space="preserve">unit </v>
          </cell>
          <cell r="H2028">
            <v>1500000</v>
          </cell>
        </row>
        <row r="2029">
          <cell r="F2029" t="str">
            <v>MDP Floor Standing</v>
          </cell>
          <cell r="G2029" t="str">
            <v xml:space="preserve">unit </v>
          </cell>
          <cell r="H2029">
            <v>4500000</v>
          </cell>
        </row>
        <row r="2030">
          <cell r="F2030" t="str">
            <v xml:space="preserve">MDP Wall Mounted </v>
          </cell>
          <cell r="G2030" t="str">
            <v xml:space="preserve">Unit </v>
          </cell>
          <cell r="H2030">
            <v>4900000</v>
          </cell>
        </row>
        <row r="2031">
          <cell r="F2031" t="str">
            <v xml:space="preserve">SDP Floor Standing </v>
          </cell>
          <cell r="G2031" t="str">
            <v>unit</v>
          </cell>
          <cell r="H2031">
            <v>3500000</v>
          </cell>
        </row>
        <row r="2032">
          <cell r="F2032" t="str">
            <v xml:space="preserve">SDP Wall  Mounted </v>
          </cell>
          <cell r="G2032" t="str">
            <v>unit</v>
          </cell>
          <cell r="H2032">
            <v>3300000</v>
          </cell>
        </row>
        <row r="2033">
          <cell r="F2033" t="str">
            <v>Panel Lantai Wall Mounted 800x600x200</v>
          </cell>
          <cell r="G2033" t="str">
            <v xml:space="preserve">Unit </v>
          </cell>
          <cell r="H2033">
            <v>3200000</v>
          </cell>
        </row>
        <row r="2034">
          <cell r="F2034" t="str">
            <v>Panel Lantai Wall Mounted 600x 400 x200</v>
          </cell>
          <cell r="G2034" t="str">
            <v>unit</v>
          </cell>
          <cell r="H2034">
            <v>3000000</v>
          </cell>
        </row>
        <row r="2035">
          <cell r="F2035" t="str">
            <v xml:space="preserve">Panel kWh Meter </v>
          </cell>
          <cell r="G2035" t="str">
            <v>unit</v>
          </cell>
          <cell r="H2035">
            <v>2500000</v>
          </cell>
        </row>
        <row r="2036">
          <cell r="F2036" t="str">
            <v xml:space="preserve">Panel Penerang Luar Outdoor termasuk material batu </v>
          </cell>
          <cell r="G2036" t="str">
            <v>Unit</v>
          </cell>
          <cell r="H2036">
            <v>3500000</v>
          </cell>
        </row>
        <row r="2037">
          <cell r="F2037" t="str">
            <v>Panel Kontrol Pompa</v>
          </cell>
          <cell r="G2037" t="str">
            <v>unit</v>
          </cell>
          <cell r="H2037">
            <v>5500000</v>
          </cell>
        </row>
        <row r="2038">
          <cell r="F2038" t="str">
            <v>Panel Power Gondola termasuk material bantu</v>
          </cell>
          <cell r="G2038" t="str">
            <v xml:space="preserve">unit </v>
          </cell>
          <cell r="H2038">
            <v>5700000</v>
          </cell>
        </row>
        <row r="2039">
          <cell r="F2039" t="str">
            <v>Panel Power Elektronik termasuk material bantu</v>
          </cell>
          <cell r="G2039" t="str">
            <v>unit</v>
          </cell>
          <cell r="H2039">
            <v>3500000</v>
          </cell>
        </row>
        <row r="2040">
          <cell r="F2040" t="str">
            <v xml:space="preserve">Panel Power AHU termasuk material bantu </v>
          </cell>
          <cell r="G2040" t="str">
            <v xml:space="preserve">unit </v>
          </cell>
          <cell r="H2040">
            <v>4900000</v>
          </cell>
        </row>
        <row r="2041">
          <cell r="F2041" t="str">
            <v xml:space="preserve">Panel Power AC termasuk material bantu </v>
          </cell>
          <cell r="G2041" t="str">
            <v xml:space="preserve">unit </v>
          </cell>
          <cell r="H2041">
            <v>1700000</v>
          </cell>
        </row>
        <row r="2042">
          <cell r="F2042" t="str">
            <v xml:space="preserve">Panel Power Chiller termasuk material bantu </v>
          </cell>
          <cell r="G2042" t="str">
            <v xml:space="preserve">unit </v>
          </cell>
          <cell r="H2042">
            <v>2300000</v>
          </cell>
        </row>
        <row r="2043">
          <cell r="F2043" t="str">
            <v>Panel Kontrol Power Chiller termasuk material bantu</v>
          </cell>
          <cell r="G2043" t="str">
            <v xml:space="preserve">unit </v>
          </cell>
          <cell r="H2043">
            <v>2500000</v>
          </cell>
        </row>
        <row r="2044">
          <cell r="F2044" t="str">
            <v xml:space="preserve">Panel Kontrol Power Cooling Tower termasuk material bantu </v>
          </cell>
          <cell r="G2044" t="str">
            <v xml:space="preserve">unit </v>
          </cell>
          <cell r="H2044">
            <v>1900000</v>
          </cell>
        </row>
        <row r="2045">
          <cell r="F2045" t="str">
            <v>Panel Kontrol Fan Presurisasi termasuk material bantu</v>
          </cell>
          <cell r="G2045" t="str">
            <v xml:space="preserve">unit </v>
          </cell>
          <cell r="H2045">
            <v>2100000</v>
          </cell>
        </row>
        <row r="2046">
          <cell r="F2046" t="str">
            <v xml:space="preserve">MCB Box </v>
          </cell>
          <cell r="G2046" t="str">
            <v xml:space="preserve">unit </v>
          </cell>
          <cell r="H2046">
            <v>450000</v>
          </cell>
        </row>
        <row r="2047">
          <cell r="F2047" t="str">
            <v xml:space="preserve">Genset Kap : 75kVA Silent Type dan aksesoris </v>
          </cell>
          <cell r="G2047" t="str">
            <v>unit</v>
          </cell>
          <cell r="H2047">
            <v>75000000</v>
          </cell>
        </row>
        <row r="2048">
          <cell r="F2048" t="str">
            <v xml:space="preserve">Genset Kap : 100 kVA Silent Type dan aksesoris </v>
          </cell>
          <cell r="G2048" t="str">
            <v xml:space="preserve">unit </v>
          </cell>
          <cell r="H2048">
            <v>79000000</v>
          </cell>
        </row>
        <row r="2049">
          <cell r="F2049" t="str">
            <v xml:space="preserve">Genset Kap : 400 kVA Silent Type dan aksesoris </v>
          </cell>
          <cell r="G2049" t="str">
            <v xml:space="preserve">unit </v>
          </cell>
          <cell r="H2049">
            <v>85000000</v>
          </cell>
        </row>
        <row r="2050">
          <cell r="F2050" t="str">
            <v xml:space="preserve">UPS 5 KVA </v>
          </cell>
          <cell r="G2050" t="str">
            <v xml:space="preserve">unit </v>
          </cell>
          <cell r="H2050">
            <v>18000000</v>
          </cell>
        </row>
        <row r="2051">
          <cell r="F2051" t="str">
            <v xml:space="preserve">Tangki Solar Harian 500 liter </v>
          </cell>
          <cell r="G2051" t="str">
            <v xml:space="preserve">unit </v>
          </cell>
          <cell r="H2051">
            <v>4000000</v>
          </cell>
        </row>
        <row r="2052">
          <cell r="F2052" t="str">
            <v>Hand Pump Solar
dan aksesoris</v>
          </cell>
          <cell r="G2052" t="str">
            <v xml:space="preserve">Buah </v>
          </cell>
          <cell r="H2052">
            <v>4000000</v>
          </cell>
        </row>
        <row r="2053">
          <cell r="F2053" t="str">
            <v>Trafo Kap : 630 Kva : Synthetic Oil Ester</v>
          </cell>
          <cell r="G2053" t="str">
            <v>unit</v>
          </cell>
          <cell r="H2053">
            <v>17000000</v>
          </cell>
        </row>
        <row r="2054">
          <cell r="F2054" t="str">
            <v>Downlight 5 Inch 14, 5 Watt LED + Aksesoris</v>
          </cell>
          <cell r="G2054" t="str">
            <v xml:space="preserve">buah </v>
          </cell>
          <cell r="H2054">
            <v>82000</v>
          </cell>
        </row>
        <row r="2055">
          <cell r="F2055" t="str">
            <v xml:space="preserve">Lampu LED E27 10 watt + Aksesoris </v>
          </cell>
          <cell r="G2055" t="str">
            <v xml:space="preserve">buah </v>
          </cell>
          <cell r="H2055">
            <v>22000</v>
          </cell>
        </row>
        <row r="2056">
          <cell r="F2056" t="str">
            <v xml:space="preserve">Fitting E27 + Aksesoris </v>
          </cell>
          <cell r="G2056" t="str">
            <v xml:space="preserve">buah </v>
          </cell>
          <cell r="H2056">
            <v>5200</v>
          </cell>
        </row>
        <row r="2057">
          <cell r="F2057" t="str">
            <v xml:space="preserve">Nicad Battery </v>
          </cell>
          <cell r="G2057" t="str">
            <v>buah</v>
          </cell>
          <cell r="H2057">
            <v>110000</v>
          </cell>
        </row>
        <row r="2058">
          <cell r="F2058" t="str">
            <v>Lampu LED E27 19 watt</v>
          </cell>
          <cell r="G2058" t="str">
            <v xml:space="preserve">buah </v>
          </cell>
          <cell r="H2058">
            <v>70500</v>
          </cell>
        </row>
        <row r="2059">
          <cell r="F2059" t="str">
            <v>RM TKI 2 x 16 Watt LED</v>
          </cell>
          <cell r="G2059" t="str">
            <v>unit</v>
          </cell>
          <cell r="H2059">
            <v>265000</v>
          </cell>
        </row>
        <row r="2060">
          <cell r="F2060" t="str">
            <v>Lampu Sorot LED 100 Watt</v>
          </cell>
          <cell r="G2060" t="str">
            <v xml:space="preserve">unit </v>
          </cell>
          <cell r="H2060">
            <v>125000</v>
          </cell>
        </row>
        <row r="2061">
          <cell r="F2061" t="str">
            <v xml:space="preserve">Lampu Sorot RGB 30 Watt untuk Outdoor </v>
          </cell>
          <cell r="G2061" t="str">
            <v xml:space="preserve">unit </v>
          </cell>
          <cell r="H2061">
            <v>34000</v>
          </cell>
        </row>
        <row r="2062">
          <cell r="F2062" t="str">
            <v xml:space="preserve">Pelindung Lampu </v>
          </cell>
          <cell r="G2062" t="str">
            <v xml:space="preserve">unit </v>
          </cell>
          <cell r="H2062">
            <v>18000</v>
          </cell>
        </row>
        <row r="2063">
          <cell r="F2063" t="str">
            <v xml:space="preserve">Lampu High Bay 100 Watt </v>
          </cell>
          <cell r="G2063" t="str">
            <v xml:space="preserve">unit </v>
          </cell>
          <cell r="H2063">
            <v>1620000</v>
          </cell>
        </row>
        <row r="2064">
          <cell r="F2064" t="str">
            <v xml:space="preserve">Lampu Eksit LED 3 Watt c/w Battery </v>
          </cell>
          <cell r="G2064" t="str">
            <v xml:space="preserve">buah </v>
          </cell>
          <cell r="H2064">
            <v>148000</v>
          </cell>
        </row>
        <row r="2065">
          <cell r="F2065" t="str">
            <v xml:space="preserve">Lampu TLED 1  x 14 Watt 2.100 Lumen </v>
          </cell>
          <cell r="G2065" t="str">
            <v>buah</v>
          </cell>
          <cell r="H2065">
            <v>65000</v>
          </cell>
        </row>
        <row r="2066">
          <cell r="F2066" t="str">
            <v>Lampu TLED 1 x 24 Watt 2.100 Lumen</v>
          </cell>
          <cell r="G2066" t="str">
            <v xml:space="preserve">buah </v>
          </cell>
          <cell r="H2066">
            <v>72000</v>
          </cell>
        </row>
        <row r="2067">
          <cell r="F2067" t="str">
            <v>Lampu TLED 2 x 24 Watt 2.100 Lumen</v>
          </cell>
          <cell r="G2067" t="str">
            <v xml:space="preserve">buah </v>
          </cell>
          <cell r="H2067">
            <v>144000</v>
          </cell>
        </row>
        <row r="2068">
          <cell r="F2068" t="str">
            <v xml:space="preserve">Lampu PJU LED 50 Watt </v>
          </cell>
          <cell r="G2068" t="str">
            <v xml:space="preserve">buah </v>
          </cell>
          <cell r="H2068">
            <v>495000</v>
          </cell>
        </row>
        <row r="2069">
          <cell r="F2069" t="str">
            <v>Tiang PJU Kawasan 6-7 m</v>
          </cell>
          <cell r="G2069" t="str">
            <v xml:space="preserve">buah </v>
          </cell>
          <cell r="H2069">
            <v>2000000</v>
          </cell>
        </row>
        <row r="2070">
          <cell r="F2070" t="str">
            <v>Lampu PJU LED 50 Watt + Solar Cell</v>
          </cell>
          <cell r="G2070" t="str">
            <v xml:space="preserve">buah </v>
          </cell>
          <cell r="H2070">
            <v>700000</v>
          </cell>
        </row>
        <row r="2071">
          <cell r="F2071" t="str">
            <v>Lampu Taman 25 Watt +Tiang 1 m</v>
          </cell>
          <cell r="G2071" t="str">
            <v xml:space="preserve">buah </v>
          </cell>
          <cell r="H2071">
            <v>155000</v>
          </cell>
        </row>
        <row r="2072">
          <cell r="F2072" t="str">
            <v>Fitting</v>
          </cell>
          <cell r="G2072" t="str">
            <v xml:space="preserve">buah </v>
          </cell>
          <cell r="H2072">
            <v>16000</v>
          </cell>
        </row>
        <row r="2073">
          <cell r="F2073" t="str">
            <v xml:space="preserve">Lampu LED 7 Watt </v>
          </cell>
          <cell r="G2073" t="str">
            <v xml:space="preserve">buah </v>
          </cell>
          <cell r="H2073">
            <v>27000</v>
          </cell>
        </row>
        <row r="2074">
          <cell r="F2074" t="str">
            <v xml:space="preserve">Lampu LED 9 Watt </v>
          </cell>
          <cell r="G2074" t="str">
            <v xml:space="preserve">buah </v>
          </cell>
          <cell r="H2074">
            <v>34000</v>
          </cell>
        </row>
        <row r="2075">
          <cell r="F2075" t="str">
            <v>Lampu Baret 20 Watt</v>
          </cell>
          <cell r="G2075" t="str">
            <v xml:space="preserve">buah </v>
          </cell>
          <cell r="H2075">
            <v>77000</v>
          </cell>
        </row>
        <row r="2076">
          <cell r="F2076" t="str">
            <v>Lampu Baret 32 Watt</v>
          </cell>
          <cell r="H2076">
            <v>97000</v>
          </cell>
        </row>
        <row r="2077">
          <cell r="F2077" t="str">
            <v xml:space="preserve">Lampu Pijar 40 Watt </v>
          </cell>
          <cell r="H2077">
            <v>28000</v>
          </cell>
        </row>
        <row r="2078">
          <cell r="F2078" t="str">
            <v xml:space="preserve">Lampu TL 18 Watt </v>
          </cell>
          <cell r="H2078">
            <v>20000</v>
          </cell>
        </row>
        <row r="2079">
          <cell r="F2079" t="str">
            <v xml:space="preserve">Lampu TLED 18 Watt </v>
          </cell>
          <cell r="H2079">
            <v>30000</v>
          </cell>
        </row>
        <row r="2080">
          <cell r="F2080" t="str">
            <v>Lampu TL  36 Watt</v>
          </cell>
          <cell r="H2080">
            <v>25000</v>
          </cell>
        </row>
        <row r="2081">
          <cell r="F2081" t="str">
            <v>Lampu TLED  36 Watt</v>
          </cell>
          <cell r="H2081">
            <v>75000</v>
          </cell>
        </row>
        <row r="2082">
          <cell r="F2082" t="str">
            <v xml:space="preserve">Lampu Sport Floodlight Led </v>
          </cell>
          <cell r="G2082" t="str">
            <v xml:space="preserve">buah </v>
          </cell>
          <cell r="H2082">
            <v>375000</v>
          </cell>
        </row>
        <row r="2083">
          <cell r="F2083" t="str">
            <v xml:space="preserve">Brackket </v>
          </cell>
          <cell r="G2083" t="str">
            <v xml:space="preserve">buah </v>
          </cell>
          <cell r="H2083">
            <v>11500</v>
          </cell>
        </row>
        <row r="2084">
          <cell r="F2084" t="str">
            <v xml:space="preserve">Junction Box IP Rated </v>
          </cell>
          <cell r="G2084" t="str">
            <v xml:space="preserve">buah </v>
          </cell>
          <cell r="H2084">
            <v>142000</v>
          </cell>
        </row>
        <row r="2085">
          <cell r="F2085" t="str">
            <v xml:space="preserve">Kabel Fiber Optic Dual Core Single Mode </v>
          </cell>
          <cell r="G2085" t="str">
            <v>m'</v>
          </cell>
          <cell r="H2085">
            <v>11300</v>
          </cell>
        </row>
        <row r="2086">
          <cell r="F2086" t="str">
            <v>Pipa HDPE Conduit 20 mm</v>
          </cell>
          <cell r="G2086" t="str">
            <v>m'</v>
          </cell>
          <cell r="H2086">
            <v>3800</v>
          </cell>
        </row>
        <row r="2087">
          <cell r="F2087" t="str">
            <v>DMX LED Controller 1 Universe</v>
          </cell>
          <cell r="G2087" t="str">
            <v xml:space="preserve">buah </v>
          </cell>
          <cell r="H2087">
            <v>1400000</v>
          </cell>
        </row>
        <row r="2088">
          <cell r="F2088" t="str">
            <v xml:space="preserve">Sensor Cahaya </v>
          </cell>
          <cell r="G2088" t="str">
            <v xml:space="preserve">buah </v>
          </cell>
          <cell r="H2088">
            <v>58000</v>
          </cell>
        </row>
        <row r="2089">
          <cell r="F2089" t="str">
            <v xml:space="preserve">Sensor Gerak </v>
          </cell>
          <cell r="G2089" t="str">
            <v xml:space="preserve">buah </v>
          </cell>
          <cell r="H2089">
            <v>65900</v>
          </cell>
        </row>
        <row r="2090">
          <cell r="F2090" t="str">
            <v>MCP-FA (Semi Addressable 1 Loop)</v>
          </cell>
          <cell r="G2090" t="str">
            <v>unit</v>
          </cell>
          <cell r="H2090">
            <v>26250000</v>
          </cell>
        </row>
        <row r="2091">
          <cell r="F2091" t="str">
            <v>Programming, Testing &amp; commisioning</v>
          </cell>
          <cell r="G2091" t="str">
            <v xml:space="preserve">lot </v>
          </cell>
          <cell r="H2091">
            <v>3500000</v>
          </cell>
        </row>
        <row r="2092">
          <cell r="F2092" t="str">
            <v xml:space="preserve">PC Komputer </v>
          </cell>
          <cell r="G2092" t="str">
            <v xml:space="preserve">Unit </v>
          </cell>
          <cell r="H2092">
            <v>3500000</v>
          </cell>
        </row>
        <row r="2093">
          <cell r="F2093" t="str">
            <v xml:space="preserve">Alarm Printer </v>
          </cell>
          <cell r="G2093" t="str">
            <v>unit</v>
          </cell>
          <cell r="H2093">
            <v>2500000</v>
          </cell>
        </row>
        <row r="2094">
          <cell r="F2094" t="str">
            <v>Report Printer</v>
          </cell>
          <cell r="G2094" t="str">
            <v>unit</v>
          </cell>
          <cell r="H2094">
            <v>1900000</v>
          </cell>
        </row>
        <row r="2095">
          <cell r="F2095" t="str">
            <v>Announciator</v>
          </cell>
          <cell r="G2095" t="str">
            <v>unit</v>
          </cell>
          <cell r="H2095">
            <v>2100000</v>
          </cell>
        </row>
        <row r="2096">
          <cell r="F2096" t="str">
            <v xml:space="preserve">Terminal Box Fire Alarm </v>
          </cell>
          <cell r="G2096" t="str">
            <v xml:space="preserve">unit </v>
          </cell>
          <cell r="H2096">
            <v>265000</v>
          </cell>
        </row>
        <row r="2097">
          <cell r="F2097" t="str">
            <v xml:space="preserve">Smoke Detector Addressable </v>
          </cell>
          <cell r="G2097" t="str">
            <v>Unit</v>
          </cell>
          <cell r="H2097">
            <v>780000</v>
          </cell>
        </row>
        <row r="2098">
          <cell r="F2098" t="str">
            <v xml:space="preserve">Rate of Rise Detector Addressable </v>
          </cell>
          <cell r="G2098" t="str">
            <v xml:space="preserve">unit </v>
          </cell>
          <cell r="H2098">
            <v>343000</v>
          </cell>
        </row>
        <row r="2099">
          <cell r="F2099" t="str">
            <v xml:space="preserve">Fix Heat Detector Addressable </v>
          </cell>
          <cell r="G2099" t="str">
            <v xml:space="preserve">unit </v>
          </cell>
          <cell r="H2099">
            <v>318000</v>
          </cell>
        </row>
        <row r="2100">
          <cell r="F2100" t="str">
            <v xml:space="preserve">Smoke Detector Konvensional </v>
          </cell>
          <cell r="G2100" t="str">
            <v xml:space="preserve">unit </v>
          </cell>
          <cell r="H2100">
            <v>245000</v>
          </cell>
        </row>
        <row r="2101">
          <cell r="F2101" t="str">
            <v>Rate of Rise Detector Konvensional</v>
          </cell>
          <cell r="G2101" t="str">
            <v xml:space="preserve">unit </v>
          </cell>
          <cell r="H2101">
            <v>240000</v>
          </cell>
        </row>
        <row r="2102">
          <cell r="F2102" t="str">
            <v>Fix Heat Detector Konvensioanl</v>
          </cell>
          <cell r="G2102" t="str">
            <v xml:space="preserve">unit </v>
          </cell>
          <cell r="H2102">
            <v>290000</v>
          </cell>
        </row>
        <row r="2103">
          <cell r="F2103" t="str">
            <v xml:space="preserve">Lamp Indicator </v>
          </cell>
          <cell r="G2103" t="str">
            <v xml:space="preserve">unit </v>
          </cell>
          <cell r="H2103">
            <v>57000</v>
          </cell>
        </row>
        <row r="2104">
          <cell r="F2104" t="str">
            <v>Manual Break Glass</v>
          </cell>
          <cell r="G2104" t="str">
            <v xml:space="preserve">unit </v>
          </cell>
          <cell r="H2104">
            <v>60000</v>
          </cell>
        </row>
        <row r="2105">
          <cell r="F2105" t="str">
            <v>Horn Strobe</v>
          </cell>
          <cell r="G2105" t="str">
            <v xml:space="preserve">unit </v>
          </cell>
          <cell r="H2105">
            <v>175000</v>
          </cell>
        </row>
        <row r="2106">
          <cell r="F2106" t="str">
            <v xml:space="preserve">Fire Fighting Telepon </v>
          </cell>
          <cell r="G2106" t="str">
            <v xml:space="preserve">unit </v>
          </cell>
          <cell r="H2106">
            <v>135000</v>
          </cell>
        </row>
        <row r="2107">
          <cell r="F2107" t="str">
            <v>Alarm Bell</v>
          </cell>
          <cell r="G2107" t="str">
            <v xml:space="preserve">unit </v>
          </cell>
          <cell r="H2107">
            <v>85000</v>
          </cell>
        </row>
        <row r="2108">
          <cell r="F2108" t="str">
            <v xml:space="preserve">Sirine Module </v>
          </cell>
          <cell r="G2108" t="str">
            <v>buah</v>
          </cell>
          <cell r="H2108">
            <v>650000</v>
          </cell>
        </row>
        <row r="2109">
          <cell r="F2109" t="str">
            <v>Control Module</v>
          </cell>
          <cell r="G2109" t="str">
            <v>Buah</v>
          </cell>
          <cell r="H2109">
            <v>350000</v>
          </cell>
        </row>
        <row r="2110">
          <cell r="F2110" t="str">
            <v>Relay Module</v>
          </cell>
          <cell r="G2110" t="str">
            <v xml:space="preserve">buah </v>
          </cell>
          <cell r="H2110">
            <v>103500</v>
          </cell>
        </row>
        <row r="2111">
          <cell r="F2111" t="str">
            <v xml:space="preserve">Isolator Module </v>
          </cell>
          <cell r="G2111" t="str">
            <v xml:space="preserve">buah </v>
          </cell>
          <cell r="H2111">
            <v>220000</v>
          </cell>
        </row>
        <row r="2112">
          <cell r="F2112" t="str">
            <v>Monitor Module</v>
          </cell>
          <cell r="G2112" t="str">
            <v>buah</v>
          </cell>
          <cell r="H2112">
            <v>200000</v>
          </cell>
        </row>
        <row r="2113">
          <cell r="F2113" t="str">
            <v>Rectifier</v>
          </cell>
          <cell r="G2113" t="str">
            <v>unit</v>
          </cell>
          <cell r="H2113">
            <v>3500000</v>
          </cell>
        </row>
        <row r="2114">
          <cell r="F2114" t="str">
            <v>Power Surge Arrester</v>
          </cell>
          <cell r="G2114" t="str">
            <v>unit</v>
          </cell>
          <cell r="H2114">
            <v>1279000</v>
          </cell>
        </row>
        <row r="2115">
          <cell r="F2115" t="str">
            <v xml:space="preserve">UPS 2 KVA 15 Menit </v>
          </cell>
          <cell r="G2115" t="str">
            <v>unit</v>
          </cell>
          <cell r="H2115">
            <v>3800000</v>
          </cell>
        </row>
        <row r="2116">
          <cell r="F2116" t="str">
            <v>UPS 2 KVA 30 Menit</v>
          </cell>
          <cell r="G2116" t="str">
            <v>unit</v>
          </cell>
          <cell r="H2116">
            <v>4100000</v>
          </cell>
        </row>
        <row r="2117">
          <cell r="F2117" t="str">
            <v>UPS 2 KVA 1 Jam</v>
          </cell>
          <cell r="G2117" t="str">
            <v>unit</v>
          </cell>
          <cell r="H2117">
            <v>4900000</v>
          </cell>
        </row>
        <row r="2118">
          <cell r="F2118" t="str">
            <v>UPS 2 KVA 2 Jam</v>
          </cell>
          <cell r="G2118" t="str">
            <v>unit</v>
          </cell>
          <cell r="H2118">
            <v>5200000</v>
          </cell>
        </row>
        <row r="2119">
          <cell r="F2119" t="str">
            <v>UPS 2 KVA 4 Jam</v>
          </cell>
          <cell r="G2119" t="str">
            <v>unit</v>
          </cell>
          <cell r="H2119">
            <v>5700000</v>
          </cell>
        </row>
        <row r="2120">
          <cell r="F2120" t="str">
            <v xml:space="preserve">End of Line Resistor </v>
          </cell>
          <cell r="G2120" t="str">
            <v>unit</v>
          </cell>
          <cell r="H2120">
            <v>20000</v>
          </cell>
        </row>
        <row r="2121">
          <cell r="F2121" t="str">
            <v>Patch Panel UTP Cat 6 4 Port</v>
          </cell>
          <cell r="G2121" t="str">
            <v>unit</v>
          </cell>
          <cell r="H2121">
            <v>1540000</v>
          </cell>
        </row>
        <row r="2122">
          <cell r="F2122" t="str">
            <v>Wiring Management</v>
          </cell>
          <cell r="H2122">
            <v>110000</v>
          </cell>
        </row>
        <row r="2123">
          <cell r="F2123" t="str">
            <v>PoE Switch HUB</v>
          </cell>
          <cell r="H2123">
            <v>273000</v>
          </cell>
        </row>
        <row r="2124">
          <cell r="F2124" t="str">
            <v>Network  Video Recorder (NVR) Kapasitas 32 Chanel</v>
          </cell>
          <cell r="H2124">
            <v>5500000</v>
          </cell>
        </row>
        <row r="2125">
          <cell r="F2125" t="str">
            <v xml:space="preserve">8 TB Hardisk </v>
          </cell>
          <cell r="H2125">
            <v>1960000</v>
          </cell>
        </row>
        <row r="2126">
          <cell r="F2126" t="str">
            <v xml:space="preserve">Rak 19" 12 U Lengkap dengan Power Outlet </v>
          </cell>
          <cell r="H2126">
            <v>770000</v>
          </cell>
        </row>
        <row r="2127">
          <cell r="F2127" t="str">
            <v>LCD Monitor 32"</v>
          </cell>
          <cell r="H2127">
            <v>2380000</v>
          </cell>
        </row>
        <row r="2128">
          <cell r="F2128" t="str">
            <v>Bracket Monitor 32"</v>
          </cell>
          <cell r="H2128">
            <v>88500</v>
          </cell>
        </row>
        <row r="2129">
          <cell r="F2129" t="str">
            <v>LCD Monitor 50"</v>
          </cell>
          <cell r="H2129">
            <v>3500000</v>
          </cell>
        </row>
        <row r="2130">
          <cell r="F2130" t="str">
            <v>Bracket Monitor 50"</v>
          </cell>
          <cell r="H2130">
            <v>150000</v>
          </cell>
        </row>
        <row r="2131">
          <cell r="F2131" t="str">
            <v xml:space="preserve">Keyboard + Mouse </v>
          </cell>
          <cell r="H2131">
            <v>350000</v>
          </cell>
        </row>
        <row r="2132">
          <cell r="F2132" t="str">
            <v xml:space="preserve">Indoor Fix Dome IP Camera </v>
          </cell>
          <cell r="H2132">
            <v>465000</v>
          </cell>
        </row>
        <row r="2133">
          <cell r="F2133" t="str">
            <v xml:space="preserve">Outdoor Fix Dome IP Camera </v>
          </cell>
          <cell r="H2133">
            <v>504000</v>
          </cell>
        </row>
        <row r="2134">
          <cell r="F2134" t="str">
            <v>MDF-SS</v>
          </cell>
          <cell r="H2134">
            <v>1450000</v>
          </cell>
        </row>
        <row r="2135">
          <cell r="F2135" t="str">
            <v>Selector Switch c/w Control Panel</v>
          </cell>
          <cell r="H2135">
            <v>850000</v>
          </cell>
        </row>
        <row r="2136">
          <cell r="F2136" t="str">
            <v>Power Amplifier 360 Watt</v>
          </cell>
          <cell r="H2136">
            <v>1500000</v>
          </cell>
        </row>
        <row r="2137">
          <cell r="F2137" t="str">
            <v>Power Amplifier 240 Watt</v>
          </cell>
          <cell r="H2137">
            <v>1200000</v>
          </cell>
        </row>
        <row r="2138">
          <cell r="F2138" t="str">
            <v>Power Amplifier 120 Watt</v>
          </cell>
          <cell r="H2138">
            <v>1000000</v>
          </cell>
        </row>
        <row r="2139">
          <cell r="F2139" t="str">
            <v>System Controller (Mixer Pre Amp + Equalizer)</v>
          </cell>
          <cell r="H2139">
            <v>250000</v>
          </cell>
        </row>
        <row r="2140">
          <cell r="F2140" t="str">
            <v>VCD/DVD/MP3/Mp4</v>
          </cell>
          <cell r="H2140">
            <v>250000</v>
          </cell>
        </row>
        <row r="2141">
          <cell r="F2141" t="str">
            <v>Automatic Alarm System</v>
          </cell>
          <cell r="G2141" t="str">
            <v xml:space="preserve">unit </v>
          </cell>
          <cell r="H2141">
            <v>1000000</v>
          </cell>
        </row>
        <row r="2142">
          <cell r="F2142" t="str">
            <v>Paging Mic Keypad</v>
          </cell>
          <cell r="H2142">
            <v>640000</v>
          </cell>
        </row>
        <row r="2143">
          <cell r="F2143" t="str">
            <v xml:space="preserve">UPS 1 KVA 4 Jam </v>
          </cell>
          <cell r="H2143">
            <v>2475000</v>
          </cell>
        </row>
        <row r="2144">
          <cell r="F2144" t="str">
            <v>Rack Cabinet</v>
          </cell>
          <cell r="H2144">
            <v>670000</v>
          </cell>
        </row>
        <row r="2145">
          <cell r="F2145" t="str">
            <v>Terminal Box Tata Suara (TBTS)</v>
          </cell>
          <cell r="H2145">
            <v>75000</v>
          </cell>
        </row>
        <row r="2146">
          <cell r="F2146" t="str">
            <v>Ceiling Speaker</v>
          </cell>
          <cell r="H2146">
            <v>680000</v>
          </cell>
        </row>
        <row r="2147">
          <cell r="F2147" t="str">
            <v>Wall Speaker</v>
          </cell>
          <cell r="H2147">
            <v>650000</v>
          </cell>
        </row>
        <row r="2148">
          <cell r="F2148" t="str">
            <v>Horn Speaker</v>
          </cell>
          <cell r="H2148">
            <v>250000</v>
          </cell>
        </row>
        <row r="2149">
          <cell r="F2149" t="str">
            <v xml:space="preserve">Tiang </v>
          </cell>
          <cell r="G2149" t="str">
            <v>m'</v>
          </cell>
          <cell r="H2149">
            <v>55500</v>
          </cell>
        </row>
        <row r="2150">
          <cell r="F2150" t="str">
            <v>MDF 2 x 8 Pair</v>
          </cell>
          <cell r="G2150" t="str">
            <v>Unit</v>
          </cell>
          <cell r="H2150">
            <v>125000</v>
          </cell>
        </row>
        <row r="2151">
          <cell r="F2151" t="str">
            <v>MDF 2 x 10 Pair</v>
          </cell>
          <cell r="G2151" t="str">
            <v>Unit</v>
          </cell>
          <cell r="H2151">
            <v>150000</v>
          </cell>
        </row>
        <row r="2152">
          <cell r="F2152" t="str">
            <v xml:space="preserve">Pemasangan 1 Unit PABX Kap: 1 Line 10 Extension </v>
          </cell>
          <cell r="G2152" t="str">
            <v xml:space="preserve">Unit </v>
          </cell>
          <cell r="H2152">
            <v>1000000</v>
          </cell>
        </row>
        <row r="2153">
          <cell r="F2153" t="str">
            <v xml:space="preserve">Pemasangan 1 Unit PABX Kap: 1 Line 8 Extension </v>
          </cell>
          <cell r="G2153" t="str">
            <v xml:space="preserve">Unit </v>
          </cell>
          <cell r="H2153">
            <v>870000</v>
          </cell>
        </row>
        <row r="2154">
          <cell r="F2154" t="str">
            <v>Terminal Box Telepon</v>
          </cell>
          <cell r="H2154">
            <v>250000</v>
          </cell>
        </row>
        <row r="2155">
          <cell r="F2155" t="str">
            <v>Outlet Telepon</v>
          </cell>
          <cell r="G2155" t="str">
            <v xml:space="preserve">unit </v>
          </cell>
          <cell r="H2155">
            <v>102000</v>
          </cell>
        </row>
        <row r="2156">
          <cell r="F2156" t="str">
            <v>Server / Gateway c/w PC, Monitor, Keyboard, Mouse</v>
          </cell>
          <cell r="G2156" t="str">
            <v xml:space="preserve">Unit </v>
          </cell>
          <cell r="H2156">
            <v>6500000</v>
          </cell>
        </row>
        <row r="2157">
          <cell r="F2157" t="str">
            <v>Main Switch HUB 24 Port</v>
          </cell>
          <cell r="G2157" t="str">
            <v>unit</v>
          </cell>
          <cell r="H2157">
            <v>950000</v>
          </cell>
        </row>
        <row r="2158">
          <cell r="F2158" t="str">
            <v>Main Switch HUB 12 Port</v>
          </cell>
          <cell r="G2158" t="str">
            <v>unit</v>
          </cell>
          <cell r="H2158">
            <v>650000</v>
          </cell>
        </row>
        <row r="2159">
          <cell r="F2159" t="str">
            <v>Router Broadband</v>
          </cell>
          <cell r="H2159">
            <v>550000</v>
          </cell>
        </row>
        <row r="2160">
          <cell r="F2160" t="str">
            <v>Fire Wall + Anti Virus</v>
          </cell>
          <cell r="H2160">
            <v>250000</v>
          </cell>
        </row>
        <row r="2161">
          <cell r="F2161" t="str">
            <v>Outlet Data</v>
          </cell>
          <cell r="H2161">
            <v>150000</v>
          </cell>
        </row>
        <row r="2162">
          <cell r="F2162" t="str">
            <v>Patch Cord</v>
          </cell>
          <cell r="H2162">
            <v>30000</v>
          </cell>
        </row>
        <row r="2163">
          <cell r="F2163" t="str">
            <v>Patch Panel 24 Port</v>
          </cell>
          <cell r="H2163">
            <v>500000</v>
          </cell>
        </row>
        <row r="2164">
          <cell r="F2164" t="str">
            <v>Wifi Access Point (Wifi 6 Radius 50 M)</v>
          </cell>
          <cell r="H2164">
            <v>1500000</v>
          </cell>
        </row>
        <row r="2165">
          <cell r="F2165" t="str">
            <v>Switch Hub 8 Port</v>
          </cell>
          <cell r="H2165">
            <v>250000</v>
          </cell>
        </row>
        <row r="2166">
          <cell r="F2166" t="str">
            <v xml:space="preserve">Media Converter </v>
          </cell>
          <cell r="H2166">
            <v>110000</v>
          </cell>
        </row>
        <row r="2167">
          <cell r="F2167" t="str">
            <v xml:space="preserve">OTB </v>
          </cell>
          <cell r="H2167">
            <v>150000</v>
          </cell>
        </row>
        <row r="2168">
          <cell r="F2168" t="str">
            <v>Touch Screen Panel 7"</v>
          </cell>
          <cell r="H2168">
            <v>2300000</v>
          </cell>
        </row>
        <row r="2169">
          <cell r="F2169" t="str">
            <v>Touch Screen Panel 10"</v>
          </cell>
          <cell r="H2169">
            <v>2500000</v>
          </cell>
        </row>
        <row r="2170">
          <cell r="F2170" t="str">
            <v>Touch Screen Panel 12"</v>
          </cell>
          <cell r="H2170">
            <v>2900000</v>
          </cell>
        </row>
        <row r="2171">
          <cell r="F2171" t="str">
            <v>Touch Screen Panel 14"</v>
          </cell>
          <cell r="H2171">
            <v>3200000</v>
          </cell>
        </row>
        <row r="2172">
          <cell r="F2172" t="str">
            <v>Wall Mounted Rack 15U</v>
          </cell>
          <cell r="H2172">
            <v>150000</v>
          </cell>
        </row>
        <row r="2173">
          <cell r="F2173" t="str">
            <v>Workstation, Meja+Kursi</v>
          </cell>
          <cell r="H2173">
            <v>2550000</v>
          </cell>
        </row>
        <row r="2174">
          <cell r="F2174" t="str">
            <v xml:space="preserve">Connector </v>
          </cell>
          <cell r="H2174">
            <v>2550</v>
          </cell>
        </row>
        <row r="2175">
          <cell r="F2175" t="str">
            <v>Splitter TV 6 Port</v>
          </cell>
          <cell r="H2175">
            <v>100000</v>
          </cell>
        </row>
        <row r="2176">
          <cell r="F2176" t="str">
            <v>Splitter TV 7 Port</v>
          </cell>
          <cell r="H2176">
            <v>125000</v>
          </cell>
        </row>
        <row r="2177">
          <cell r="F2177" t="str">
            <v>Terminal Bocx TV</v>
          </cell>
          <cell r="H2177">
            <v>250000</v>
          </cell>
        </row>
        <row r="2178">
          <cell r="F2178" t="str">
            <v>Antena UHF</v>
          </cell>
          <cell r="H2178">
            <v>130000</v>
          </cell>
        </row>
        <row r="2179">
          <cell r="F2179" t="str">
            <v>Antena VHF</v>
          </cell>
          <cell r="H2179">
            <v>150000</v>
          </cell>
        </row>
        <row r="2180">
          <cell r="F2180" t="str">
            <v>AC Wall Mounted Kap : 5.000 BTUH</v>
          </cell>
          <cell r="H2180">
            <v>3200000</v>
          </cell>
        </row>
        <row r="2181">
          <cell r="F2181" t="str">
            <v>AC Wall Mounted Kap : 6.500 BTUH</v>
          </cell>
          <cell r="H2181">
            <v>3800000</v>
          </cell>
        </row>
        <row r="2182">
          <cell r="F2182" t="str">
            <v>AC Wall Mounted Kap : 7.000 BTUH</v>
          </cell>
          <cell r="H2182">
            <v>4200000</v>
          </cell>
        </row>
        <row r="2183">
          <cell r="F2183" t="str">
            <v>AC Wall Mounted Kap : 9.000 BTUH</v>
          </cell>
          <cell r="H2183">
            <v>4500000</v>
          </cell>
        </row>
        <row r="2184">
          <cell r="F2184" t="str">
            <v>AC Wall Mounted Kap : 12.000 BTUH</v>
          </cell>
          <cell r="H2184">
            <v>5300000</v>
          </cell>
        </row>
        <row r="2185">
          <cell r="F2185" t="str">
            <v>AC Wall Mounted Kap : 24.000 BTUH</v>
          </cell>
          <cell r="H2185">
            <v>7600000</v>
          </cell>
        </row>
        <row r="2186">
          <cell r="F2186" t="str">
            <v>AC Wall Mounted Kap : 35.000 BTUH</v>
          </cell>
          <cell r="H2186">
            <v>10000000</v>
          </cell>
        </row>
        <row r="2187">
          <cell r="F2187" t="str">
            <v>Ceiling Fan, 50 CFM</v>
          </cell>
          <cell r="H2187">
            <v>900000</v>
          </cell>
        </row>
        <row r="2188">
          <cell r="F2188" t="str">
            <v>Ceiling Fan, 75 CFM</v>
          </cell>
          <cell r="H2188">
            <v>1200000</v>
          </cell>
        </row>
        <row r="2189">
          <cell r="F2189" t="str">
            <v>Ceiling Fan, 100 CFM</v>
          </cell>
          <cell r="H2189">
            <v>1350000</v>
          </cell>
        </row>
        <row r="2190">
          <cell r="F2190" t="str">
            <v>Ceiling Fan, 200 CFM</v>
          </cell>
          <cell r="H2190">
            <v>1500000</v>
          </cell>
        </row>
        <row r="2191">
          <cell r="F2191" t="str">
            <v>Inline  Fan, 500 CFM</v>
          </cell>
          <cell r="H2191">
            <v>1300000</v>
          </cell>
        </row>
        <row r="2192">
          <cell r="F2192" t="str">
            <v>Inline  Fan, 700 CFM</v>
          </cell>
          <cell r="H2192">
            <v>1700000</v>
          </cell>
        </row>
        <row r="2193">
          <cell r="F2193" t="str">
            <v>Axial Fan ; 2.600 CFM</v>
          </cell>
          <cell r="H2193">
            <v>780000</v>
          </cell>
        </row>
        <row r="2194">
          <cell r="F2194" t="str">
            <v>Axial Fan ; 2.800 CFM</v>
          </cell>
          <cell r="H2194">
            <v>860000</v>
          </cell>
        </row>
        <row r="2195">
          <cell r="F2195" t="str">
            <v>Axial Fan ; 3.200 CFM</v>
          </cell>
          <cell r="H2195">
            <v>995000</v>
          </cell>
        </row>
        <row r="2196">
          <cell r="F2196" t="str">
            <v>Axial Fan ; 3.500 CFM</v>
          </cell>
          <cell r="H2196">
            <v>1020000</v>
          </cell>
        </row>
        <row r="2197">
          <cell r="F2197" t="str">
            <v>Axial Fan ; 4.000 CFM</v>
          </cell>
          <cell r="H2197">
            <v>1350000</v>
          </cell>
        </row>
        <row r="2198">
          <cell r="F2198" t="str">
            <v>Axial Fan ; 5.500 CFM</v>
          </cell>
          <cell r="H2198">
            <v>1700000</v>
          </cell>
        </row>
        <row r="2199">
          <cell r="F2199" t="str">
            <v>Rotary Fan</v>
          </cell>
          <cell r="H2199">
            <v>750000</v>
          </cell>
        </row>
        <row r="2200">
          <cell r="F2200" t="str">
            <v>Ceiling Fan Rotary</v>
          </cell>
          <cell r="H2200">
            <v>1500000</v>
          </cell>
        </row>
        <row r="2201">
          <cell r="F2201" t="str">
            <v>Bifurcated Fan; 1.500 CFM</v>
          </cell>
          <cell r="H2201">
            <v>8300000</v>
          </cell>
        </row>
        <row r="2202">
          <cell r="F2202" t="str">
            <v>Propeller Fan, 75 CFM</v>
          </cell>
          <cell r="H2202">
            <v>1800000</v>
          </cell>
        </row>
        <row r="2203">
          <cell r="F2203" t="str">
            <v>Propeller Fan, 100 CFM</v>
          </cell>
          <cell r="H2203">
            <v>2100000</v>
          </cell>
        </row>
        <row r="2204">
          <cell r="F2204" t="str">
            <v>Propeller Fan, 150 CFM</v>
          </cell>
          <cell r="H2204">
            <v>2300000</v>
          </cell>
        </row>
        <row r="2205">
          <cell r="F2205" t="str">
            <v>Propeller Fan, 370 CFM</v>
          </cell>
          <cell r="H2205">
            <v>250000</v>
          </cell>
        </row>
        <row r="2206">
          <cell r="F2206" t="str">
            <v>Propeller Fan, 375 CFM</v>
          </cell>
          <cell r="H2206">
            <v>2900000</v>
          </cell>
        </row>
        <row r="2207">
          <cell r="F2207" t="str">
            <v>Propeller Fan, 500 CFM</v>
          </cell>
          <cell r="H2207">
            <v>3500000</v>
          </cell>
        </row>
        <row r="2208">
          <cell r="F2208" t="str">
            <v>Propeller Fan, 600 CFM</v>
          </cell>
          <cell r="H2208">
            <v>3900000</v>
          </cell>
        </row>
        <row r="2209">
          <cell r="F2209" t="str">
            <v>Propeller Fan, 1200 CFM</v>
          </cell>
          <cell r="H2209">
            <v>4500000</v>
          </cell>
        </row>
        <row r="2210">
          <cell r="F2210" t="str">
            <v>Intake Grille 600 x 300 mm</v>
          </cell>
          <cell r="H2210">
            <v>95000</v>
          </cell>
        </row>
        <row r="2211">
          <cell r="F2211" t="str">
            <v>Intake Grille 650 x 350 mm</v>
          </cell>
          <cell r="H2211">
            <v>115000</v>
          </cell>
        </row>
        <row r="2212">
          <cell r="F2212" t="str">
            <v>Intake Grille 800 x 350 mm</v>
          </cell>
          <cell r="H2212">
            <v>130000</v>
          </cell>
        </row>
        <row r="2213">
          <cell r="F2213" t="str">
            <v>Intake Grille 800 x 400 mm</v>
          </cell>
          <cell r="H2213">
            <v>145000</v>
          </cell>
        </row>
        <row r="2214">
          <cell r="F2214" t="str">
            <v xml:space="preserve"> Intake Louvre 700 x 400 mm</v>
          </cell>
          <cell r="H2214">
            <v>135000</v>
          </cell>
        </row>
        <row r="2215">
          <cell r="F2215" t="str">
            <v xml:space="preserve"> Fan Louvre 750 x 400 mm</v>
          </cell>
          <cell r="H2215">
            <v>150000</v>
          </cell>
        </row>
        <row r="2216">
          <cell r="F2216" t="str">
            <v xml:space="preserve"> Fan Louvre 900 x 500 mm</v>
          </cell>
          <cell r="H2216">
            <v>220000</v>
          </cell>
        </row>
        <row r="2217">
          <cell r="F2217" t="str">
            <v xml:space="preserve"> Fan Louvre 1.000 x 400 mm</v>
          </cell>
          <cell r="H2217">
            <v>250000</v>
          </cell>
        </row>
        <row r="2218">
          <cell r="F2218" t="str">
            <v xml:space="preserve"> Fan Louvre 1.000 x 450 mm</v>
          </cell>
          <cell r="H2218">
            <v>270000</v>
          </cell>
        </row>
        <row r="2219">
          <cell r="F2219" t="str">
            <v>Exhaust Grille 150 x 150 mm</v>
          </cell>
          <cell r="H2219">
            <v>140000</v>
          </cell>
        </row>
        <row r="2220">
          <cell r="F2220" t="str">
            <v>Exhaust Grille 200 x 200 mm</v>
          </cell>
          <cell r="H2220">
            <v>160000</v>
          </cell>
        </row>
        <row r="2221">
          <cell r="F2221" t="str">
            <v>Exhaust Grille 600 x 300 mm</v>
          </cell>
          <cell r="H2221">
            <v>200000</v>
          </cell>
        </row>
        <row r="2222">
          <cell r="F2222" t="str">
            <v>Exhaust Grille 650 x 350 mm</v>
          </cell>
          <cell r="H2222">
            <v>230000</v>
          </cell>
        </row>
        <row r="2223">
          <cell r="F2223" t="str">
            <v>Exhaust Grille 900 x 400 mm</v>
          </cell>
          <cell r="H2223">
            <v>300000</v>
          </cell>
        </row>
        <row r="2224">
          <cell r="F2224" t="str">
            <v>Exhaust Louvre</v>
          </cell>
          <cell r="H2224">
            <v>450000</v>
          </cell>
        </row>
        <row r="2225">
          <cell r="F2225" t="str">
            <v xml:space="preserve">ZINK BJLS </v>
          </cell>
          <cell r="H2225">
            <v>222000</v>
          </cell>
        </row>
        <row r="2226">
          <cell r="F2226" t="str">
            <v xml:space="preserve">Flinkote </v>
          </cell>
          <cell r="G2226" t="str">
            <v xml:space="preserve">lot </v>
          </cell>
          <cell r="H2226">
            <v>56500</v>
          </cell>
        </row>
        <row r="2227">
          <cell r="F2227" t="str">
            <v xml:space="preserve">finish Cat </v>
          </cell>
          <cell r="G2227" t="str">
            <v xml:space="preserve">lot </v>
          </cell>
          <cell r="H2227">
            <v>92000</v>
          </cell>
        </row>
        <row r="2228">
          <cell r="F2228" t="str">
            <v>Hanger + Support</v>
          </cell>
          <cell r="G2228" t="str">
            <v xml:space="preserve">lolt </v>
          </cell>
          <cell r="H2228">
            <v>55000</v>
          </cell>
        </row>
        <row r="2231">
          <cell r="F2231" t="str">
            <v>Bak Kontrol Pemeriksaan dari Batu Bata 45 x 45 x 45 cm + Tutup Beton 45 x 45 x 10 cm</v>
          </cell>
          <cell r="G2231" t="str">
            <v xml:space="preserve">buah </v>
          </cell>
          <cell r="H2231">
            <v>829900</v>
          </cell>
        </row>
        <row r="2232">
          <cell r="F2232" t="str">
            <v>Terminal Busbar 300 x 50 x 5 mm</v>
          </cell>
          <cell r="G2232" t="str">
            <v>buah</v>
          </cell>
          <cell r="H2232">
            <v>135000</v>
          </cell>
        </row>
        <row r="2233">
          <cell r="F2233" t="str">
            <v>Batang Tembaga Pembumian Dia.5/8” (kedalaman min. 12 m)</v>
          </cell>
          <cell r="G2233" t="str">
            <v>batang</v>
          </cell>
          <cell r="H2233">
            <v>1135000</v>
          </cell>
        </row>
        <row r="2234">
          <cell r="F2234" t="str">
            <v>Pantek (kedalaman min. 12 m)</v>
          </cell>
          <cell r="G2234" t="str">
            <v>lot</v>
          </cell>
          <cell r="H2234">
            <v>245000</v>
          </cell>
        </row>
        <row r="2235">
          <cell r="F2235" t="str">
            <v>Kabel BC 95 mm2</v>
          </cell>
          <cell r="G2235" t="str">
            <v>m</v>
          </cell>
          <cell r="H2235">
            <v>145000</v>
          </cell>
        </row>
        <row r="2236">
          <cell r="F2236" t="str">
            <v>Kabel Skun 95 mm2</v>
          </cell>
          <cell r="G2236" t="str">
            <v>m</v>
          </cell>
          <cell r="H2236">
            <v>26400</v>
          </cell>
        </row>
        <row r="2237">
          <cell r="F2237" t="str">
            <v>Rod Coupling</v>
          </cell>
          <cell r="G2237" t="str">
            <v>buah</v>
          </cell>
          <cell r="H2237">
            <v>130000</v>
          </cell>
        </row>
        <row r="2238">
          <cell r="F2238" t="str">
            <v>Material Bantu</v>
          </cell>
          <cell r="G2238" t="str">
            <v>lot</v>
          </cell>
          <cell r="H2238">
            <v>50000</v>
          </cell>
        </row>
        <row r="2239">
          <cell r="F2239" t="str">
            <v>Batang Tembaga Pembumian Dia.3/4” (kedalaman min. 12 m)</v>
          </cell>
          <cell r="G2239" t="str">
            <v>batang</v>
          </cell>
          <cell r="H2239">
            <v>1666000</v>
          </cell>
        </row>
        <row r="2240">
          <cell r="F2240" t="str">
            <v xml:space="preserve">Air Terminal </v>
          </cell>
          <cell r="G2240" t="str">
            <v>unit</v>
          </cell>
          <cell r="H2240">
            <v>1634000</v>
          </cell>
        </row>
        <row r="2241">
          <cell r="F2241" t="str">
            <v xml:space="preserve">Base Air Terminal </v>
          </cell>
          <cell r="G2241" t="str">
            <v xml:space="preserve">unit </v>
          </cell>
          <cell r="H2241">
            <v>587600</v>
          </cell>
        </row>
        <row r="2242">
          <cell r="F2242" t="str">
            <v xml:space="preserve">DC Clip Non Metalic Clamp </v>
          </cell>
          <cell r="G2242" t="str">
            <v>unit</v>
          </cell>
          <cell r="H2242">
            <v>13500</v>
          </cell>
        </row>
        <row r="2243">
          <cell r="F2243" t="str">
            <v>Square Tape Clamp</v>
          </cell>
          <cell r="G2243" t="str">
            <v>unit</v>
          </cell>
          <cell r="H2243">
            <v>55000</v>
          </cell>
        </row>
        <row r="2244">
          <cell r="F2244" t="str">
            <v xml:space="preserve">Bimetallic Connector </v>
          </cell>
          <cell r="G2244" t="str">
            <v xml:space="preserve">unit </v>
          </cell>
          <cell r="H2244">
            <v>35000</v>
          </cell>
        </row>
        <row r="2245">
          <cell r="F2245" t="str">
            <v>Grounding Test Box</v>
          </cell>
          <cell r="G2245" t="str">
            <v>unit</v>
          </cell>
          <cell r="H2245">
            <v>492000</v>
          </cell>
        </row>
        <row r="2246">
          <cell r="F2246" t="str">
            <v xml:space="preserve">5/8" Rod Coupling </v>
          </cell>
          <cell r="G2246" t="str">
            <v xml:space="preserve">unit </v>
          </cell>
          <cell r="H2246">
            <v>45000</v>
          </cell>
        </row>
        <row r="2247">
          <cell r="F2247" t="str">
            <v xml:space="preserve">5/8" Driving Stud </v>
          </cell>
          <cell r="G2247" t="str">
            <v>unit</v>
          </cell>
          <cell r="H2247">
            <v>83000</v>
          </cell>
        </row>
        <row r="2248">
          <cell r="F2248" t="str">
            <v>Rod to Cable Clamp (Type GUV)</v>
          </cell>
          <cell r="G2248" t="str">
            <v xml:space="preserve">unit </v>
          </cell>
          <cell r="H2248">
            <v>252900</v>
          </cell>
        </row>
        <row r="2249">
          <cell r="F2249" t="str">
            <v>Polymer Inspection Pit</v>
          </cell>
          <cell r="G2249" t="str">
            <v>unit</v>
          </cell>
          <cell r="H2249">
            <v>530000</v>
          </cell>
        </row>
        <row r="2250">
          <cell r="F2250" t="str">
            <v>Coupling Bonding Grounded Rod 70 mm2</v>
          </cell>
          <cell r="G2250" t="str">
            <v xml:space="preserve">unit </v>
          </cell>
          <cell r="H2250">
            <v>2040000</v>
          </cell>
        </row>
        <row r="2251">
          <cell r="F2251" t="str">
            <v>Clamp BC L ukuran BC 70 mm2</v>
          </cell>
          <cell r="G2251" t="str">
            <v xml:space="preserve">unit </v>
          </cell>
          <cell r="H2251">
            <v>25500</v>
          </cell>
        </row>
        <row r="2252">
          <cell r="F2252" t="str">
            <v>Clamp PVC 1"</v>
          </cell>
          <cell r="G2252" t="str">
            <v xml:space="preserve">unit </v>
          </cell>
          <cell r="H2252">
            <v>1500</v>
          </cell>
        </row>
        <row r="2253">
          <cell r="F2253" t="str">
            <v xml:space="preserve">Copper Air Terminal Base 15 mm </v>
          </cell>
          <cell r="H2253">
            <v>189000</v>
          </cell>
        </row>
        <row r="2254">
          <cell r="F2254" t="str">
            <v xml:space="preserve">15x500 mm Aluminium Air Rod </v>
          </cell>
          <cell r="H2254">
            <v>160000</v>
          </cell>
        </row>
        <row r="2255">
          <cell r="F2255" t="str">
            <v xml:space="preserve">15x500 mm Copper Air Rod </v>
          </cell>
          <cell r="H2255">
            <v>582000</v>
          </cell>
        </row>
        <row r="2256">
          <cell r="F2256" t="str">
            <v>25x3 mm Bare Aluminium Tape</v>
          </cell>
          <cell r="G2256" t="str">
            <v>m'</v>
          </cell>
          <cell r="H2256">
            <v>58620</v>
          </cell>
        </row>
        <row r="2257">
          <cell r="F2257" t="str">
            <v xml:space="preserve">5/8" x 1800 mm Extensible Copperbond Rod </v>
          </cell>
          <cell r="G2257" t="str">
            <v xml:space="preserve">buah </v>
          </cell>
          <cell r="H2257">
            <v>496000</v>
          </cell>
        </row>
        <row r="2258">
          <cell r="F2258" t="str">
            <v xml:space="preserve">5/8" Copperbond Rod </v>
          </cell>
          <cell r="G2258" t="str">
            <v xml:space="preserve">buah </v>
          </cell>
          <cell r="H2258">
            <v>185000</v>
          </cell>
        </row>
        <row r="2259">
          <cell r="F2259" t="str">
            <v xml:space="preserve">Grounding Rod Gip 1" Panjang 1 m </v>
          </cell>
          <cell r="G2259" t="str">
            <v>buah</v>
          </cell>
          <cell r="H2259">
            <v>142500</v>
          </cell>
        </row>
        <row r="2260">
          <cell r="F2260" t="str">
            <v xml:space="preserve">Grounding Rod Gip 1" Panjang 2 m </v>
          </cell>
          <cell r="G2260" t="str">
            <v>buah</v>
          </cell>
          <cell r="H2260">
            <v>285000</v>
          </cell>
        </row>
        <row r="2261">
          <cell r="F2261" t="str">
            <v>Exothermic Welding</v>
          </cell>
          <cell r="G2261" t="str">
            <v xml:space="preserve">buah </v>
          </cell>
          <cell r="H2261">
            <v>185000</v>
          </cell>
        </row>
        <row r="2262">
          <cell r="F2262" t="str">
            <v>Surge Arrester 1 Phase (15 KA)</v>
          </cell>
          <cell r="G2262" t="str">
            <v xml:space="preserve">unit </v>
          </cell>
          <cell r="H2262">
            <v>690000</v>
          </cell>
        </row>
        <row r="2263">
          <cell r="F2263" t="str">
            <v>Surge Arrester 3 Phase (15 KA)</v>
          </cell>
          <cell r="G2263" t="str">
            <v xml:space="preserve">unit </v>
          </cell>
          <cell r="H2263">
            <v>962000</v>
          </cell>
        </row>
        <row r="2265">
          <cell r="F2265" t="str">
            <v>Air</v>
          </cell>
          <cell r="G2265" t="str">
            <v>liter</v>
          </cell>
          <cell r="H2265">
            <v>200</v>
          </cell>
        </row>
        <row r="2266">
          <cell r="F2266" t="str">
            <v>Banner plastik 0.6x0.8 m2</v>
          </cell>
          <cell r="G2266" t="str">
            <v>m2</v>
          </cell>
          <cell r="H2266">
            <v>100000</v>
          </cell>
        </row>
        <row r="2267">
          <cell r="F2267" t="str">
            <v>Air (m3)</v>
          </cell>
          <cell r="G2267" t="str">
            <v>m3</v>
          </cell>
          <cell r="H2267">
            <v>50000</v>
          </cell>
        </row>
        <row r="2268">
          <cell r="F2268" t="str">
            <v>Akrilik 4 mm</v>
          </cell>
          <cell r="G2268" t="str">
            <v>m2</v>
          </cell>
          <cell r="H2268">
            <v>179000</v>
          </cell>
        </row>
        <row r="2269">
          <cell r="F2269" t="str">
            <v>Alang-alang</v>
          </cell>
          <cell r="G2269" t="str">
            <v>ikat</v>
          </cell>
          <cell r="H2269">
            <v>30000</v>
          </cell>
        </row>
        <row r="2270">
          <cell r="F2270" t="str">
            <v>Alat  tulis</v>
          </cell>
          <cell r="G2270" t="str">
            <v>buah</v>
          </cell>
          <cell r="H2270">
            <v>68600</v>
          </cell>
        </row>
        <row r="2271">
          <cell r="F2271" t="str">
            <v>Aluminium foil</v>
          </cell>
          <cell r="G2271" t="str">
            <v>m2</v>
          </cell>
          <cell r="H2271">
            <v>10000</v>
          </cell>
        </row>
        <row r="2272">
          <cell r="F2272" t="str">
            <v>Aluminium foil double side</v>
          </cell>
          <cell r="G2272" t="str">
            <v>m2</v>
          </cell>
          <cell r="H2272">
            <v>11000</v>
          </cell>
        </row>
        <row r="2273">
          <cell r="F2273" t="str">
            <v>Amplas</v>
          </cell>
          <cell r="G2273" t="str">
            <v>lembar</v>
          </cell>
          <cell r="H2273">
            <v>3900</v>
          </cell>
        </row>
        <row r="2274">
          <cell r="F2274" t="str">
            <v>Baja ringan C75 x 0,75 mm</v>
          </cell>
          <cell r="G2274" t="str">
            <v>batang</v>
          </cell>
          <cell r="H2274">
            <v>77200</v>
          </cell>
        </row>
        <row r="2275">
          <cell r="F2275" t="str">
            <v>Baja ringan C75 x 0,75 mm (permeter)</v>
          </cell>
          <cell r="G2275" t="str">
            <v>m</v>
          </cell>
          <cell r="H2275">
            <v>12866.666666666666</v>
          </cell>
        </row>
        <row r="2276">
          <cell r="F2276" t="str">
            <v xml:space="preserve">Baja Profil </v>
          </cell>
          <cell r="G2276" t="str">
            <v>kg</v>
          </cell>
          <cell r="H2276">
            <v>16480</v>
          </cell>
        </row>
        <row r="2277">
          <cell r="F2277" t="str">
            <v>Baja ringan C75 x 0,8 mm</v>
          </cell>
          <cell r="G2277" t="str">
            <v>batang</v>
          </cell>
          <cell r="H2277">
            <v>82400</v>
          </cell>
        </row>
        <row r="2278">
          <cell r="F2278" t="str">
            <v>Baja ringan C75 x 1,00 mm</v>
          </cell>
          <cell r="G2278" t="str">
            <v>batang</v>
          </cell>
          <cell r="H2278">
            <v>106000</v>
          </cell>
        </row>
        <row r="2279">
          <cell r="F2279" t="str">
            <v>Baja ringan C75 x 1,00 mm (m)</v>
          </cell>
          <cell r="G2279" t="str">
            <v>m'</v>
          </cell>
          <cell r="H2279">
            <v>17667</v>
          </cell>
        </row>
        <row r="2280">
          <cell r="F2280" t="str">
            <v>Bata Ringan (ukuran 60x20x10 cm)</v>
          </cell>
          <cell r="G2280" t="str">
            <v>m3</v>
          </cell>
          <cell r="H2280">
            <v>755000</v>
          </cell>
        </row>
        <row r="2281">
          <cell r="F2281" t="str">
            <v>Batu Andesit  Bakar 10x10, t=3cm</v>
          </cell>
          <cell r="G2281" t="str">
            <v>Unit</v>
          </cell>
          <cell r="H2281">
            <v>145000</v>
          </cell>
        </row>
        <row r="2282">
          <cell r="F2282" t="str">
            <v>Batu Andesit  Bakar 30x30, t=3cm</v>
          </cell>
          <cell r="G2282" t="str">
            <v>Unit</v>
          </cell>
          <cell r="H2282">
            <v>170000</v>
          </cell>
        </row>
        <row r="2283">
          <cell r="F2283" t="str">
            <v>Batu apung</v>
          </cell>
          <cell r="G2283" t="str">
            <v>kg</v>
          </cell>
          <cell r="H2283">
            <v>6100</v>
          </cell>
        </row>
        <row r="2284">
          <cell r="F2284" t="str">
            <v>Bollard Besi Tempa (BL1)</v>
          </cell>
          <cell r="G2284" t="str">
            <v>unit</v>
          </cell>
          <cell r="H2284">
            <v>1262500</v>
          </cell>
        </row>
        <row r="2285">
          <cell r="F2285" t="str">
            <v>Bollard Besi Tempa (BL2)</v>
          </cell>
          <cell r="G2285" t="str">
            <v>unit</v>
          </cell>
          <cell r="H2285">
            <v>1040000</v>
          </cell>
        </row>
        <row r="2286">
          <cell r="F2286" t="str">
            <v>Bollard cast  iron (tinggi 1,2m ; Ø bawah 5"  ; Ø atas  4")</v>
          </cell>
          <cell r="G2286" t="str">
            <v>buah</v>
          </cell>
          <cell r="H2286">
            <v>2626500</v>
          </cell>
        </row>
        <row r="2287">
          <cell r="F2287" t="str">
            <v>Bollard stainless  steel (tinggi 1m ; Ø 4")</v>
          </cell>
          <cell r="G2287" t="str">
            <v>buah</v>
          </cell>
          <cell r="H2287">
            <v>555600</v>
          </cell>
        </row>
        <row r="2288">
          <cell r="F2288" t="str">
            <v>Bubuk poles</v>
          </cell>
          <cell r="G2288" t="str">
            <v>kg</v>
          </cell>
          <cell r="H2288">
            <v>180000</v>
          </cell>
        </row>
        <row r="2289">
          <cell r="F2289" t="str">
            <v>Aspal</v>
          </cell>
          <cell r="G2289" t="str">
            <v>kg</v>
          </cell>
          <cell r="H2289">
            <v>1200</v>
          </cell>
        </row>
        <row r="2290">
          <cell r="F2290" t="str">
            <v>Coldmix  (Aspal Tambal Dingin) 25 kg</v>
          </cell>
          <cell r="G2290" t="str">
            <v>Zak</v>
          </cell>
          <cell r="H2290">
            <v>225000</v>
          </cell>
        </row>
        <row r="2291">
          <cell r="F2291" t="str">
            <v>Cutting sticker</v>
          </cell>
          <cell r="G2291" t="str">
            <v>m2</v>
          </cell>
          <cell r="H2291">
            <v>100000</v>
          </cell>
        </row>
        <row r="2292">
          <cell r="F2292" t="str">
            <v>Epoxy resin grout</v>
          </cell>
          <cell r="G2292" t="str">
            <v>kg</v>
          </cell>
          <cell r="H2292">
            <v>216700</v>
          </cell>
        </row>
        <row r="2293">
          <cell r="F2293" t="str">
            <v>Formica</v>
          </cell>
          <cell r="G2293" t="str">
            <v>lembar</v>
          </cell>
          <cell r="H2293">
            <v>51400</v>
          </cell>
        </row>
        <row r="2294">
          <cell r="F2294" t="str">
            <v>Formika</v>
          </cell>
          <cell r="G2294" t="str">
            <v>lembar</v>
          </cell>
          <cell r="H2294">
            <v>170000</v>
          </cell>
        </row>
        <row r="2295">
          <cell r="F2295" t="str">
            <v>Gebalan Rumput  Jenis  Lamuran</v>
          </cell>
          <cell r="G2295" t="str">
            <v>m²</v>
          </cell>
          <cell r="H2295">
            <v>10600</v>
          </cell>
        </row>
        <row r="2296">
          <cell r="F2296" t="str">
            <v>Glasswool tebal 8 cm</v>
          </cell>
          <cell r="G2296" t="str">
            <v>m2</v>
          </cell>
          <cell r="H2296">
            <v>29167</v>
          </cell>
        </row>
        <row r="2297">
          <cell r="F2297" t="str">
            <v>Guardrail</v>
          </cell>
          <cell r="G2297" t="str">
            <v>m'</v>
          </cell>
          <cell r="H2297">
            <v>761200</v>
          </cell>
        </row>
        <row r="2298">
          <cell r="F2298" t="str">
            <v>Hebel Block (ukuran 60x20x15 cm)</v>
          </cell>
          <cell r="G2298" t="str">
            <v>buah</v>
          </cell>
          <cell r="H2298">
            <v>20200</v>
          </cell>
        </row>
        <row r="2299">
          <cell r="F2299" t="str">
            <v>Huruf/letter timbul stainless  steel</v>
          </cell>
          <cell r="G2299" t="str">
            <v>buah</v>
          </cell>
          <cell r="H2299">
            <v>9200</v>
          </cell>
        </row>
        <row r="2300">
          <cell r="F2300" t="str">
            <v>Ijuk</v>
          </cell>
          <cell r="G2300" t="str">
            <v>m3</v>
          </cell>
          <cell r="H2300">
            <v>39700</v>
          </cell>
        </row>
        <row r="2301">
          <cell r="F2301" t="str">
            <v>Insulasi foam</v>
          </cell>
          <cell r="G2301" t="str">
            <v>m2</v>
          </cell>
          <cell r="H2301">
            <v>70000</v>
          </cell>
        </row>
        <row r="2302">
          <cell r="F2302" t="str">
            <v>Jaringan udara (LVTC  2x15 mm)</v>
          </cell>
          <cell r="G2302" t="str">
            <v>unit</v>
          </cell>
          <cell r="H2302">
            <v>2156800</v>
          </cell>
        </row>
        <row r="2303">
          <cell r="F2303" t="str">
            <v>Jendela type J1</v>
          </cell>
          <cell r="G2303" t="str">
            <v>unit</v>
          </cell>
          <cell r="H2303">
            <v>2740500</v>
          </cell>
        </row>
        <row r="2304">
          <cell r="F2304" t="str">
            <v>Jendela type J2</v>
          </cell>
          <cell r="G2304" t="str">
            <v>unit</v>
          </cell>
          <cell r="H2304">
            <v>5481000</v>
          </cell>
        </row>
        <row r="2305">
          <cell r="F2305" t="str">
            <v>Joint  Sealent</v>
          </cell>
          <cell r="G2305" t="str">
            <v>kg</v>
          </cell>
          <cell r="H2305">
            <v>37300</v>
          </cell>
        </row>
        <row r="2306">
          <cell r="F2306" t="str">
            <v>Kapur</v>
          </cell>
          <cell r="G2306" t="str">
            <v>m3</v>
          </cell>
          <cell r="H2306">
            <v>263700</v>
          </cell>
        </row>
        <row r="2307">
          <cell r="F2307" t="str">
            <v>Kapur padam</v>
          </cell>
          <cell r="G2307" t="str">
            <v>kg</v>
          </cell>
          <cell r="H2307">
            <v>7000</v>
          </cell>
        </row>
        <row r="2308">
          <cell r="F2308" t="str">
            <v>Karung goni</v>
          </cell>
          <cell r="G2308" t="str">
            <v>m2</v>
          </cell>
          <cell r="H2308">
            <v>14500</v>
          </cell>
        </row>
        <row r="2309">
          <cell r="F2309" t="str">
            <v>Karung plastik</v>
          </cell>
          <cell r="G2309" t="str">
            <v>buah</v>
          </cell>
          <cell r="H2309">
            <v>3900</v>
          </cell>
        </row>
        <row r="2310">
          <cell r="F2310" t="str">
            <v>Kisdam (sewa sheet  pile selama 2 bulan)</v>
          </cell>
          <cell r="G2310" t="str">
            <v>batang</v>
          </cell>
          <cell r="H2310">
            <v>710500</v>
          </cell>
        </row>
        <row r="2311">
          <cell r="F2311" t="str">
            <v>Lem Aibon</v>
          </cell>
          <cell r="G2311" t="str">
            <v>kg</v>
          </cell>
          <cell r="H2311">
            <v>42500</v>
          </cell>
        </row>
        <row r="2312">
          <cell r="F2312" t="str">
            <v>Lem epoxy</v>
          </cell>
          <cell r="G2312" t="str">
            <v>kg</v>
          </cell>
          <cell r="H2312">
            <v>145000</v>
          </cell>
        </row>
        <row r="2313">
          <cell r="F2313" t="str">
            <v>Lem kayu</v>
          </cell>
          <cell r="G2313" t="str">
            <v>kg</v>
          </cell>
          <cell r="H2313">
            <v>16400</v>
          </cell>
        </row>
        <row r="2314">
          <cell r="F2314" t="str">
            <v>Lem vinyl</v>
          </cell>
          <cell r="G2314" t="str">
            <v>kg</v>
          </cell>
          <cell r="H2314">
            <v>36900</v>
          </cell>
        </row>
        <row r="2315">
          <cell r="F2315" t="str">
            <v xml:space="preserve">Lem Karpet </v>
          </cell>
          <cell r="G2315" t="str">
            <v>kg</v>
          </cell>
          <cell r="H2315">
            <v>75000</v>
          </cell>
        </row>
        <row r="2316">
          <cell r="F2316" t="str">
            <v>Lethering akrilik tinggi 100 tebal 20 cm</v>
          </cell>
          <cell r="G2316" t="str">
            <v>buah</v>
          </cell>
          <cell r="H2316">
            <v>1167200</v>
          </cell>
        </row>
        <row r="2317">
          <cell r="F2317" t="str">
            <v>Lethering akrilik tinggi 25 tebal 5 cm</v>
          </cell>
          <cell r="G2317" t="str">
            <v>buah</v>
          </cell>
          <cell r="H2317">
            <v>140000</v>
          </cell>
        </row>
        <row r="2318">
          <cell r="F2318" t="str">
            <v>Lethering akrilik tinggi 45 tebal 20 cm</v>
          </cell>
          <cell r="G2318" t="str">
            <v>buah</v>
          </cell>
          <cell r="H2318">
            <v>525200</v>
          </cell>
        </row>
        <row r="2319">
          <cell r="F2319" t="str">
            <v>Lethering akrilik tinggi 70 tebal 20 cm</v>
          </cell>
          <cell r="G2319" t="str">
            <v>buah</v>
          </cell>
          <cell r="H2319">
            <v>817000</v>
          </cell>
        </row>
        <row r="2320">
          <cell r="F2320" t="str">
            <v>Lis  profil beton (50 cm)</v>
          </cell>
          <cell r="G2320" t="str">
            <v>buah</v>
          </cell>
          <cell r="H2320">
            <v>8000</v>
          </cell>
        </row>
        <row r="2321">
          <cell r="F2321" t="str">
            <v>Mortar Acian Bata Ringan</v>
          </cell>
          <cell r="G2321" t="str">
            <v>zak</v>
          </cell>
          <cell r="H2321">
            <v>99600</v>
          </cell>
        </row>
        <row r="2322">
          <cell r="F2322" t="str">
            <v>Mortar Perekat  Bata Ringan</v>
          </cell>
          <cell r="G2322" t="str">
            <v>zak</v>
          </cell>
          <cell r="H2322">
            <v>85600</v>
          </cell>
        </row>
        <row r="2323">
          <cell r="F2323" t="str">
            <v>Mortar Plesteran Bata Ringan</v>
          </cell>
          <cell r="G2323" t="str">
            <v>zak</v>
          </cell>
          <cell r="H2323">
            <v>82600</v>
          </cell>
        </row>
        <row r="2324">
          <cell r="F2324" t="str">
            <v>Mortar siap pakai</v>
          </cell>
          <cell r="G2324" t="str">
            <v>kg</v>
          </cell>
          <cell r="H2324">
            <v>1850</v>
          </cell>
        </row>
        <row r="2325">
          <cell r="F2325" t="str">
            <v>Mortar Skimcoat</v>
          </cell>
          <cell r="G2325" t="str">
            <v>kg</v>
          </cell>
          <cell r="H2325">
            <v>5070</v>
          </cell>
        </row>
        <row r="2326">
          <cell r="F2326" t="str">
            <v>Nako  per daun</v>
          </cell>
          <cell r="G2326" t="str">
            <v>buah</v>
          </cell>
          <cell r="H2326">
            <v>8700</v>
          </cell>
        </row>
        <row r="2327">
          <cell r="F2327" t="str">
            <v>Pasir Ottawa</v>
          </cell>
          <cell r="G2327" t="str">
            <v>Zak</v>
          </cell>
          <cell r="H2327">
            <v>515000</v>
          </cell>
        </row>
        <row r="2328">
          <cell r="F2328" t="str">
            <v>Pemasangan lantai tempered laminated glass  Jemabatan Kaca</v>
          </cell>
          <cell r="G2328" t="str">
            <v>Unit</v>
          </cell>
          <cell r="H2328">
            <v>107070707</v>
          </cell>
        </row>
        <row r="2329">
          <cell r="F2329" t="str">
            <v>Pen akrilik</v>
          </cell>
          <cell r="G2329" t="str">
            <v>buah</v>
          </cell>
          <cell r="H2329">
            <v>7000</v>
          </cell>
        </row>
        <row r="2330">
          <cell r="F2330" t="str">
            <v>Perekat untuk  wallpaper</v>
          </cell>
          <cell r="G2330" t="str">
            <v>kg</v>
          </cell>
          <cell r="H2330">
            <v>36800</v>
          </cell>
        </row>
        <row r="2331">
          <cell r="F2331" t="str">
            <v>Pintu lipat  (folding door) bahan plastik/PVC</v>
          </cell>
          <cell r="G2331" t="str">
            <v>m2</v>
          </cell>
          <cell r="H2331">
            <v>215000</v>
          </cell>
        </row>
        <row r="2332">
          <cell r="F2332" t="str">
            <v>Pintu type P1</v>
          </cell>
          <cell r="G2332" t="str">
            <v>unit</v>
          </cell>
          <cell r="H2332">
            <v>4689300</v>
          </cell>
        </row>
        <row r="2333">
          <cell r="F2333" t="str">
            <v>Pipa screen pvc  Ø 4"</v>
          </cell>
          <cell r="G2333" t="str">
            <v>m¹</v>
          </cell>
          <cell r="H2333">
            <v>94600</v>
          </cell>
        </row>
        <row r="2334">
          <cell r="F2334" t="str">
            <v>Pipa stainless  steel diameter 0,5 "  panjang 6 m</v>
          </cell>
          <cell r="G2334" t="str">
            <v>batang</v>
          </cell>
          <cell r="H2334">
            <v>1152000</v>
          </cell>
        </row>
        <row r="2335">
          <cell r="F2335" t="str">
            <v>Pipa stainless  steel diameter 0,75 "  panjang 6 m</v>
          </cell>
          <cell r="G2335" t="str">
            <v>batang</v>
          </cell>
          <cell r="H2335">
            <v>1253500</v>
          </cell>
        </row>
        <row r="2336">
          <cell r="F2336" t="str">
            <v>Pipa stainless  steel diameter 1 "  panjang 6 m</v>
          </cell>
          <cell r="G2336" t="str">
            <v>batang</v>
          </cell>
          <cell r="H2336">
            <v>1598600</v>
          </cell>
        </row>
        <row r="2337">
          <cell r="F2337" t="str">
            <v>Pipa stainless  steel diameter 1,5 "  panjang 6 m</v>
          </cell>
          <cell r="G2337" t="str">
            <v>batang</v>
          </cell>
          <cell r="H2337">
            <v>1877700</v>
          </cell>
        </row>
        <row r="2338">
          <cell r="F2338" t="str">
            <v>Pipa stainless  steel diameter 2 "  panjang 6 m</v>
          </cell>
          <cell r="G2338" t="str">
            <v>batang</v>
          </cell>
          <cell r="H2338">
            <v>2461300</v>
          </cell>
        </row>
        <row r="2339">
          <cell r="F2339" t="str">
            <v>Pipa stainless  steel diameter 2,5 "  panjang 6 m</v>
          </cell>
          <cell r="G2339" t="str">
            <v>batang</v>
          </cell>
          <cell r="H2339">
            <v>3045000</v>
          </cell>
        </row>
        <row r="2340">
          <cell r="F2340" t="str">
            <v>Pipa stainless  steel diameter 3 "  panjang 6 m</v>
          </cell>
          <cell r="G2340" t="str">
            <v>batang</v>
          </cell>
          <cell r="H2340">
            <v>4403200</v>
          </cell>
        </row>
        <row r="2341">
          <cell r="F2341" t="str">
            <v>Plastik aerator</v>
          </cell>
          <cell r="G2341" t="str">
            <v>buah</v>
          </cell>
          <cell r="H2341">
            <v>15900</v>
          </cell>
        </row>
        <row r="2342">
          <cell r="F2342" t="str">
            <v>Prasasti marmer 20x20</v>
          </cell>
          <cell r="G2342" t="str">
            <v>Unit</v>
          </cell>
          <cell r="H2342">
            <v>120000</v>
          </cell>
        </row>
        <row r="2343">
          <cell r="F2343" t="str">
            <v>Ramset</v>
          </cell>
          <cell r="G2343" t="str">
            <v>buah</v>
          </cell>
          <cell r="H2343">
            <v>3200</v>
          </cell>
        </row>
        <row r="2344">
          <cell r="F2344" t="str">
            <v>Recorder paper</v>
          </cell>
          <cell r="G2344" t="str">
            <v>set</v>
          </cell>
          <cell r="H2344">
            <v>174100</v>
          </cell>
        </row>
        <row r="2345">
          <cell r="F2345" t="str">
            <v>Rel pintu dorong</v>
          </cell>
          <cell r="G2345" t="str">
            <v>buah</v>
          </cell>
          <cell r="H2345">
            <v>243700</v>
          </cell>
        </row>
        <row r="2346">
          <cell r="F2346" t="str">
            <v>Reng baja ringan</v>
          </cell>
          <cell r="G2346" t="str">
            <v>batang</v>
          </cell>
          <cell r="H2346">
            <v>33900</v>
          </cell>
        </row>
        <row r="2347">
          <cell r="F2347" t="str">
            <v>Reng baja ringan</v>
          </cell>
          <cell r="G2347" t="str">
            <v>m</v>
          </cell>
          <cell r="H2347">
            <v>6000</v>
          </cell>
        </row>
        <row r="2348">
          <cell r="F2348" t="str">
            <v>Roster 10 x  20 cm</v>
          </cell>
          <cell r="G2348" t="str">
            <v>buah</v>
          </cell>
          <cell r="H2348">
            <v>11300</v>
          </cell>
        </row>
        <row r="2349">
          <cell r="F2349" t="str">
            <v>Roster 15 x  25 cm</v>
          </cell>
          <cell r="G2349" t="str">
            <v>buah</v>
          </cell>
          <cell r="H2349">
            <v>19300</v>
          </cell>
        </row>
        <row r="2350">
          <cell r="F2350" t="str">
            <v>Roster 15 x  30 cm</v>
          </cell>
          <cell r="G2350" t="str">
            <v>buah</v>
          </cell>
          <cell r="H2350">
            <v>19800</v>
          </cell>
        </row>
        <row r="2351">
          <cell r="F2351" t="str">
            <v>Roster 20 x 20 cm</v>
          </cell>
          <cell r="G2351" t="str">
            <v>buah</v>
          </cell>
          <cell r="H2351">
            <v>13100</v>
          </cell>
        </row>
        <row r="2352">
          <cell r="F2352" t="str">
            <v>Roster 25 x  25 cm</v>
          </cell>
          <cell r="G2352" t="str">
            <v>buah</v>
          </cell>
          <cell r="H2352">
            <v>16500</v>
          </cell>
        </row>
        <row r="2353">
          <cell r="F2353" t="str">
            <v>Roster 30 x  30 cm</v>
          </cell>
          <cell r="G2353" t="str">
            <v>buah</v>
          </cell>
          <cell r="H2353">
            <v>20500</v>
          </cell>
        </row>
        <row r="2354">
          <cell r="F2354" t="str">
            <v>Roster/terawang</v>
          </cell>
          <cell r="G2354" t="str">
            <v>buah</v>
          </cell>
          <cell r="H2354">
            <v>21500</v>
          </cell>
        </row>
        <row r="2355">
          <cell r="F2355" t="str">
            <v>Rumput  sintetis  uk. 1mx1m tebal 2 cm</v>
          </cell>
          <cell r="G2355" t="str">
            <v>buah</v>
          </cell>
          <cell r="H2355">
            <v>149300</v>
          </cell>
        </row>
        <row r="2356">
          <cell r="F2356" t="str">
            <v>Sabun</v>
          </cell>
          <cell r="G2356" t="str">
            <v>Kg</v>
          </cell>
          <cell r="H2356">
            <v>19400</v>
          </cell>
        </row>
        <row r="2357">
          <cell r="F2357" t="str">
            <v>Screen low  carbon</v>
          </cell>
          <cell r="G2357" t="str">
            <v>m¹</v>
          </cell>
          <cell r="H2357">
            <v>549300</v>
          </cell>
        </row>
        <row r="2358">
          <cell r="F2358" t="str">
            <v>Screen stainless  steel ø  4"</v>
          </cell>
          <cell r="G2358" t="str">
            <v>m¹</v>
          </cell>
          <cell r="H2358">
            <v>1137800</v>
          </cell>
        </row>
        <row r="2359">
          <cell r="F2359" t="str">
            <v>Sealant</v>
          </cell>
          <cell r="G2359" t="str">
            <v>tube</v>
          </cell>
          <cell r="H2359">
            <v>33100</v>
          </cell>
        </row>
        <row r="2360">
          <cell r="F2360" t="str">
            <v>Sealant</v>
          </cell>
          <cell r="G2360" t="str">
            <v>tube</v>
          </cell>
          <cell r="H2360">
            <v>33500</v>
          </cell>
        </row>
        <row r="2361">
          <cell r="F2361" t="str">
            <v>Sealant  kaca</v>
          </cell>
          <cell r="G2361" t="str">
            <v>kg</v>
          </cell>
          <cell r="H2361">
            <v>32100</v>
          </cell>
        </row>
        <row r="2362">
          <cell r="F2362" t="str">
            <v>Sealtape</v>
          </cell>
          <cell r="G2362" t="str">
            <v>buah</v>
          </cell>
          <cell r="H2362">
            <v>5700</v>
          </cell>
        </row>
        <row r="2363">
          <cell r="F2363" t="str">
            <v>Semen Sika</v>
          </cell>
          <cell r="G2363" t="str">
            <v>Zak</v>
          </cell>
          <cell r="H2363">
            <v>163900</v>
          </cell>
        </row>
        <row r="2364">
          <cell r="F2364" t="str">
            <v>Septic  tank pabrikasi 1000 liter</v>
          </cell>
          <cell r="G2364" t="str">
            <v>buah</v>
          </cell>
          <cell r="H2364">
            <v>3605000</v>
          </cell>
        </row>
        <row r="2365">
          <cell r="F2365" t="str">
            <v>Septic  tank pabrikasi 1200 liter</v>
          </cell>
          <cell r="G2365" t="str">
            <v>buah</v>
          </cell>
          <cell r="H2365">
            <v>5150000</v>
          </cell>
        </row>
        <row r="2366">
          <cell r="F2366" t="str">
            <v>Septic  tank pabrikasi 2000 liter</v>
          </cell>
          <cell r="G2366" t="str">
            <v>buah</v>
          </cell>
          <cell r="H2366">
            <v>9785000</v>
          </cell>
        </row>
        <row r="2367">
          <cell r="F2367" t="str">
            <v>Septic  tank pabrikasi 800 liter</v>
          </cell>
          <cell r="G2367" t="str">
            <v>buah</v>
          </cell>
          <cell r="H2367">
            <v>2629500</v>
          </cell>
        </row>
        <row r="2368">
          <cell r="F2368" t="str">
            <v>Sesek bambu</v>
          </cell>
          <cell r="G2368" t="str">
            <v>lembar</v>
          </cell>
          <cell r="H2368">
            <v>19100</v>
          </cell>
        </row>
        <row r="2369">
          <cell r="F2369" t="str">
            <v>Signage RMJ</v>
          </cell>
          <cell r="G2369" t="str">
            <v>unit</v>
          </cell>
          <cell r="H2369">
            <v>1987300</v>
          </cell>
        </row>
        <row r="2370">
          <cell r="F2370" t="str">
            <v>Signage Plat Baja lengkap dengan accessories</v>
          </cell>
          <cell r="G2370" t="str">
            <v xml:space="preserve">buah </v>
          </cell>
          <cell r="H2370">
            <v>1500000</v>
          </cell>
        </row>
        <row r="2371">
          <cell r="F2371" t="str">
            <v>Sitting Group (cast  iron, kayu)</v>
          </cell>
          <cell r="G2371" t="str">
            <v>unit</v>
          </cell>
          <cell r="H2371">
            <v>2389300</v>
          </cell>
        </row>
        <row r="2372">
          <cell r="F2372" t="str">
            <v>Skrup fixer</v>
          </cell>
          <cell r="G2372" t="str">
            <v>buah</v>
          </cell>
          <cell r="H2372">
            <v>1600</v>
          </cell>
        </row>
        <row r="2373">
          <cell r="F2373" t="str">
            <v>Soda api</v>
          </cell>
          <cell r="G2373" t="str">
            <v>kg</v>
          </cell>
          <cell r="H2373">
            <v>17900</v>
          </cell>
        </row>
        <row r="2374">
          <cell r="F2374" t="str">
            <v>Strorox-100</v>
          </cell>
          <cell r="G2374" t="str">
            <v>kg</v>
          </cell>
          <cell r="H2374">
            <v>40000</v>
          </cell>
        </row>
        <row r="2375">
          <cell r="F2375" t="str">
            <v>Tali ijuk</v>
          </cell>
          <cell r="G2375" t="str">
            <v>kg</v>
          </cell>
          <cell r="H2375">
            <v>8200</v>
          </cell>
        </row>
        <row r="2376">
          <cell r="F2376" t="str">
            <v xml:space="preserve">Tali Ijuk </v>
          </cell>
          <cell r="G2376" t="str">
            <v>m'</v>
          </cell>
          <cell r="H2376">
            <v>200</v>
          </cell>
        </row>
        <row r="2377">
          <cell r="F2377" t="str">
            <v>Terpal</v>
          </cell>
          <cell r="G2377" t="str">
            <v>m2</v>
          </cell>
          <cell r="H2377">
            <v>12000</v>
          </cell>
        </row>
        <row r="2378">
          <cell r="F2378" t="str">
            <v>Tiang Bolard (Bollard cast  iron) tinggi 1,2 m; ø bawah 5"; ø atas  4"</v>
          </cell>
          <cell r="G2378" t="str">
            <v>buah</v>
          </cell>
          <cell r="H2378">
            <v>1429100</v>
          </cell>
        </row>
        <row r="2379">
          <cell r="F2379" t="str">
            <v>Venetions  blinds  dan vertical blinds  (tirai)</v>
          </cell>
          <cell r="G2379" t="str">
            <v>m2</v>
          </cell>
          <cell r="H2379">
            <v>7400</v>
          </cell>
        </row>
        <row r="2380">
          <cell r="F2380" t="str">
            <v>Wallpaper</v>
          </cell>
          <cell r="G2380" t="str">
            <v>m'</v>
          </cell>
          <cell r="H2380">
            <v>13500</v>
          </cell>
        </row>
        <row r="2381">
          <cell r="F2381" t="str">
            <v>Waterstop lebar 150 mm</v>
          </cell>
          <cell r="G2381" t="str">
            <v>m'</v>
          </cell>
          <cell r="H2381">
            <v>75000</v>
          </cell>
        </row>
        <row r="2382">
          <cell r="F2382" t="str">
            <v>Waterstop lebar 200 mm</v>
          </cell>
          <cell r="G2382" t="str">
            <v>m'</v>
          </cell>
          <cell r="H2382">
            <v>94000</v>
          </cell>
        </row>
        <row r="2383">
          <cell r="F2383" t="str">
            <v>Waterstop lebar 250 mm</v>
          </cell>
          <cell r="G2383" t="str">
            <v>m'</v>
          </cell>
          <cell r="H2383">
            <v>136000</v>
          </cell>
        </row>
        <row r="2384">
          <cell r="F2384" t="str">
            <v>Wax</v>
          </cell>
          <cell r="G2384" t="str">
            <v>kg</v>
          </cell>
          <cell r="H2384">
            <v>130000</v>
          </cell>
        </row>
        <row r="2385">
          <cell r="F2385" t="str">
            <v>Paving Block Tebal 6 cm fc 20 Mpa</v>
          </cell>
          <cell r="G2385" t="str">
            <v>m2</v>
          </cell>
          <cell r="H2385">
            <v>70000</v>
          </cell>
        </row>
        <row r="2386">
          <cell r="F2386" t="str">
            <v xml:space="preserve">Pasir Filler </v>
          </cell>
          <cell r="G2386" t="str">
            <v>m3</v>
          </cell>
          <cell r="H2386">
            <v>300000</v>
          </cell>
        </row>
        <row r="2387">
          <cell r="F2387" t="str">
            <v>Paving Block Tebal 6 cm fc 25 Mpa</v>
          </cell>
          <cell r="G2387" t="str">
            <v>m2</v>
          </cell>
          <cell r="H2387">
            <v>82000</v>
          </cell>
        </row>
        <row r="2388">
          <cell r="F2388" t="str">
            <v>Paving Block Tebal 8 cm fc 20 Mpa</v>
          </cell>
          <cell r="G2388" t="str">
            <v>m2</v>
          </cell>
          <cell r="H2388">
            <v>85000</v>
          </cell>
        </row>
        <row r="2389">
          <cell r="F2389" t="str">
            <v>Paving Block Tebal 8 cm fc 25 Mpa</v>
          </cell>
          <cell r="G2389" t="str">
            <v>m2</v>
          </cell>
          <cell r="H2389">
            <v>97000</v>
          </cell>
        </row>
        <row r="2390">
          <cell r="F2390" t="str">
            <v>Stepping Band Lebar 15 mm</v>
          </cell>
          <cell r="G2390" t="str">
            <v>m</v>
          </cell>
          <cell r="H2390">
            <v>8570</v>
          </cell>
        </row>
        <row r="2391">
          <cell r="F2391" t="str">
            <v xml:space="preserve">Palet Kayu uk. 120x120x10 cm </v>
          </cell>
          <cell r="G2391" t="str">
            <v xml:space="preserve">buah </v>
          </cell>
          <cell r="H2391">
            <v>123000</v>
          </cell>
        </row>
        <row r="2392">
          <cell r="F2392" t="str">
            <v>Geotextile &gt;100 gr/m2</v>
          </cell>
          <cell r="G2392" t="str">
            <v>m2</v>
          </cell>
          <cell r="H2392">
            <v>17500</v>
          </cell>
        </row>
        <row r="2393">
          <cell r="F2393" t="str">
            <v>Geotextile &gt;400 gr/m2</v>
          </cell>
          <cell r="G2393" t="str">
            <v>m2</v>
          </cell>
          <cell r="H2393">
            <v>21000</v>
          </cell>
        </row>
        <row r="2394">
          <cell r="F2394" t="str">
            <v>Geotextile &gt;800 gr/m2</v>
          </cell>
          <cell r="G2394" t="str">
            <v>m2</v>
          </cell>
          <cell r="H2394">
            <v>32000</v>
          </cell>
        </row>
        <row r="2395">
          <cell r="F2395" t="str">
            <v>Geotekstil woven 400 gr/m2</v>
          </cell>
          <cell r="G2395" t="str">
            <v>m2</v>
          </cell>
          <cell r="H2395">
            <v>25000</v>
          </cell>
        </row>
        <row r="2396">
          <cell r="F2396" t="str">
            <v xml:space="preserve">Geomembran </v>
          </cell>
          <cell r="G2396" t="str">
            <v>m2</v>
          </cell>
          <cell r="H2396">
            <v>18950</v>
          </cell>
        </row>
        <row r="2397">
          <cell r="F2397" t="str">
            <v>Geosynthetic Clay Liner</v>
          </cell>
          <cell r="G2397" t="str">
            <v>m2</v>
          </cell>
          <cell r="H2397">
            <v>25000</v>
          </cell>
        </row>
        <row r="2398">
          <cell r="F2398" t="str">
            <v xml:space="preserve">Bentonite </v>
          </cell>
          <cell r="G2398" t="str">
            <v xml:space="preserve">kg </v>
          </cell>
          <cell r="H2398">
            <v>25000</v>
          </cell>
        </row>
        <row r="2399">
          <cell r="F2399" t="str">
            <v xml:space="preserve">MATERIAL LANSEKAP </v>
          </cell>
        </row>
        <row r="2400">
          <cell r="F2400" t="str">
            <v xml:space="preserve">Pupuk Organik </v>
          </cell>
          <cell r="G2400" t="str">
            <v>m3</v>
          </cell>
          <cell r="H2400">
            <v>178000</v>
          </cell>
        </row>
        <row r="2401">
          <cell r="F2401" t="str">
            <v xml:space="preserve">Kompos </v>
          </cell>
          <cell r="G2401" t="str">
            <v>m3</v>
          </cell>
          <cell r="H2401">
            <v>165000</v>
          </cell>
        </row>
        <row r="2402">
          <cell r="F2402" t="str">
            <v xml:space="preserve">Pohon Bunga Mentega di Polybag 20 Liter </v>
          </cell>
          <cell r="G2402" t="str">
            <v xml:space="preserve">buah </v>
          </cell>
          <cell r="H2402">
            <v>135000</v>
          </cell>
        </row>
        <row r="2403">
          <cell r="F2403" t="str">
            <v>Pohon Bunga Mentega di
Polybag 25 Liter</v>
          </cell>
          <cell r="G2403" t="str">
            <v xml:space="preserve">Buah </v>
          </cell>
          <cell r="H2403">
            <v>150000</v>
          </cell>
        </row>
        <row r="2404">
          <cell r="F2404" t="str">
            <v>Pohon Bunga Terompet Kuning di Polybag 20 Liter</v>
          </cell>
          <cell r="G2404" t="str">
            <v xml:space="preserve">buah </v>
          </cell>
          <cell r="H2404">
            <v>135000</v>
          </cell>
        </row>
        <row r="2405">
          <cell r="F2405" t="str">
            <v>Pohon Bunga Terompet
Kuning di Polybag 25 Liter</v>
          </cell>
          <cell r="G2405" t="str">
            <v xml:space="preserve">Buah </v>
          </cell>
          <cell r="H2405">
            <v>150000</v>
          </cell>
        </row>
        <row r="2406">
          <cell r="F2406" t="str">
            <v>Pohon Bunga Terompet Kuning di Polybag 50 Liter</v>
          </cell>
          <cell r="G2406" t="str">
            <v xml:space="preserve">Buah </v>
          </cell>
          <cell r="H2406">
            <v>200000</v>
          </cell>
        </row>
        <row r="2407">
          <cell r="F2407" t="str">
            <v xml:space="preserve">Pohon Bungur Sakura di Polybag 20 Liter </v>
          </cell>
          <cell r="G2407" t="str">
            <v xml:space="preserve">buah </v>
          </cell>
          <cell r="H2407">
            <v>150000</v>
          </cell>
        </row>
        <row r="2408">
          <cell r="F2408" t="str">
            <v>Pohon Bungur
Sakura/Bungur Jepang di
Polybag 25 Liter</v>
          </cell>
          <cell r="G2408" t="str">
            <v xml:space="preserve">Buah </v>
          </cell>
          <cell r="H2408">
            <v>175000</v>
          </cell>
        </row>
        <row r="2409">
          <cell r="F2409" t="str">
            <v>Pohon Bungur di Polybag 75 Liter</v>
          </cell>
          <cell r="G2409" t="str">
            <v xml:space="preserve">Buah </v>
          </cell>
          <cell r="H2409">
            <v>350000</v>
          </cell>
        </row>
        <row r="2410">
          <cell r="F2410" t="str">
            <v>Pohon Bungur di Polybag 100 Liter</v>
          </cell>
          <cell r="G2410" t="str">
            <v xml:space="preserve">buah </v>
          </cell>
          <cell r="H2410">
            <v>375000</v>
          </cell>
        </row>
        <row r="2411">
          <cell r="F2411" t="str">
            <v xml:space="preserve">Pohon Cassia Glauca di Polybag 20 Liter </v>
          </cell>
          <cell r="G2411" t="str">
            <v xml:space="preserve">buah </v>
          </cell>
          <cell r="H2411">
            <v>155000</v>
          </cell>
        </row>
        <row r="2412">
          <cell r="F2412" t="str">
            <v>Pohon Cassia glauca di
Polybag 25 Liter</v>
          </cell>
          <cell r="G2412" t="str">
            <v xml:space="preserve">buah </v>
          </cell>
          <cell r="H2412">
            <v>170000</v>
          </cell>
        </row>
        <row r="2413">
          <cell r="F2413" t="str">
            <v>Pohon Dracaena'song of india' di polybag 20 liter</v>
          </cell>
          <cell r="G2413" t="str">
            <v xml:space="preserve">Buah </v>
          </cell>
          <cell r="H2413">
            <v>165000</v>
          </cell>
        </row>
        <row r="2414">
          <cell r="F2414" t="str">
            <v>Pohon Dracaena ‘Song of
India’ di Polybag 25 Liter</v>
          </cell>
          <cell r="G2414" t="str">
            <v xml:space="preserve">Buah </v>
          </cell>
          <cell r="H2414">
            <v>180000</v>
          </cell>
        </row>
        <row r="2415">
          <cell r="F2415" t="str">
            <v>Pohon Dracaena 'Song of
Jamaica' di Polybag 20
Liter</v>
          </cell>
          <cell r="G2415" t="str">
            <v xml:space="preserve">Buah </v>
          </cell>
          <cell r="H2415">
            <v>170000</v>
          </cell>
        </row>
        <row r="2416">
          <cell r="F2416" t="str">
            <v>Pohon Dracaena 'Song of
Jamaica' di Polybag 25
Liter</v>
          </cell>
          <cell r="G2416" t="str">
            <v>Buah</v>
          </cell>
          <cell r="H2416">
            <v>190000</v>
          </cell>
        </row>
        <row r="2417">
          <cell r="F2417" t="str">
            <v>Pohon Jarak Batavia di
Polybag 20 Liter</v>
          </cell>
          <cell r="G2417" t="str">
            <v xml:space="preserve">Buah </v>
          </cell>
          <cell r="H2417">
            <v>175000</v>
          </cell>
        </row>
        <row r="2418">
          <cell r="F2418" t="str">
            <v>Pohon Jarak Batavia di Polybag 25 Liter</v>
          </cell>
          <cell r="G2418" t="str">
            <v>Buah</v>
          </cell>
          <cell r="H2418">
            <v>190000</v>
          </cell>
        </row>
        <row r="2419">
          <cell r="F2419" t="str">
            <v>Pohon Kayu Putih
Kuning di Polybag 20
Liter</v>
          </cell>
          <cell r="G2419" t="str">
            <v xml:space="preserve">Buah </v>
          </cell>
          <cell r="H2419">
            <v>180000</v>
          </cell>
        </row>
        <row r="2420">
          <cell r="F2420" t="str">
            <v>Pohon Kayu Putih Kuning di Polybag 25 Liter</v>
          </cell>
          <cell r="G2420" t="str">
            <v xml:space="preserve">Buah </v>
          </cell>
          <cell r="H2420">
            <v>190000</v>
          </cell>
        </row>
        <row r="2421">
          <cell r="F2421" t="str">
            <v>Pohon Bugenvil/bunga
kertas di Polybag 20 Liter</v>
          </cell>
          <cell r="G2421" t="str">
            <v xml:space="preserve">Buah </v>
          </cell>
          <cell r="H2421">
            <v>185000</v>
          </cell>
        </row>
        <row r="2422">
          <cell r="F2422" t="str">
            <v>Pohon Penda Merah di
Polybag 20 Liter</v>
          </cell>
          <cell r="G2422" t="str">
            <v xml:space="preserve">Buah </v>
          </cell>
          <cell r="H2422">
            <v>190000</v>
          </cell>
        </row>
        <row r="2423">
          <cell r="F2423" t="str">
            <v>Pohon Pucuk merah di Polybag 25 Liter</v>
          </cell>
          <cell r="G2423" t="str">
            <v xml:space="preserve">Buah </v>
          </cell>
          <cell r="H2423">
            <v>200000</v>
          </cell>
        </row>
        <row r="2424">
          <cell r="F2424" t="str">
            <v>Pohon Sikat Botol di
Polybag 20 Liter</v>
          </cell>
          <cell r="G2424" t="str">
            <v xml:space="preserve">buah </v>
          </cell>
          <cell r="H2424">
            <v>150000</v>
          </cell>
        </row>
        <row r="2425">
          <cell r="F2425" t="str">
            <v>Pohon Sikat Botol di
Polybag 25 Liter</v>
          </cell>
          <cell r="G2425" t="str">
            <v xml:space="preserve">Buah </v>
          </cell>
          <cell r="H2425">
            <v>165000</v>
          </cell>
        </row>
        <row r="2426">
          <cell r="F2426" t="str">
            <v xml:space="preserve">Pohon kecil Anggur terompet </v>
          </cell>
          <cell r="G2426" t="str">
            <v xml:space="preserve">buah </v>
          </cell>
          <cell r="H2426">
            <v>18000</v>
          </cell>
        </row>
        <row r="2427">
          <cell r="F2427" t="str">
            <v xml:space="preserve">Anti Rayap tanah </v>
          </cell>
          <cell r="G2427" t="str">
            <v>kg</v>
          </cell>
          <cell r="H2427">
            <v>28500</v>
          </cell>
        </row>
        <row r="2428">
          <cell r="F2428" t="str">
            <v xml:space="preserve">Pohon kecil Pucuk merah </v>
          </cell>
          <cell r="G2428" t="str">
            <v>buah</v>
          </cell>
          <cell r="H2428">
            <v>50000</v>
          </cell>
        </row>
        <row r="2429">
          <cell r="F2429" t="str">
            <v xml:space="preserve">Pohon Pucuk Merah di Polybag 20 Liter </v>
          </cell>
          <cell r="G2429" t="str">
            <v xml:space="preserve">Pohon </v>
          </cell>
          <cell r="H2429">
            <v>350000</v>
          </cell>
        </row>
        <row r="2430">
          <cell r="F2430" t="str">
            <v xml:space="preserve">Pohon Pucuk Merah di Polybag 25 Liter </v>
          </cell>
          <cell r="G2430" t="str">
            <v xml:space="preserve">Pohon </v>
          </cell>
          <cell r="H2430">
            <v>400000</v>
          </cell>
        </row>
        <row r="2431">
          <cell r="F2431" t="str">
            <v xml:space="preserve">Pohon Bunga Kupu-kupu di Polybag 50 Liter </v>
          </cell>
          <cell r="G2431" t="str">
            <v xml:space="preserve">Pohon </v>
          </cell>
          <cell r="H2431">
            <v>500000</v>
          </cell>
        </row>
        <row r="2432">
          <cell r="F2432" t="str">
            <v xml:space="preserve">Pohon Bunga Kupu-kupu di Polybag 75 Liter </v>
          </cell>
          <cell r="G2432" t="str">
            <v xml:space="preserve">Pohon </v>
          </cell>
          <cell r="H2432">
            <v>530000</v>
          </cell>
        </row>
        <row r="2433">
          <cell r="F2433" t="str">
            <v>Pohon Pulai di Polybag 75
Liter</v>
          </cell>
          <cell r="G2433" t="str">
            <v xml:space="preserve">Buah </v>
          </cell>
          <cell r="H2433">
            <v>150000</v>
          </cell>
        </row>
        <row r="2434">
          <cell r="F2434" t="str">
            <v>Pohon Pulai di Polybag 100 Liter</v>
          </cell>
          <cell r="G2434" t="str">
            <v xml:space="preserve">Buah </v>
          </cell>
          <cell r="H2434">
            <v>275000</v>
          </cell>
        </row>
        <row r="2435">
          <cell r="F2435" t="str">
            <v>Pohon Pulai di Polybag 150 Liter</v>
          </cell>
          <cell r="G2435" t="str">
            <v xml:space="preserve">buah </v>
          </cell>
          <cell r="H2435">
            <v>300000</v>
          </cell>
        </row>
        <row r="2436">
          <cell r="F2436" t="str">
            <v>Pohon Pulai di Polybag 200 Liter</v>
          </cell>
          <cell r="G2436" t="str">
            <v xml:space="preserve">Buah </v>
          </cell>
          <cell r="H2436">
            <v>325000</v>
          </cell>
        </row>
        <row r="2437">
          <cell r="F2437" t="str">
            <v>Pohon Pulai di Polybag 250
Liter</v>
          </cell>
          <cell r="G2437" t="str">
            <v xml:space="preserve">Buah </v>
          </cell>
          <cell r="H2437">
            <v>350000</v>
          </cell>
        </row>
        <row r="2438">
          <cell r="F2438" t="str">
            <v xml:space="preserve">Pohon sedang Ketapang Kencana </v>
          </cell>
          <cell r="G2438" t="str">
            <v>buah</v>
          </cell>
          <cell r="H2438">
            <v>150000</v>
          </cell>
        </row>
        <row r="2439">
          <cell r="F2439" t="str">
            <v>Pohon Mahoni di Polybag
75 Liter</v>
          </cell>
          <cell r="G2439" t="str">
            <v>Buah</v>
          </cell>
          <cell r="H2439">
            <v>150000</v>
          </cell>
        </row>
        <row r="2440">
          <cell r="F2440" t="str">
            <v>Pohon Mahoni di Polybag 100 Liter</v>
          </cell>
          <cell r="G2440" t="str">
            <v xml:space="preserve">Pohon </v>
          </cell>
          <cell r="H2440">
            <v>400000</v>
          </cell>
        </row>
        <row r="2441">
          <cell r="F2441" t="str">
            <v>Pohon Mahoni di Polybag 150 Liter</v>
          </cell>
          <cell r="G2441" t="str">
            <v xml:space="preserve">Pohon </v>
          </cell>
          <cell r="H2441">
            <v>425000</v>
          </cell>
        </row>
        <row r="2442">
          <cell r="F2442" t="str">
            <v>Pohon Beringin di Polybag 200 Liter</v>
          </cell>
          <cell r="G2442" t="str">
            <v xml:space="preserve">Pohon </v>
          </cell>
          <cell r="H2442">
            <v>550000</v>
          </cell>
        </row>
        <row r="2443">
          <cell r="F2443" t="str">
            <v>Pohon Beringin di Polybag 250 Liter</v>
          </cell>
          <cell r="G2443" t="str">
            <v xml:space="preserve">Pohon </v>
          </cell>
          <cell r="H2443">
            <v>590000</v>
          </cell>
        </row>
        <row r="2444">
          <cell r="F2444" t="str">
            <v>Pohon Beringin di Polybag 100 Liter</v>
          </cell>
          <cell r="G2444" t="str">
            <v xml:space="preserve">buah </v>
          </cell>
          <cell r="H2444">
            <v>250000</v>
          </cell>
        </row>
        <row r="2445">
          <cell r="F2445" t="str">
            <v>Pohon Beringin di Polybag 150 Liter</v>
          </cell>
          <cell r="G2445" t="str">
            <v xml:space="preserve">Buah </v>
          </cell>
          <cell r="H2445">
            <v>275000</v>
          </cell>
        </row>
        <row r="2446">
          <cell r="F2446" t="str">
            <v>Pohon Beringin di Polybag
250 Liter</v>
          </cell>
          <cell r="G2446" t="str">
            <v xml:space="preserve">Buah </v>
          </cell>
          <cell r="H2446">
            <v>300000</v>
          </cell>
        </row>
        <row r="2447">
          <cell r="F2447" t="str">
            <v>Pohon sedang Tabebuya</v>
          </cell>
          <cell r="G2447" t="str">
            <v>buah</v>
          </cell>
          <cell r="H2447">
            <v>450000</v>
          </cell>
        </row>
        <row r="2448">
          <cell r="F2448" t="str">
            <v>Pohon Bintaro di Polybag
50 Liter</v>
          </cell>
          <cell r="G2448" t="str">
            <v xml:space="preserve">Buah </v>
          </cell>
          <cell r="H2448">
            <v>220000</v>
          </cell>
        </row>
        <row r="2449">
          <cell r="F2449" t="str">
            <v>Pohon Bintaro di Polybag 75 Liter</v>
          </cell>
          <cell r="G2449" t="str">
            <v xml:space="preserve">Buah </v>
          </cell>
          <cell r="H2449">
            <v>350000</v>
          </cell>
        </row>
        <row r="2450">
          <cell r="F2450" t="str">
            <v>Pohon Besar Kamboja</v>
          </cell>
          <cell r="G2450" t="str">
            <v>buah</v>
          </cell>
          <cell r="H2450">
            <v>550000</v>
          </cell>
        </row>
        <row r="2451">
          <cell r="F2451" t="str">
            <v>Pohon Besar Beringin</v>
          </cell>
          <cell r="G2451" t="str">
            <v>buah</v>
          </cell>
          <cell r="H2451">
            <v>2900000</v>
          </cell>
        </row>
        <row r="2452">
          <cell r="F2452" t="str">
            <v>Pohon Besar Pulai</v>
          </cell>
          <cell r="G2452" t="str">
            <v>buah</v>
          </cell>
          <cell r="H2452">
            <v>5390000</v>
          </cell>
        </row>
        <row r="2453">
          <cell r="F2453" t="str">
            <v>Pohon Besar Trembesi</v>
          </cell>
          <cell r="G2453" t="str">
            <v>buah</v>
          </cell>
          <cell r="H2453">
            <v>650000</v>
          </cell>
        </row>
        <row r="2454">
          <cell r="F2454" t="str">
            <v>Pohon Trembesi di Polybag 75 Liter</v>
          </cell>
          <cell r="G2454" t="str">
            <v xml:space="preserve">buah </v>
          </cell>
          <cell r="H2454">
            <v>150000</v>
          </cell>
        </row>
        <row r="2455">
          <cell r="F2455" t="str">
            <v>Pohon Trembesi di Polybag 100 Liter</v>
          </cell>
          <cell r="G2455" t="str">
            <v xml:space="preserve">buah </v>
          </cell>
          <cell r="H2455">
            <v>275000</v>
          </cell>
        </row>
        <row r="2456">
          <cell r="F2456" t="str">
            <v>Pohon Trembesi di Polybag 150
Liter</v>
          </cell>
          <cell r="G2456" t="str">
            <v xml:space="preserve">Buah </v>
          </cell>
          <cell r="H2456">
            <v>300000</v>
          </cell>
        </row>
        <row r="2457">
          <cell r="F2457" t="str">
            <v>Pohon Trembesi di Polybag 200
Liter</v>
          </cell>
          <cell r="G2457" t="str">
            <v>Buah</v>
          </cell>
          <cell r="H2457">
            <v>325000</v>
          </cell>
        </row>
        <row r="2458">
          <cell r="F2458" t="str">
            <v>Pohon Trembesi di Polybag
250 Liter</v>
          </cell>
          <cell r="G2458" t="str">
            <v>Buah</v>
          </cell>
          <cell r="H2458">
            <v>350000</v>
          </cell>
        </row>
        <row r="2459">
          <cell r="F2459" t="str">
            <v>Pohon Thevetia di
Polybag 20 Liter</v>
          </cell>
          <cell r="G2459" t="str">
            <v xml:space="preserve">buah </v>
          </cell>
          <cell r="H2459">
            <v>170000</v>
          </cell>
        </row>
        <row r="2460">
          <cell r="F2460" t="str">
            <v>Pohon Thevetia di Polybag 25 Liter</v>
          </cell>
          <cell r="G2460" t="str">
            <v xml:space="preserve">Buah </v>
          </cell>
          <cell r="H2460">
            <v>190000</v>
          </cell>
        </row>
        <row r="2461">
          <cell r="F2461" t="str">
            <v>Pohon Turi di Polybag 20
Liter</v>
          </cell>
          <cell r="G2461" t="str">
            <v xml:space="preserve">buah </v>
          </cell>
          <cell r="H2461">
            <v>180000</v>
          </cell>
        </row>
        <row r="2462">
          <cell r="F2462" t="str">
            <v>Pohon Turi di Polybag 25 Liter</v>
          </cell>
          <cell r="G2462" t="str">
            <v xml:space="preserve">buah </v>
          </cell>
          <cell r="H2462">
            <v>190000</v>
          </cell>
        </row>
        <row r="2463">
          <cell r="F2463" t="str">
            <v>Pohon Kembang Merak di
Polybag 20 Liter</v>
          </cell>
          <cell r="G2463" t="str">
            <v xml:space="preserve">buah </v>
          </cell>
          <cell r="H2463">
            <v>210000</v>
          </cell>
        </row>
        <row r="2464">
          <cell r="F2464" t="str">
            <v>Pohon Pandan Bali di
Polybag 20 Liter</v>
          </cell>
          <cell r="G2464" t="str">
            <v xml:space="preserve">buah </v>
          </cell>
          <cell r="H2464">
            <v>200000</v>
          </cell>
        </row>
        <row r="2465">
          <cell r="F2465" t="str">
            <v>Pohon Yucca di Polybag
20 Liter</v>
          </cell>
          <cell r="G2465" t="str">
            <v xml:space="preserve">buah </v>
          </cell>
          <cell r="H2465">
            <v>190000</v>
          </cell>
        </row>
        <row r="2466">
          <cell r="F2466" t="str">
            <v>Pohon Flamboyan di Polybag 50 Liter</v>
          </cell>
          <cell r="G2466" t="str">
            <v xml:space="preserve">Buah </v>
          </cell>
          <cell r="H2466">
            <v>210000</v>
          </cell>
        </row>
        <row r="2467">
          <cell r="F2467" t="str">
            <v>Pohon Flamboyan Kuning di Polybag 50 Liter</v>
          </cell>
          <cell r="G2467" t="str">
            <v xml:space="preserve">Buah </v>
          </cell>
          <cell r="H2467">
            <v>210000</v>
          </cell>
        </row>
        <row r="2468">
          <cell r="F2468" t="str">
            <v>Pohon Flamboyan di Polybag 75 Liter</v>
          </cell>
          <cell r="G2468" t="str">
            <v xml:space="preserve">Buah </v>
          </cell>
          <cell r="H2468">
            <v>350000</v>
          </cell>
        </row>
        <row r="2469">
          <cell r="F2469" t="str">
            <v>Pohon Flamboyan di Polybag 100 Liter</v>
          </cell>
          <cell r="G2469" t="str">
            <v xml:space="preserve">Buah </v>
          </cell>
          <cell r="H2469">
            <v>375000</v>
          </cell>
        </row>
        <row r="2470">
          <cell r="F2470" t="str">
            <v>Pohon Flamboyan di Polybag 150 Liter</v>
          </cell>
          <cell r="G2470" t="str">
            <v xml:space="preserve">Buah </v>
          </cell>
          <cell r="H2470">
            <v>400000</v>
          </cell>
        </row>
        <row r="2471">
          <cell r="F2471" t="str">
            <v>Pohon Flamboyan di Polybag 200 Liter</v>
          </cell>
          <cell r="G2471" t="str">
            <v xml:space="preserve">Buah </v>
          </cell>
          <cell r="H2471">
            <v>425000</v>
          </cell>
        </row>
        <row r="2472">
          <cell r="F2472" t="str">
            <v>Pohon Flamboyan Kuning di Polybag 75 Liter</v>
          </cell>
          <cell r="G2472" t="str">
            <v xml:space="preserve">Buah </v>
          </cell>
          <cell r="H2472">
            <v>350000</v>
          </cell>
        </row>
        <row r="2473">
          <cell r="F2473" t="str">
            <v>Pohon Janda Merana di Polybag 50 Liter</v>
          </cell>
          <cell r="G2473" t="str">
            <v xml:space="preserve">Buah </v>
          </cell>
          <cell r="H2473">
            <v>220000</v>
          </cell>
        </row>
        <row r="2474">
          <cell r="F2474" t="str">
            <v>Pohon Janda Merana di Polybag 75 Liter</v>
          </cell>
          <cell r="G2474" t="str">
            <v xml:space="preserve">Buah </v>
          </cell>
          <cell r="H2474">
            <v>350000</v>
          </cell>
        </row>
        <row r="2475">
          <cell r="F2475" t="str">
            <v>Pohon Ketapang kencana di Polybag 50 Liter</v>
          </cell>
          <cell r="G2475" t="str">
            <v xml:space="preserve">Buah </v>
          </cell>
          <cell r="H2475">
            <v>225000</v>
          </cell>
        </row>
        <row r="2476">
          <cell r="F2476" t="str">
            <v>Pohon Ketapang kencana di Polybag 75 Liter</v>
          </cell>
          <cell r="G2476" t="str">
            <v xml:space="preserve">Buah </v>
          </cell>
          <cell r="H2476">
            <v>350000</v>
          </cell>
        </row>
        <row r="2477">
          <cell r="F2477" t="str">
            <v>Pohon Ketapang kencana di Polybag 100 Liter</v>
          </cell>
          <cell r="G2477" t="str">
            <v xml:space="preserve">Buah </v>
          </cell>
          <cell r="H2477">
            <v>375000</v>
          </cell>
        </row>
        <row r="2478">
          <cell r="F2478" t="str">
            <v>Pohon Sosis di Polybag 50 Liter</v>
          </cell>
          <cell r="G2478" t="str">
            <v xml:space="preserve">Buah </v>
          </cell>
          <cell r="H2478">
            <v>225000</v>
          </cell>
        </row>
        <row r="2479">
          <cell r="F2479" t="str">
            <v>Pohon Sosis di Polybag 75 Liter</v>
          </cell>
          <cell r="G2479" t="str">
            <v xml:space="preserve">Buah </v>
          </cell>
          <cell r="H2479">
            <v>150000</v>
          </cell>
        </row>
        <row r="2480">
          <cell r="F2480" t="str">
            <v>Pohon Sosis di Polybag 100 Liter</v>
          </cell>
          <cell r="G2480" t="str">
            <v xml:space="preserve">Buah </v>
          </cell>
          <cell r="H2480">
            <v>275000</v>
          </cell>
        </row>
        <row r="2481">
          <cell r="F2481" t="str">
            <v>Pohon Sosis di Polybag 150 Liter</v>
          </cell>
          <cell r="G2481" t="str">
            <v xml:space="preserve">Buah </v>
          </cell>
          <cell r="H2481">
            <v>300000</v>
          </cell>
        </row>
        <row r="2482">
          <cell r="F2482" t="str">
            <v>Pohon Sosis di Polybag 200 Liter</v>
          </cell>
          <cell r="G2482" t="str">
            <v xml:space="preserve">Buah </v>
          </cell>
          <cell r="H2482">
            <v>325000</v>
          </cell>
        </row>
        <row r="2483">
          <cell r="F2483" t="str">
            <v>Pohon Sosis di Polybag 250
Liter</v>
          </cell>
          <cell r="G2483" t="str">
            <v>Buah</v>
          </cell>
          <cell r="H2483">
            <v>350000</v>
          </cell>
        </row>
        <row r="2484">
          <cell r="F2484" t="str">
            <v>Pohon Tabebuya di Polybag 50 Liter</v>
          </cell>
          <cell r="G2484" t="str">
            <v xml:space="preserve">Buah </v>
          </cell>
          <cell r="H2484">
            <v>225000</v>
          </cell>
        </row>
        <row r="2485">
          <cell r="F2485" t="str">
            <v>Pohon Tabebuya di Polybag 75 Liter</v>
          </cell>
          <cell r="G2485" t="str">
            <v xml:space="preserve">Buah </v>
          </cell>
          <cell r="H2485">
            <v>150000</v>
          </cell>
        </row>
        <row r="2486">
          <cell r="F2486" t="str">
            <v>Pohon Waru di Polybag 50 Liter</v>
          </cell>
          <cell r="G2486" t="str">
            <v xml:space="preserve">Buah </v>
          </cell>
          <cell r="H2486">
            <v>225000</v>
          </cell>
        </row>
        <row r="2487">
          <cell r="F2487" t="str">
            <v>Pohon Waru di Polybag 75 Liter</v>
          </cell>
          <cell r="G2487" t="str">
            <v xml:space="preserve">Buah </v>
          </cell>
          <cell r="H2487">
            <v>250000</v>
          </cell>
        </row>
        <row r="2488">
          <cell r="F2488" t="str">
            <v>Pohon Biola Cantik di Polybag 75 Liter</v>
          </cell>
          <cell r="G2488" t="str">
            <v xml:space="preserve">Buah </v>
          </cell>
          <cell r="H2488">
            <v>350000</v>
          </cell>
        </row>
        <row r="2489">
          <cell r="F2489" t="str">
            <v>Pohon Biola Cantik di Polybag 100 Liter</v>
          </cell>
          <cell r="G2489" t="str">
            <v xml:space="preserve">Buah </v>
          </cell>
          <cell r="H2489">
            <v>375000</v>
          </cell>
        </row>
        <row r="2490">
          <cell r="F2490" t="str">
            <v>Pohon Kamboja di Polybag 75 Liter</v>
          </cell>
          <cell r="G2490" t="str">
            <v xml:space="preserve">Buah </v>
          </cell>
          <cell r="H2490">
            <v>350000</v>
          </cell>
        </row>
        <row r="2491">
          <cell r="F2491" t="str">
            <v>Pohon Kamboja di Polybag 100 Liter</v>
          </cell>
          <cell r="G2491" t="str">
            <v xml:space="preserve">buah </v>
          </cell>
          <cell r="H2491">
            <v>375000</v>
          </cell>
        </row>
        <row r="2492">
          <cell r="F2492" t="str">
            <v>Pohon Kamboja di Polybag 150 Liter</v>
          </cell>
          <cell r="G2492" t="str">
            <v xml:space="preserve">Buah </v>
          </cell>
          <cell r="H2492">
            <v>400000</v>
          </cell>
        </row>
        <row r="2493">
          <cell r="F2493" t="str">
            <v>Pohon Kamboja Fosil di Polybag 200 Liter</v>
          </cell>
          <cell r="G2493" t="str">
            <v xml:space="preserve">Buah </v>
          </cell>
          <cell r="H2493">
            <v>425000</v>
          </cell>
        </row>
        <row r="2494">
          <cell r="F2494" t="str">
            <v>Pohon Keben di Polybag 75 Liter</v>
          </cell>
          <cell r="G2494" t="str">
            <v xml:space="preserve">Buah </v>
          </cell>
          <cell r="H2494">
            <v>350000</v>
          </cell>
        </row>
        <row r="2495">
          <cell r="F2495" t="str">
            <v>Pohon Keben di Polybag 100 Liter</v>
          </cell>
          <cell r="G2495" t="str">
            <v xml:space="preserve">Buah </v>
          </cell>
          <cell r="H2495">
            <v>350000</v>
          </cell>
        </row>
        <row r="2496">
          <cell r="F2496" t="str">
            <v>Pohon Kecrutan di Polybag
75 Liter</v>
          </cell>
          <cell r="G2496" t="str">
            <v xml:space="preserve">Buah </v>
          </cell>
          <cell r="H2496">
            <v>350000</v>
          </cell>
        </row>
        <row r="2497">
          <cell r="F2497" t="str">
            <v>Pohon Kecrutan di Polybag 100 Liter</v>
          </cell>
          <cell r="G2497" t="str">
            <v xml:space="preserve">Buah </v>
          </cell>
          <cell r="H2497">
            <v>375000</v>
          </cell>
        </row>
        <row r="2498">
          <cell r="F2498" t="str">
            <v>Pohon Putat di Polybag 75
Liter</v>
          </cell>
          <cell r="G2498" t="str">
            <v xml:space="preserve">Buah </v>
          </cell>
          <cell r="H2498">
            <v>150000</v>
          </cell>
        </row>
        <row r="2499">
          <cell r="F2499" t="str">
            <v>Pohon Putat di Polybag 100 Liter</v>
          </cell>
          <cell r="G2499" t="str">
            <v xml:space="preserve">Buah </v>
          </cell>
          <cell r="H2499">
            <v>275000</v>
          </cell>
        </row>
        <row r="2500">
          <cell r="F2500" t="str">
            <v>Pohon Bodhi di Polybag 100 Liter</v>
          </cell>
          <cell r="G2500" t="str">
            <v xml:space="preserve">buah </v>
          </cell>
          <cell r="H2500">
            <v>275000</v>
          </cell>
        </row>
        <row r="2501">
          <cell r="F2501" t="str">
            <v>Pohon Bodhi di Polybag 150 Liter</v>
          </cell>
          <cell r="G2501" t="str">
            <v xml:space="preserve">Buah </v>
          </cell>
          <cell r="H2501">
            <v>300000</v>
          </cell>
        </row>
        <row r="2502">
          <cell r="F2502" t="str">
            <v>Pohon Bodhi di Polybag 200 Liter</v>
          </cell>
          <cell r="G2502" t="str">
            <v xml:space="preserve">Buah </v>
          </cell>
          <cell r="H2502">
            <v>325000</v>
          </cell>
        </row>
        <row r="2503">
          <cell r="F2503" t="str">
            <v>Pohon Bodhi di Polybag 250
Liter</v>
          </cell>
          <cell r="G2503" t="str">
            <v>Buah</v>
          </cell>
          <cell r="H2503">
            <v>350000</v>
          </cell>
        </row>
        <row r="2504">
          <cell r="F2504" t="str">
            <v>Pohon Baobab di Polybag 250
Liter</v>
          </cell>
          <cell r="G2504" t="str">
            <v>Buah</v>
          </cell>
          <cell r="H2504">
            <v>350000</v>
          </cell>
        </row>
        <row r="2505">
          <cell r="F2505" t="str">
            <v>Palem ekor tupai di Polybag 100
Liter</v>
          </cell>
          <cell r="G2505" t="str">
            <v xml:space="preserve">Buah </v>
          </cell>
          <cell r="H2505">
            <v>250000</v>
          </cell>
        </row>
        <row r="2506">
          <cell r="F2506" t="str">
            <v>Sylvertris di Polybag 100 Liter</v>
          </cell>
          <cell r="G2506" t="str">
            <v xml:space="preserve">Buah </v>
          </cell>
          <cell r="H2506">
            <v>250000</v>
          </cell>
        </row>
        <row r="2507">
          <cell r="F2507" t="str">
            <v>Sylvertris di Polybag 150 Liter</v>
          </cell>
          <cell r="G2507" t="str">
            <v xml:space="preserve">Buah </v>
          </cell>
          <cell r="H2507">
            <v>300000</v>
          </cell>
        </row>
        <row r="2508">
          <cell r="F2508" t="str">
            <v>Sylvertris di Polybag 200 Liter</v>
          </cell>
          <cell r="G2508" t="str">
            <v xml:space="preserve">Buah </v>
          </cell>
          <cell r="H2508">
            <v>400000</v>
          </cell>
        </row>
        <row r="2509">
          <cell r="F2509" t="str">
            <v>Sylvertris di Polybag 250 Liter</v>
          </cell>
          <cell r="G2509" t="str">
            <v xml:space="preserve">Buah </v>
          </cell>
          <cell r="H2509">
            <v>450000</v>
          </cell>
        </row>
        <row r="2510">
          <cell r="F2510" t="str">
            <v>Palem Putri di Polybag 100 Liter</v>
          </cell>
          <cell r="G2510" t="str">
            <v xml:space="preserve">Buah </v>
          </cell>
          <cell r="H2510">
            <v>200000</v>
          </cell>
        </row>
        <row r="2511">
          <cell r="F2511" t="str">
            <v>Palem Putri di Polybag 150 Liter</v>
          </cell>
          <cell r="G2511" t="str">
            <v xml:space="preserve">Buah </v>
          </cell>
          <cell r="H2511">
            <v>300000</v>
          </cell>
        </row>
        <row r="2512">
          <cell r="F2512" t="str">
            <v>Palem Putri di Polybag 200 Liter</v>
          </cell>
          <cell r="G2512" t="str">
            <v xml:space="preserve">Buah </v>
          </cell>
          <cell r="H2512">
            <v>400000</v>
          </cell>
        </row>
        <row r="2513">
          <cell r="F2513" t="str">
            <v>Palem Putri di Polybag 250 Liter</v>
          </cell>
          <cell r="G2513" t="str">
            <v xml:space="preserve">Buah </v>
          </cell>
          <cell r="H2513">
            <v>450000</v>
          </cell>
        </row>
        <row r="2514">
          <cell r="F2514" t="str">
            <v>Palem raja di Polybag 100 Liter</v>
          </cell>
          <cell r="G2514" t="str">
            <v xml:space="preserve">Buah </v>
          </cell>
          <cell r="H2514">
            <v>250000</v>
          </cell>
        </row>
        <row r="2515">
          <cell r="F2515" t="str">
            <v>Palem raja di Polybag 150 Liter</v>
          </cell>
          <cell r="G2515" t="str">
            <v xml:space="preserve">Buah </v>
          </cell>
          <cell r="H2515">
            <v>300000</v>
          </cell>
        </row>
        <row r="2516">
          <cell r="F2516" t="str">
            <v>Palem raja di Polybag 200 Liter</v>
          </cell>
          <cell r="G2516" t="str">
            <v xml:space="preserve">Buah </v>
          </cell>
          <cell r="H2516">
            <v>400000</v>
          </cell>
        </row>
        <row r="2517">
          <cell r="F2517" t="str">
            <v>Palem raja di Polybag 250 Liter</v>
          </cell>
          <cell r="G2517" t="str">
            <v>Buah</v>
          </cell>
          <cell r="H2517">
            <v>450000</v>
          </cell>
        </row>
        <row r="2518">
          <cell r="F2518" t="str">
            <v>Palem sadeng di Polybag 100
Liter</v>
          </cell>
          <cell r="G2518" t="str">
            <v xml:space="preserve">Buah </v>
          </cell>
          <cell r="H2518">
            <v>250000</v>
          </cell>
        </row>
        <row r="2519">
          <cell r="F2519" t="str">
            <v>Palem sadeng di Polybag 150 Liter</v>
          </cell>
          <cell r="G2519" t="str">
            <v xml:space="preserve">Buah </v>
          </cell>
          <cell r="H2519">
            <v>300000</v>
          </cell>
        </row>
        <row r="2520">
          <cell r="F2520" t="str">
            <v>Palem sadeng di Polybag 200
Liter</v>
          </cell>
          <cell r="G2520" t="str">
            <v xml:space="preserve">Buah </v>
          </cell>
          <cell r="H2520">
            <v>400000</v>
          </cell>
        </row>
        <row r="2521">
          <cell r="F2521" t="str">
            <v>Palem Sadeng di Polybag 250
Liter</v>
          </cell>
          <cell r="G2521" t="str">
            <v xml:space="preserve">Buah </v>
          </cell>
          <cell r="H2521">
            <v>450000</v>
          </cell>
        </row>
        <row r="2522">
          <cell r="F2522" t="str">
            <v>Palem Kecil Palem Wregu</v>
          </cell>
          <cell r="G2522" t="str">
            <v>buah</v>
          </cell>
          <cell r="H2522">
            <v>15000</v>
          </cell>
        </row>
        <row r="2523">
          <cell r="F2523" t="str">
            <v>Palem Kecil Palem Kuning</v>
          </cell>
          <cell r="G2523" t="str">
            <v>buah</v>
          </cell>
          <cell r="H2523">
            <v>45000</v>
          </cell>
        </row>
        <row r="2524">
          <cell r="F2524" t="str">
            <v xml:space="preserve">Palem Besar Palem Ekor Tupai </v>
          </cell>
          <cell r="G2524" t="str">
            <v>buah</v>
          </cell>
          <cell r="H2524">
            <v>230000</v>
          </cell>
        </row>
        <row r="2525">
          <cell r="F2525" t="str">
            <v>Palem ekor tupai di Polybag 150
Liter</v>
          </cell>
          <cell r="G2525" t="str">
            <v xml:space="preserve">Buah </v>
          </cell>
          <cell r="H2525">
            <v>300000</v>
          </cell>
        </row>
        <row r="2526">
          <cell r="F2526" t="str">
            <v>Palem ekor tupai di Polybag 200
Liter</v>
          </cell>
          <cell r="G2526" t="str">
            <v xml:space="preserve">Buah </v>
          </cell>
          <cell r="H2526">
            <v>400000</v>
          </cell>
        </row>
        <row r="2527">
          <cell r="F2527" t="str">
            <v>Palem ekor tupai di Polybag 250
Liter</v>
          </cell>
          <cell r="G2527" t="str">
            <v xml:space="preserve">Buah </v>
          </cell>
          <cell r="H2527">
            <v>450000</v>
          </cell>
        </row>
        <row r="2528">
          <cell r="F2528" t="str">
            <v xml:space="preserve">Palem Besar Kelapa </v>
          </cell>
          <cell r="G2528" t="str">
            <v>buah</v>
          </cell>
          <cell r="H2528">
            <v>445000</v>
          </cell>
        </row>
        <row r="2529">
          <cell r="F2529" t="str">
            <v xml:space="preserve">Palem Besar Palem Botol </v>
          </cell>
          <cell r="H2529">
            <v>460000</v>
          </cell>
        </row>
        <row r="2530">
          <cell r="F2530" t="str">
            <v>Palem jepang di Polybag 50 Liter</v>
          </cell>
          <cell r="G2530" t="str">
            <v xml:space="preserve">Buah </v>
          </cell>
          <cell r="H2530">
            <v>150000</v>
          </cell>
        </row>
        <row r="2531">
          <cell r="F2531" t="str">
            <v>Palem jepang di Polybag 75
Liter</v>
          </cell>
          <cell r="G2531" t="str">
            <v>Buah</v>
          </cell>
          <cell r="H2531">
            <v>200000</v>
          </cell>
        </row>
        <row r="2532">
          <cell r="F2532" t="str">
            <v>Palem komodoria/
komodor/chamadorea di
Polybag 50 Liter</v>
          </cell>
          <cell r="G2532" t="str">
            <v xml:space="preserve">Buah </v>
          </cell>
          <cell r="H2532">
            <v>150000</v>
          </cell>
        </row>
        <row r="2533">
          <cell r="F2533" t="str">
            <v>Palem komodoria/
komodor/chamadorea di
Polybag 75 Liter</v>
          </cell>
          <cell r="G2533" t="str">
            <v>Buah</v>
          </cell>
          <cell r="H2533">
            <v>200000</v>
          </cell>
        </row>
        <row r="2534">
          <cell r="F2534" t="str">
            <v>Palem kuning di Polybag 50
Liter</v>
          </cell>
          <cell r="G2534" t="str">
            <v xml:space="preserve">Buah </v>
          </cell>
          <cell r="H2534">
            <v>150000</v>
          </cell>
        </row>
        <row r="2535">
          <cell r="F2535" t="str">
            <v>Palem kuning di Polybag 75
Liter</v>
          </cell>
          <cell r="G2535" t="str">
            <v>Buah</v>
          </cell>
          <cell r="H2535">
            <v>200000</v>
          </cell>
        </row>
        <row r="2536">
          <cell r="F2536" t="str">
            <v>Palem Merah/ Pinang Merah di
Polybag 50 Liter</v>
          </cell>
          <cell r="G2536" t="str">
            <v xml:space="preserve">Buah </v>
          </cell>
          <cell r="H2536">
            <v>150000</v>
          </cell>
        </row>
        <row r="2537">
          <cell r="F2537" t="str">
            <v>Palem waregu di Polybag 50
Liter</v>
          </cell>
          <cell r="G2537" t="str">
            <v xml:space="preserve">Buah </v>
          </cell>
          <cell r="H2537">
            <v>150000</v>
          </cell>
        </row>
        <row r="2538">
          <cell r="F2538" t="str">
            <v>Palem waregu di Polybag 75
Liter</v>
          </cell>
          <cell r="G2538" t="str">
            <v xml:space="preserve">Buah </v>
          </cell>
          <cell r="H2538">
            <v>200000</v>
          </cell>
        </row>
        <row r="2539">
          <cell r="F2539" t="str">
            <v>Sikas Halus/Mawar Jambe di
Polybag 50 Liter</v>
          </cell>
          <cell r="G2539" t="str">
            <v>Buah</v>
          </cell>
          <cell r="H2539">
            <v>150000</v>
          </cell>
        </row>
        <row r="2540">
          <cell r="F2540" t="str">
            <v>Sikas Halus/Mawar Jambe di
Polybag 75 Liter</v>
          </cell>
          <cell r="G2540" t="str">
            <v xml:space="preserve">Buah </v>
          </cell>
          <cell r="H2540">
            <v>200000</v>
          </cell>
        </row>
        <row r="2541">
          <cell r="F2541" t="str">
            <v>Palem Phoenix di Polybag 50
Liter</v>
          </cell>
          <cell r="G2541" t="str">
            <v>Buah</v>
          </cell>
          <cell r="H2541">
            <v>150000</v>
          </cell>
        </row>
        <row r="2542">
          <cell r="F2542" t="str">
            <v>Palem Phoenix di Polybag 75
Liter</v>
          </cell>
          <cell r="G2542" t="str">
            <v>Buah</v>
          </cell>
          <cell r="H2542">
            <v>200000</v>
          </cell>
        </row>
        <row r="2543">
          <cell r="F2543" t="str">
            <v>Palem Merah/ Pinang Merah di
Polybag 75 Liter</v>
          </cell>
          <cell r="G2543" t="str">
            <v xml:space="preserve">Buah </v>
          </cell>
          <cell r="H2543">
            <v>200000</v>
          </cell>
        </row>
        <row r="2544">
          <cell r="F2544" t="str">
            <v>Palem Besar Palem Sadeng</v>
          </cell>
          <cell r="G2544" t="str">
            <v xml:space="preserve">Buah </v>
          </cell>
          <cell r="H2544">
            <v>510000</v>
          </cell>
        </row>
        <row r="2545">
          <cell r="F2545" t="str">
            <v>Semak Alamanda di Polybag 5 Liter</v>
          </cell>
          <cell r="G2545" t="str">
            <v xml:space="preserve">Polybag </v>
          </cell>
          <cell r="H2545">
            <v>10000</v>
          </cell>
        </row>
        <row r="2546">
          <cell r="F2546" t="str">
            <v>Semak Alamanda di Polybag 11 Liter</v>
          </cell>
          <cell r="G2546" t="str">
            <v xml:space="preserve">Polybag </v>
          </cell>
          <cell r="H2546">
            <v>15000</v>
          </cell>
        </row>
        <row r="2547">
          <cell r="F2547" t="str">
            <v>Semak Alamanda di Polybag 20 Liter</v>
          </cell>
          <cell r="G2547" t="str">
            <v xml:space="preserve">Polybag </v>
          </cell>
          <cell r="H2547">
            <v>20000</v>
          </cell>
        </row>
        <row r="2548">
          <cell r="F2548" t="str">
            <v>Semak Alamanda/Bunga
terompet emas di Polybag 5
Liter</v>
          </cell>
          <cell r="G2548" t="str">
            <v>Buah</v>
          </cell>
          <cell r="H2548">
            <v>3000</v>
          </cell>
        </row>
        <row r="2549">
          <cell r="F2549" t="str">
            <v>Semak Alamanda/Bunga
terompet emas di Polybag 11
Liter</v>
          </cell>
          <cell r="G2549" t="str">
            <v xml:space="preserve">Buah </v>
          </cell>
          <cell r="H2549">
            <v>5000</v>
          </cell>
        </row>
        <row r="2550">
          <cell r="F2550" t="str">
            <v>Semak Alamanda/Bunga
terompet emas di Polybag 20 Liter</v>
          </cell>
          <cell r="G2550" t="str">
            <v xml:space="preserve">Buah </v>
          </cell>
          <cell r="H2550">
            <v>9000</v>
          </cell>
        </row>
        <row r="2551">
          <cell r="F2551" t="str">
            <v>Semak Agave/lidah naga di
Polybag 11 Liter</v>
          </cell>
          <cell r="G2551" t="str">
            <v xml:space="preserve">Buah </v>
          </cell>
          <cell r="H2551">
            <v>5000</v>
          </cell>
        </row>
        <row r="2552">
          <cell r="F2552" t="str">
            <v>Semak Agave/lidah naga di
Polybag 20 Liter</v>
          </cell>
          <cell r="G2552" t="str">
            <v xml:space="preserve">Buah </v>
          </cell>
          <cell r="H2552">
            <v>9000</v>
          </cell>
        </row>
        <row r="2553">
          <cell r="F2553" t="str">
            <v>Semak Bakung Lele di Polybag
5 Liter</v>
          </cell>
          <cell r="G2553" t="str">
            <v xml:space="preserve">Buah </v>
          </cell>
          <cell r="H2553">
            <v>3500</v>
          </cell>
        </row>
        <row r="2554">
          <cell r="F2554" t="str">
            <v>Semak Bakung Lele di
Polybag 11 Liter</v>
          </cell>
          <cell r="G2554" t="str">
            <v xml:space="preserve">Buah </v>
          </cell>
          <cell r="H2554">
            <v>5000</v>
          </cell>
        </row>
        <row r="2555">
          <cell r="F2555" t="str">
            <v>Semak Bakung Jawa di
Polybag 11 Liter</v>
          </cell>
          <cell r="G2555" t="str">
            <v xml:space="preserve">Buah </v>
          </cell>
          <cell r="H2555">
            <v>5000</v>
          </cell>
        </row>
        <row r="2556">
          <cell r="F2556" t="str">
            <v>Semak Bakung Jawa di Polybag
20 Liter</v>
          </cell>
          <cell r="G2556" t="str">
            <v xml:space="preserve">Buah </v>
          </cell>
          <cell r="H2556">
            <v>9000</v>
          </cell>
        </row>
        <row r="2557">
          <cell r="F2557" t="str">
            <v>Semak Bromelia di Polybag
11 Liter</v>
          </cell>
          <cell r="G2557" t="str">
            <v xml:space="preserve">Buah </v>
          </cell>
          <cell r="H2557">
            <v>5000</v>
          </cell>
        </row>
        <row r="2558">
          <cell r="F2558" t="str">
            <v>Semak Bromelia di Polybag 20
Liter</v>
          </cell>
          <cell r="G2558" t="str">
            <v xml:space="preserve">Buah </v>
          </cell>
          <cell r="H2558">
            <v>9000</v>
          </cell>
        </row>
        <row r="2559">
          <cell r="F2559" t="str">
            <v>Semak Bugenvil/bunga kertas di
Polybag 20 Liter</v>
          </cell>
          <cell r="G2559" t="str">
            <v xml:space="preserve">Buah </v>
          </cell>
          <cell r="H2559">
            <v>9000</v>
          </cell>
        </row>
        <row r="2560">
          <cell r="F2560" t="str">
            <v>Semak Bunga Iris di Polybag 5
Liter</v>
          </cell>
          <cell r="G2560" t="str">
            <v xml:space="preserve">Buah </v>
          </cell>
          <cell r="H2560">
            <v>3000</v>
          </cell>
        </row>
        <row r="2561">
          <cell r="F2561" t="str">
            <v>Semak Bunga Terompet
Kuning di Polybag 11 Liter</v>
          </cell>
          <cell r="G2561" t="str">
            <v>Buah</v>
          </cell>
          <cell r="H2561">
            <v>5000</v>
          </cell>
        </row>
        <row r="2562">
          <cell r="F2562" t="str">
            <v>Semak Bunga Terompet Kuning di
Polybag 20 Liter</v>
          </cell>
          <cell r="G2562" t="str">
            <v xml:space="preserve">Buah </v>
          </cell>
          <cell r="H2562">
            <v>9000</v>
          </cell>
        </row>
        <row r="2563">
          <cell r="F2563" t="str">
            <v>Semak Calathea di Polybag 5
Liter</v>
          </cell>
          <cell r="G2563" t="str">
            <v xml:space="preserve">Buah </v>
          </cell>
          <cell r="H2563">
            <v>3000</v>
          </cell>
        </row>
        <row r="2564">
          <cell r="F2564" t="str">
            <v>Semak Canna di Polybag 20 Liter</v>
          </cell>
          <cell r="G2564" t="str">
            <v xml:space="preserve">Buah </v>
          </cell>
          <cell r="H2564">
            <v>9000</v>
          </cell>
        </row>
        <row r="2565">
          <cell r="F2565" t="str">
            <v>Semak Capit Udang</v>
          </cell>
          <cell r="G2565" t="str">
            <v xml:space="preserve">Buah </v>
          </cell>
          <cell r="H2565">
            <v>2100</v>
          </cell>
        </row>
        <row r="2566">
          <cell r="F2566" t="str">
            <v>Semak Cendrawasih di Polybag
5 Liter</v>
          </cell>
          <cell r="G2566" t="str">
            <v xml:space="preserve">Buah </v>
          </cell>
          <cell r="H2566">
            <v>3000</v>
          </cell>
        </row>
        <row r="2567">
          <cell r="F2567" t="str">
            <v>Semak Costus di Polybag 11
Liter</v>
          </cell>
          <cell r="G2567" t="str">
            <v>Buah</v>
          </cell>
          <cell r="H2567">
            <v>5000</v>
          </cell>
        </row>
        <row r="2568">
          <cell r="F2568" t="str">
            <v>Semak Costus di Polybag 11
Liter</v>
          </cell>
          <cell r="G2568" t="str">
            <v>Buah</v>
          </cell>
          <cell r="H2568">
            <v>5000</v>
          </cell>
        </row>
        <row r="2569">
          <cell r="F2569" t="str">
            <v>Semak Dracaena ‘Song of
India’ di Polybag 11 Liter</v>
          </cell>
          <cell r="G2569" t="str">
            <v xml:space="preserve">Buah </v>
          </cell>
          <cell r="H2569">
            <v>5000</v>
          </cell>
        </row>
        <row r="2570">
          <cell r="F2570" t="str">
            <v>Semak Dracaena 'Song of
Jamaica' di Polybag 11 Liter</v>
          </cell>
          <cell r="G2570" t="str">
            <v xml:space="preserve">Buah </v>
          </cell>
          <cell r="H2570">
            <v>5000</v>
          </cell>
        </row>
        <row r="2571">
          <cell r="F2571" t="str">
            <v>Semak Dracaena ‘Song of India’ di
Polybag 20 Liter</v>
          </cell>
          <cell r="G2571" t="str">
            <v xml:space="preserve">Buah </v>
          </cell>
          <cell r="H2571">
            <v>9000</v>
          </cell>
        </row>
        <row r="2572">
          <cell r="F2572" t="str">
            <v>Semak Dracaena 'Song of
Jamaica' di Polybag 20 Liter</v>
          </cell>
          <cell r="G2572" t="str">
            <v xml:space="preserve">Buah </v>
          </cell>
          <cell r="H2572">
            <v>9000</v>
          </cell>
        </row>
        <row r="2573">
          <cell r="F2573" t="str">
            <v>Semak Helliconia di Polybag
11 Liter</v>
          </cell>
          <cell r="G2573" t="str">
            <v xml:space="preserve">Buah </v>
          </cell>
          <cell r="H2573">
            <v>5000</v>
          </cell>
        </row>
        <row r="2574">
          <cell r="F2574" t="str">
            <v>Semak Helliconia di Polybag 20
Liter</v>
          </cell>
          <cell r="G2574" t="str">
            <v xml:space="preserve">Buah </v>
          </cell>
          <cell r="H2574">
            <v>9000</v>
          </cell>
        </row>
        <row r="2575">
          <cell r="F2575" t="str">
            <v>Semak Honje/Kecombrang di
Polybag 11 Liter</v>
          </cell>
          <cell r="G2575" t="str">
            <v xml:space="preserve">Buah </v>
          </cell>
          <cell r="H2575">
            <v>5000</v>
          </cell>
        </row>
        <row r="2576">
          <cell r="F2576" t="str">
            <v>Semak Honje/Kecombrang di
Polybag 20 Liter</v>
          </cell>
          <cell r="G2576" t="str">
            <v xml:space="preserve">Buah </v>
          </cell>
          <cell r="H2576">
            <v>9000</v>
          </cell>
        </row>
        <row r="2577">
          <cell r="F2577" t="str">
            <v>Semak Hujan Mas di Polybag 5
Liter</v>
          </cell>
          <cell r="G2577" t="str">
            <v xml:space="preserve">Buah </v>
          </cell>
          <cell r="H2577">
            <v>3000</v>
          </cell>
        </row>
        <row r="2578">
          <cell r="F2578" t="str">
            <v>Semak Hujan Mas di Polybag
11 Liter</v>
          </cell>
          <cell r="G2578" t="str">
            <v xml:space="preserve">Buah </v>
          </cell>
          <cell r="H2578">
            <v>5000</v>
          </cell>
        </row>
        <row r="2579">
          <cell r="F2579" t="str">
            <v>Semak Hujan Mas di Polybag 20
Liter</v>
          </cell>
          <cell r="G2579" t="str">
            <v xml:space="preserve">Buah </v>
          </cell>
          <cell r="H2579">
            <v>9000</v>
          </cell>
        </row>
        <row r="2580">
          <cell r="F2580" t="str">
            <v>Semak Kacapiring
wangi/Gardenia di Polybag 5
Liter</v>
          </cell>
          <cell r="G2580" t="str">
            <v xml:space="preserve">Buah </v>
          </cell>
          <cell r="H2580">
            <v>3000</v>
          </cell>
        </row>
        <row r="2581">
          <cell r="F2581" t="str">
            <v>Semak Kaca piring di Polybag
11 Liter</v>
          </cell>
          <cell r="G2581" t="str">
            <v>Buah</v>
          </cell>
          <cell r="H2581">
            <v>5000</v>
          </cell>
        </row>
        <row r="2582">
          <cell r="F2582" t="str">
            <v>Semak Kacapiring
wangi/Gardenia di Polybag
11 Liter</v>
          </cell>
          <cell r="G2582" t="str">
            <v xml:space="preserve">Buah </v>
          </cell>
          <cell r="H2582">
            <v>5000</v>
          </cell>
        </row>
        <row r="2583">
          <cell r="F2583" t="str">
            <v>Semak Kacapiring
wangi/Gardenia di Polybag 20
Liter</v>
          </cell>
          <cell r="G2583" t="str">
            <v xml:space="preserve">Buah </v>
          </cell>
          <cell r="H2583">
            <v>9000</v>
          </cell>
        </row>
        <row r="2584">
          <cell r="F2584" t="str">
            <v>Semak Kembang sepatu di
Polybag 20 Liter</v>
          </cell>
          <cell r="G2584" t="str">
            <v xml:space="preserve">Buah </v>
          </cell>
          <cell r="H2584">
            <v>9000</v>
          </cell>
        </row>
        <row r="2585">
          <cell r="F2585" t="str">
            <v>Semak Kemuning di Polybag 5
Liter</v>
          </cell>
          <cell r="G2585" t="str">
            <v>Buah</v>
          </cell>
          <cell r="H2585">
            <v>3000</v>
          </cell>
        </row>
        <row r="2586">
          <cell r="F2586" t="str">
            <v>Semak Kana di Polybag 11
Liter</v>
          </cell>
          <cell r="G2586" t="str">
            <v xml:space="preserve">Buah </v>
          </cell>
          <cell r="H2586">
            <v>5000</v>
          </cell>
        </row>
        <row r="2587">
          <cell r="F2587" t="str">
            <v>Semak Lili Brazil di Polybag
11 Liter</v>
          </cell>
          <cell r="G2587" t="str">
            <v xml:space="preserve">Buah </v>
          </cell>
          <cell r="H2587">
            <v>5000</v>
          </cell>
        </row>
        <row r="2588">
          <cell r="F2588" t="str">
            <v>Semak Melati Putih di Polybag
5 Liter</v>
          </cell>
          <cell r="G2588" t="str">
            <v>Buah</v>
          </cell>
          <cell r="H2588">
            <v>3000</v>
          </cell>
        </row>
        <row r="2589">
          <cell r="F2589" t="str">
            <v>Semak Melati Putih di
Polybag 11 Liter</v>
          </cell>
          <cell r="G2589" t="str">
            <v xml:space="preserve">Buah </v>
          </cell>
          <cell r="H2589">
            <v>5000</v>
          </cell>
        </row>
        <row r="2590">
          <cell r="F2590" t="str">
            <v>Semak Nusa Indah di
Polybag 11 Liter</v>
          </cell>
          <cell r="G2590" t="str">
            <v>Buah</v>
          </cell>
          <cell r="H2590">
            <v>5000</v>
          </cell>
        </row>
        <row r="2591">
          <cell r="F2591" t="str">
            <v>Semak Oleander/Bunga
Mentega di Polybag 11 Liter</v>
          </cell>
          <cell r="G2591" t="str">
            <v xml:space="preserve">Buah </v>
          </cell>
          <cell r="H2591">
            <v>5000</v>
          </cell>
        </row>
        <row r="2592">
          <cell r="F2592" t="str">
            <v>Semak Oleander/Bunga Mentega
di Polybag 20 Liter</v>
          </cell>
          <cell r="G2592" t="str">
            <v xml:space="preserve">Buah </v>
          </cell>
          <cell r="H2592">
            <v>9000</v>
          </cell>
        </row>
        <row r="2593">
          <cell r="F2593" t="str">
            <v>Semak Pandan Kuning di
Polybag 5 Liter</v>
          </cell>
          <cell r="G2593" t="str">
            <v>Buah</v>
          </cell>
          <cell r="H2593">
            <v>3000</v>
          </cell>
        </row>
        <row r="2594">
          <cell r="F2594" t="str">
            <v>Semak Penda Emas di Polybag 20
Liter</v>
          </cell>
          <cell r="G2594" t="str">
            <v xml:space="preserve">Buah </v>
          </cell>
          <cell r="H2594">
            <v>9000</v>
          </cell>
        </row>
        <row r="2595">
          <cell r="F2595" t="str">
            <v>Semak Pretty Pink di Polybag 5
Liter</v>
          </cell>
          <cell r="G2595" t="str">
            <v>Buah</v>
          </cell>
          <cell r="H2595">
            <v>3000</v>
          </cell>
        </row>
        <row r="2596">
          <cell r="F2596" t="str">
            <v>Semak Pretty Pink di Polybag
11 Liter</v>
          </cell>
          <cell r="G2596" t="str">
            <v xml:space="preserve">Buah </v>
          </cell>
          <cell r="H2596">
            <v>5000</v>
          </cell>
        </row>
        <row r="2597">
          <cell r="F2597" t="str">
            <v>Semak Puring di Polybag 11
Liter</v>
          </cell>
          <cell r="G2597" t="str">
            <v xml:space="preserve">Buah </v>
          </cell>
          <cell r="H2597">
            <v>5000</v>
          </cell>
        </row>
        <row r="2598">
          <cell r="F2598" t="str">
            <v>Semak Puring di Polybag 20 Liter</v>
          </cell>
          <cell r="G2598" t="str">
            <v xml:space="preserve">Buah </v>
          </cell>
          <cell r="H2598">
            <v>9000</v>
          </cell>
        </row>
        <row r="2599">
          <cell r="F2599" t="str">
            <v>Semak Ruelia / Kencana
Ungu di Polybag 11 Liter</v>
          </cell>
          <cell r="G2599" t="str">
            <v xml:space="preserve">Buah </v>
          </cell>
          <cell r="H2599">
            <v>5000</v>
          </cell>
        </row>
        <row r="2600">
          <cell r="F2600" t="str">
            <v>Semak Sansevieria/Lidah
Mertua di Polybag 5 Liter</v>
          </cell>
          <cell r="G2600" t="str">
            <v xml:space="preserve">Buah </v>
          </cell>
          <cell r="H2600">
            <v>3000</v>
          </cell>
        </row>
        <row r="2601">
          <cell r="F2601" t="str">
            <v>Semak Sansevieria/Lidah
Mertua di Polybag 11 Liter</v>
          </cell>
          <cell r="G2601" t="str">
            <v xml:space="preserve">Buah </v>
          </cell>
          <cell r="H2601">
            <v>5000</v>
          </cell>
        </row>
        <row r="2602">
          <cell r="F2602" t="str">
            <v>Semak Soka di Polybag 11
Liter</v>
          </cell>
          <cell r="G2602" t="str">
            <v xml:space="preserve">Buah </v>
          </cell>
          <cell r="H2602">
            <v>5000</v>
          </cell>
        </row>
        <row r="2603">
          <cell r="F2603" t="str">
            <v>Semak Tabernae/Mondokaki di
Polybag 5 Liter</v>
          </cell>
          <cell r="G2603" t="str">
            <v xml:space="preserve">Buah </v>
          </cell>
          <cell r="H2603">
            <v>3000</v>
          </cell>
        </row>
        <row r="2604">
          <cell r="F2604" t="str">
            <v>Semak Tabernae di Polybag
11 Liter</v>
          </cell>
          <cell r="G2604" t="str">
            <v xml:space="preserve">Buah </v>
          </cell>
          <cell r="H2604">
            <v>5000</v>
          </cell>
        </row>
        <row r="2605">
          <cell r="F2605" t="str">
            <v>Semak Tabernac di Polybag 20
Liter</v>
          </cell>
          <cell r="G2605" t="str">
            <v xml:space="preserve">Buah </v>
          </cell>
          <cell r="H2605">
            <v>9000</v>
          </cell>
        </row>
        <row r="2606">
          <cell r="F2606" t="str">
            <v>Semak Walisongo/Umbrella
tree di Polybag 5 Liter</v>
          </cell>
          <cell r="G2606" t="str">
            <v xml:space="preserve">Buah </v>
          </cell>
          <cell r="H2606">
            <v>3000</v>
          </cell>
        </row>
        <row r="2607">
          <cell r="F2607" t="str">
            <v>Semak Walisongo/Umbrella
Tree di Polybag 11 Liter</v>
          </cell>
          <cell r="G2607" t="str">
            <v xml:space="preserve">Buah </v>
          </cell>
          <cell r="H2607">
            <v>5000</v>
          </cell>
        </row>
        <row r="2608">
          <cell r="F2608" t="str">
            <v>Semak Walisongo/Umbrella Tree
di Polybag 20 Liter</v>
          </cell>
          <cell r="G2608" t="str">
            <v xml:space="preserve">Buah </v>
          </cell>
          <cell r="H2608">
            <v>9000</v>
          </cell>
        </row>
        <row r="2609">
          <cell r="F2609" t="str">
            <v xml:space="preserve">Penutup Tanah Kacang Hias </v>
          </cell>
          <cell r="H2609">
            <v>2500</v>
          </cell>
        </row>
        <row r="2610">
          <cell r="F2610" t="str">
            <v>Penutup Tanah Kacang hias di
Polybag 0.5 Liter</v>
          </cell>
          <cell r="G2610" t="str">
            <v>m2</v>
          </cell>
          <cell r="H2610">
            <v>15000</v>
          </cell>
        </row>
        <row r="2611">
          <cell r="F2611" t="str">
            <v>Penutup Tanah Kucai Mini di
Polybag 0.5 Liter</v>
          </cell>
          <cell r="G2611" t="str">
            <v>m2</v>
          </cell>
          <cell r="H2611">
            <v>15000</v>
          </cell>
        </row>
        <row r="2612">
          <cell r="F2612" t="str">
            <v>Penutup Tanah Lantana di
Polybag 0.5 Liter</v>
          </cell>
          <cell r="G2612" t="str">
            <v>m2</v>
          </cell>
          <cell r="H2612">
            <v>15000</v>
          </cell>
        </row>
        <row r="2613">
          <cell r="F2613" t="str">
            <v>Penutup Tanah Sutra bombay
di Polybag 0.5 Liter</v>
          </cell>
          <cell r="G2613" t="str">
            <v>m2</v>
          </cell>
          <cell r="H2613">
            <v>15000</v>
          </cell>
        </row>
        <row r="2614">
          <cell r="F2614" t="str">
            <v>Penutup Tanah Widelia di
Polybag 0.5 Liter</v>
          </cell>
          <cell r="G2614" t="str">
            <v>m2</v>
          </cell>
          <cell r="H2614">
            <v>15000</v>
          </cell>
        </row>
        <row r="2615">
          <cell r="F2615" t="str">
            <v>Rumput embun</v>
          </cell>
          <cell r="G2615" t="str">
            <v>m2</v>
          </cell>
          <cell r="H2615">
            <v>17000</v>
          </cell>
        </row>
        <row r="2616">
          <cell r="F2616" t="str">
            <v>Rumput gajah</v>
          </cell>
          <cell r="G2616" t="str">
            <v>m2</v>
          </cell>
          <cell r="H2616">
            <v>10000</v>
          </cell>
        </row>
        <row r="2617">
          <cell r="F2617" t="str">
            <v>Rumput Gajah Mini</v>
          </cell>
          <cell r="G2617" t="str">
            <v>m2</v>
          </cell>
          <cell r="H2617">
            <v>15000</v>
          </cell>
        </row>
        <row r="2618">
          <cell r="F2618" t="str">
            <v>Rumput peking</v>
          </cell>
          <cell r="G2618" t="str">
            <v>m2</v>
          </cell>
          <cell r="H2618">
            <v>19000</v>
          </cell>
        </row>
        <row r="2619">
          <cell r="F2619" t="str">
            <v xml:space="preserve">Matras Tipe I, Termasuk angkur / penguat matras </v>
          </cell>
          <cell r="G2619" t="str">
            <v>m2</v>
          </cell>
          <cell r="H2619">
            <v>5600</v>
          </cell>
        </row>
        <row r="2620">
          <cell r="F2620" t="str">
            <v xml:space="preserve">Perekat Campuran Hydroseeding </v>
          </cell>
          <cell r="G2620" t="str">
            <v>kg</v>
          </cell>
          <cell r="H2620">
            <v>16000</v>
          </cell>
        </row>
        <row r="2621">
          <cell r="F2621" t="str">
            <v>Bibit Vegetasi (Biji Rumput)</v>
          </cell>
          <cell r="G2621" t="str">
            <v>kg</v>
          </cell>
          <cell r="H2621">
            <v>80000</v>
          </cell>
        </row>
        <row r="2622">
          <cell r="F2622" t="str">
            <v xml:space="preserve">Mulsa </v>
          </cell>
          <cell r="G2622" t="str">
            <v>kg</v>
          </cell>
          <cell r="H2622">
            <v>35000</v>
          </cell>
        </row>
        <row r="2623">
          <cell r="F2623" t="str">
            <v>Pupuk anorganik *)</v>
          </cell>
          <cell r="G2623" t="str">
            <v>kg</v>
          </cell>
          <cell r="H2623">
            <v>18000</v>
          </cell>
        </row>
        <row r="2624">
          <cell r="F2624" t="str">
            <v>Pupuk anorganik (ex: NPK)</v>
          </cell>
          <cell r="G2624" t="str">
            <v>m3</v>
          </cell>
          <cell r="H2624">
            <v>180000</v>
          </cell>
        </row>
        <row r="2625">
          <cell r="F2625" t="str">
            <v>Pupuk anorganik cair (ex: NPK)</v>
          </cell>
          <cell r="G2625" t="str">
            <v>M3</v>
          </cell>
          <cell r="H2625">
            <v>150000</v>
          </cell>
        </row>
        <row r="2626">
          <cell r="F2626" t="str">
            <v xml:space="preserve">Pupuk anorganik padat </v>
          </cell>
          <cell r="G2626" t="str">
            <v>m3</v>
          </cell>
          <cell r="H2626">
            <v>150000</v>
          </cell>
        </row>
        <row r="2627">
          <cell r="F2627" t="str">
            <v>Perekat Matras
Perkuatan (Lem)</v>
          </cell>
          <cell r="G2627" t="str">
            <v>kg</v>
          </cell>
          <cell r="H2627">
            <v>18000</v>
          </cell>
        </row>
        <row r="2628">
          <cell r="F2628" t="str">
            <v xml:space="preserve">Matras Tipe II, Termasuk angkur / penguat matras </v>
          </cell>
          <cell r="G2628" t="str">
            <v>m2</v>
          </cell>
          <cell r="H2628">
            <v>7500</v>
          </cell>
        </row>
        <row r="2629">
          <cell r="F2629" t="str">
            <v xml:space="preserve">Matras Tipe III, Termasuk angkur / penguat matras </v>
          </cell>
          <cell r="H2629">
            <v>9500</v>
          </cell>
        </row>
        <row r="2630">
          <cell r="F2630" t="str">
            <v>Bibit Vegetasi (Biji Legume Crop Cover/LCC)</v>
          </cell>
          <cell r="G2630" t="str">
            <v>kg</v>
          </cell>
          <cell r="H2630">
            <v>166000</v>
          </cell>
        </row>
        <row r="2631">
          <cell r="F2631" t="str">
            <v xml:space="preserve">Material Organik </v>
          </cell>
          <cell r="G2631" t="str">
            <v>m3</v>
          </cell>
          <cell r="H2631">
            <v>10500</v>
          </cell>
        </row>
        <row r="2632">
          <cell r="F2632" t="str">
            <v xml:space="preserve">Kapur </v>
          </cell>
          <cell r="G2632" t="str">
            <v xml:space="preserve">kg </v>
          </cell>
          <cell r="H2632">
            <v>3100</v>
          </cell>
        </row>
        <row r="2633">
          <cell r="F2633" t="str">
            <v xml:space="preserve">Pasir </v>
          </cell>
          <cell r="G2633" t="str">
            <v>m3</v>
          </cell>
          <cell r="H2633">
            <v>250000</v>
          </cell>
        </row>
        <row r="2634">
          <cell r="F2634" t="str">
            <v xml:space="preserve">sulfur </v>
          </cell>
          <cell r="G2634" t="str">
            <v>kg</v>
          </cell>
          <cell r="H2634">
            <v>12000</v>
          </cell>
        </row>
        <row r="2635">
          <cell r="F2635" t="str">
            <v>Air Bersih</v>
          </cell>
          <cell r="G2635" t="str">
            <v xml:space="preserve">liter </v>
          </cell>
          <cell r="H2635">
            <v>550</v>
          </cell>
        </row>
        <row r="2636">
          <cell r="F2636" t="str">
            <v>Fungisida/Insektisida</v>
          </cell>
          <cell r="G2636" t="str">
            <v xml:space="preserve">kg </v>
          </cell>
          <cell r="H2636">
            <v>430000</v>
          </cell>
        </row>
        <row r="2637">
          <cell r="F2637" t="str">
            <v>Cat Minyak</v>
          </cell>
          <cell r="G2637" t="str">
            <v xml:space="preserve">liter </v>
          </cell>
          <cell r="H2637">
            <v>48500</v>
          </cell>
        </row>
        <row r="2638">
          <cell r="F2638" t="str">
            <v>Tong Sampah 2 tabung</v>
          </cell>
          <cell r="G2638" t="str">
            <v>buah</v>
          </cell>
          <cell r="H2638">
            <v>340000</v>
          </cell>
        </row>
        <row r="2639">
          <cell r="F2639" t="str">
            <v>Besi Hollow 30x60</v>
          </cell>
          <cell r="G2639" t="str">
            <v>m3</v>
          </cell>
          <cell r="H2639">
            <v>13700</v>
          </cell>
        </row>
        <row r="2640">
          <cell r="F2640" t="str">
            <v xml:space="preserve">Bambu* dia. 3-5 cm </v>
          </cell>
          <cell r="G2640" t="str">
            <v>m'</v>
          </cell>
          <cell r="H2640">
            <v>700</v>
          </cell>
        </row>
        <row r="2641">
          <cell r="F2641" t="str">
            <v xml:space="preserve">Bambu* dia. 5-8 cm </v>
          </cell>
          <cell r="G2641" t="str">
            <v>m</v>
          </cell>
          <cell r="H2641">
            <v>900</v>
          </cell>
        </row>
        <row r="2642">
          <cell r="F2642" t="str">
            <v xml:space="preserve">bambu* dia. 8-10 cm </v>
          </cell>
          <cell r="G2642" t="str">
            <v>M</v>
          </cell>
          <cell r="H2642">
            <v>12000</v>
          </cell>
        </row>
        <row r="2643">
          <cell r="F2643" t="str">
            <v xml:space="preserve">bambu* dia. 10-12 cm </v>
          </cell>
          <cell r="G2643" t="str">
            <v>m</v>
          </cell>
          <cell r="H2643">
            <v>15000</v>
          </cell>
        </row>
        <row r="2644">
          <cell r="F2644" t="str">
            <v xml:space="preserve">Tali/pengikat sejenisnya </v>
          </cell>
          <cell r="G2644" t="str">
            <v>m</v>
          </cell>
          <cell r="H2644">
            <v>500</v>
          </cell>
        </row>
        <row r="2645">
          <cell r="F2645" t="str">
            <v>Sewa Lahan</v>
          </cell>
          <cell r="G2645" t="str">
            <v>m2</v>
          </cell>
          <cell r="H2645">
            <v>1000000</v>
          </cell>
        </row>
        <row r="2647">
          <cell r="F2647" t="str">
            <v>Alat  bantu</v>
          </cell>
          <cell r="G2647" t="str">
            <v>set</v>
          </cell>
          <cell r="H2647">
            <v>50000</v>
          </cell>
        </row>
        <row r="2648">
          <cell r="F2648" t="str">
            <v>Asphalt Distributor</v>
          </cell>
          <cell r="G2648" t="str">
            <v>jam</v>
          </cell>
          <cell r="H2648">
            <v>307300</v>
          </cell>
        </row>
        <row r="2649">
          <cell r="F2649" t="str">
            <v>Asphalt  finisher</v>
          </cell>
          <cell r="G2649" t="str">
            <v>jam</v>
          </cell>
          <cell r="H2649">
            <v>602500</v>
          </cell>
        </row>
        <row r="2650">
          <cell r="F2650" t="str">
            <v>Asphalt  liquid mixer 1000 ℓ</v>
          </cell>
          <cell r="G2650" t="str">
            <v>jam</v>
          </cell>
          <cell r="H2650">
            <v>61100</v>
          </cell>
        </row>
        <row r="2651">
          <cell r="F2651" t="str">
            <v>Asphalt  mixing plant</v>
          </cell>
          <cell r="G2651" t="str">
            <v>jam</v>
          </cell>
          <cell r="H2651">
            <v>6253800</v>
          </cell>
        </row>
        <row r="2652">
          <cell r="F2652" t="str">
            <v>Asphalt  sprayer 850 ℓ</v>
          </cell>
          <cell r="G2652" t="str">
            <v>jam</v>
          </cell>
          <cell r="H2652">
            <v>74900</v>
          </cell>
        </row>
        <row r="2653">
          <cell r="F2653" t="str">
            <v>Bender baja beton</v>
          </cell>
          <cell r="G2653" t="str">
            <v>hari</v>
          </cell>
          <cell r="H2653">
            <v>850000</v>
          </cell>
        </row>
        <row r="2654">
          <cell r="F2654" t="str">
            <v>Blending equipment</v>
          </cell>
          <cell r="G2654" t="str">
            <v>jam</v>
          </cell>
          <cell r="H2654">
            <v>235000</v>
          </cell>
        </row>
        <row r="2655">
          <cell r="F2655" t="str">
            <v>Bore pile machine</v>
          </cell>
          <cell r="G2655" t="str">
            <v>jam</v>
          </cell>
          <cell r="H2655">
            <v>476900</v>
          </cell>
        </row>
        <row r="2656">
          <cell r="F2656" t="str">
            <v>Bulldozer 100-150 HP</v>
          </cell>
          <cell r="G2656" t="str">
            <v>jam</v>
          </cell>
          <cell r="H2656">
            <v>912500</v>
          </cell>
        </row>
        <row r="2657">
          <cell r="F2657" t="str">
            <v>Chain saw</v>
          </cell>
          <cell r="G2657" t="str">
            <v>jam</v>
          </cell>
          <cell r="H2657">
            <v>60200</v>
          </cell>
        </row>
        <row r="2658">
          <cell r="F2658" t="str">
            <v>Chainsaw 20”; 5,5HP</v>
          </cell>
          <cell r="G2658" t="str">
            <v>hari</v>
          </cell>
          <cell r="H2658">
            <v>300000</v>
          </cell>
        </row>
        <row r="2659">
          <cell r="F2659" t="str">
            <v>Chainsaw 30”; 7,5HP</v>
          </cell>
          <cell r="G2659" t="str">
            <v>hari</v>
          </cell>
          <cell r="H2659">
            <v>300000</v>
          </cell>
        </row>
        <row r="2660">
          <cell r="F2660" t="str">
            <v>Cold milling machine</v>
          </cell>
          <cell r="G2660" t="str">
            <v>jam</v>
          </cell>
          <cell r="H2660">
            <v>648500</v>
          </cell>
        </row>
        <row r="2661">
          <cell r="F2661" t="str">
            <v>Colt T-120 (D); R-Blk. 4; 12 m3</v>
          </cell>
          <cell r="G2661" t="str">
            <v>jam</v>
          </cell>
          <cell r="H2661">
            <v>314110.76</v>
          </cell>
        </row>
        <row r="2662">
          <cell r="F2662" t="str">
            <v>Compressor 4000-6500 ℓ\m</v>
          </cell>
          <cell r="G2662" t="str">
            <v>jam</v>
          </cell>
          <cell r="H2662">
            <v>185500</v>
          </cell>
        </row>
        <row r="2663">
          <cell r="F2663" t="str">
            <v>Compressor bor</v>
          </cell>
          <cell r="G2663" t="str">
            <v>unit</v>
          </cell>
          <cell r="H2663">
            <v>700000</v>
          </cell>
        </row>
        <row r="2664">
          <cell r="F2664" t="str">
            <v>Concrete mixer 350 ℓ</v>
          </cell>
          <cell r="G2664" t="str">
            <v>jam</v>
          </cell>
          <cell r="H2664">
            <v>94600</v>
          </cell>
        </row>
        <row r="2665">
          <cell r="F2665" t="str">
            <v>Concrete mixer 500 ℓ</v>
          </cell>
          <cell r="G2665" t="str">
            <v>jam</v>
          </cell>
          <cell r="H2665">
            <v>103400</v>
          </cell>
        </row>
        <row r="2666">
          <cell r="F2666" t="str">
            <v>Concrete mixer truck 5 m³</v>
          </cell>
          <cell r="G2666" t="str">
            <v>jam</v>
          </cell>
          <cell r="H2666">
            <v>576100</v>
          </cell>
        </row>
        <row r="2667">
          <cell r="F2667" t="str">
            <v>Concrete pan mixer</v>
          </cell>
          <cell r="G2667" t="str">
            <v>jam</v>
          </cell>
          <cell r="H2667">
            <v>800700</v>
          </cell>
        </row>
        <row r="2668">
          <cell r="F2668" t="str">
            <v>Concrete pump</v>
          </cell>
          <cell r="G2668" t="str">
            <v>jam</v>
          </cell>
          <cell r="H2668">
            <v>296800</v>
          </cell>
        </row>
        <row r="2669">
          <cell r="F2669" t="str">
            <v>Concrete slip form paver</v>
          </cell>
          <cell r="G2669" t="str">
            <v>jam</v>
          </cell>
          <cell r="H2669">
            <v>582400</v>
          </cell>
        </row>
        <row r="2670">
          <cell r="F2670" t="str">
            <v>Concrete vibrator</v>
          </cell>
          <cell r="G2670" t="str">
            <v>hari</v>
          </cell>
          <cell r="H2670">
            <v>800000</v>
          </cell>
        </row>
        <row r="2671">
          <cell r="F2671" t="str">
            <v>Crane on track 35 ton</v>
          </cell>
          <cell r="G2671" t="str">
            <v>jam</v>
          </cell>
          <cell r="H2671">
            <v>440800</v>
          </cell>
        </row>
        <row r="2672">
          <cell r="F2672" t="str">
            <v>Crane Truck 3 ton; Winch 5 Ton</v>
          </cell>
          <cell r="G2672" t="str">
            <v>jam</v>
          </cell>
          <cell r="H2672">
            <v>430662.86</v>
          </cell>
        </row>
        <row r="2673">
          <cell r="F2673" t="str">
            <v>Crane on wheel 10-15 ton</v>
          </cell>
          <cell r="G2673" t="str">
            <v>jam</v>
          </cell>
          <cell r="H2673">
            <v>359800</v>
          </cell>
        </row>
        <row r="2674">
          <cell r="F2674" t="str">
            <v>Cutter baja beton</v>
          </cell>
          <cell r="G2674" t="str">
            <v>hari</v>
          </cell>
          <cell r="H2674">
            <v>800000</v>
          </cell>
        </row>
        <row r="2675">
          <cell r="F2675" t="str">
            <v>Cutting machine</v>
          </cell>
          <cell r="G2675" t="str">
            <v>jam</v>
          </cell>
          <cell r="H2675">
            <v>55100</v>
          </cell>
        </row>
        <row r="2676">
          <cell r="F2676" t="str">
            <v>Depresiasi alat  compressor</v>
          </cell>
          <cell r="G2676" t="str">
            <v>hari</v>
          </cell>
          <cell r="H2676">
            <v>425000</v>
          </cell>
        </row>
        <row r="2677">
          <cell r="F2677" t="str">
            <v>Depresiasi mesin pompa uji</v>
          </cell>
          <cell r="G2677" t="str">
            <v>hari</v>
          </cell>
          <cell r="H2677">
            <v>42000</v>
          </cell>
        </row>
        <row r="2678">
          <cell r="F2678" t="str">
            <v>Depresiasi peralatan pemboran</v>
          </cell>
          <cell r="G2678" t="str">
            <v>hari</v>
          </cell>
          <cell r="H2678">
            <v>265000</v>
          </cell>
        </row>
        <row r="2679">
          <cell r="F2679" t="str">
            <v>Dump truck 1</v>
          </cell>
          <cell r="G2679" t="str">
            <v>jam</v>
          </cell>
          <cell r="H2679">
            <v>556100</v>
          </cell>
        </row>
        <row r="2680">
          <cell r="F2680" t="str">
            <v>Dump truck 2</v>
          </cell>
          <cell r="G2680" t="str">
            <v>jam</v>
          </cell>
          <cell r="H2680">
            <v>556100</v>
          </cell>
        </row>
        <row r="2681">
          <cell r="F2681" t="str">
            <v>Dump truck 3</v>
          </cell>
          <cell r="G2681" t="str">
            <v>jam</v>
          </cell>
          <cell r="H2681">
            <v>556100</v>
          </cell>
        </row>
        <row r="2682">
          <cell r="F2682" t="str">
            <v>Dump truck 20 ton</v>
          </cell>
          <cell r="G2682" t="str">
            <v>jam</v>
          </cell>
          <cell r="H2682">
            <v>556100</v>
          </cell>
        </row>
        <row r="2683">
          <cell r="F2683" t="str">
            <v>Dump truck 3,5 ton</v>
          </cell>
          <cell r="G2683" t="str">
            <v>jam</v>
          </cell>
          <cell r="H2683">
            <v>304800</v>
          </cell>
        </row>
        <row r="2684">
          <cell r="F2684" t="str">
            <v>Dump truck 40 ton</v>
          </cell>
          <cell r="G2684" t="str">
            <v>jam</v>
          </cell>
          <cell r="H2684">
            <v>676500</v>
          </cell>
        </row>
        <row r="2685">
          <cell r="F2685" t="str">
            <v>Dump truck 7,5 ton</v>
          </cell>
          <cell r="G2685" t="str">
            <v>jam</v>
          </cell>
          <cell r="H2685">
            <v>344400</v>
          </cell>
        </row>
        <row r="2686">
          <cell r="F2686" t="str">
            <v>Pick up L300</v>
          </cell>
          <cell r="G2686" t="str">
            <v>jam</v>
          </cell>
          <cell r="H2686">
            <v>268539.71000000002</v>
          </cell>
        </row>
        <row r="2687">
          <cell r="F2687" t="str">
            <v>Fuso (D); R-Blk. 8; 35 m3</v>
          </cell>
          <cell r="G2687" t="str">
            <v>jam</v>
          </cell>
          <cell r="H2687">
            <v>418543.76</v>
          </cell>
        </row>
        <row r="2688">
          <cell r="F2688" t="str">
            <v>Flat deck truck 7 ton</v>
          </cell>
          <cell r="G2688" t="str">
            <v xml:space="preserve">hari </v>
          </cell>
          <cell r="H2688">
            <v>2700000</v>
          </cell>
        </row>
        <row r="2689">
          <cell r="F2689" t="str">
            <v xml:space="preserve">Hoist 1 ton </v>
          </cell>
          <cell r="G2689" t="str">
            <v xml:space="preserve">hari </v>
          </cell>
          <cell r="H2689">
            <v>180000</v>
          </cell>
        </row>
        <row r="2690">
          <cell r="F2690" t="str">
            <v>Excavator 95 HP</v>
          </cell>
          <cell r="G2690" t="str">
            <v>jam</v>
          </cell>
          <cell r="H2690">
            <v>480000</v>
          </cell>
        </row>
        <row r="2691">
          <cell r="F2691" t="str">
            <v xml:space="preserve">Excavator </v>
          </cell>
          <cell r="G2691" t="str">
            <v xml:space="preserve">Hari </v>
          </cell>
          <cell r="H2691">
            <v>5150000</v>
          </cell>
        </row>
        <row r="2692">
          <cell r="F2692" t="str">
            <v>Excavator 80-140 HP</v>
          </cell>
          <cell r="G2692" t="str">
            <v>jam</v>
          </cell>
          <cell r="H2692">
            <v>668200</v>
          </cell>
        </row>
        <row r="2693">
          <cell r="F2693" t="str">
            <v>Flat  bed truck 3-4 m³</v>
          </cell>
          <cell r="G2693" t="str">
            <v>jam</v>
          </cell>
          <cell r="H2693">
            <v>465100</v>
          </cell>
        </row>
        <row r="2694">
          <cell r="F2694" t="str">
            <v>Generator set  135 KVA</v>
          </cell>
          <cell r="G2694" t="str">
            <v>jam</v>
          </cell>
          <cell r="H2694">
            <v>410200</v>
          </cell>
        </row>
        <row r="2695">
          <cell r="F2695" t="str">
            <v>Jack hammer</v>
          </cell>
          <cell r="G2695" t="str">
            <v>hari</v>
          </cell>
          <cell r="H2695">
            <v>350000</v>
          </cell>
        </row>
        <row r="2696">
          <cell r="F2696" t="str">
            <v>Jack hammer + genset</v>
          </cell>
          <cell r="G2696" t="str">
            <v>hari</v>
          </cell>
          <cell r="H2696">
            <v>2300000</v>
          </cell>
        </row>
        <row r="2697">
          <cell r="F2697" t="str">
            <v xml:space="preserve">Sewa Genset </v>
          </cell>
          <cell r="G2697" t="str">
            <v xml:space="preserve">hari </v>
          </cell>
          <cell r="H2697">
            <v>150000</v>
          </cell>
        </row>
        <row r="2698">
          <cell r="F2698" t="str">
            <v>Logging</v>
          </cell>
          <cell r="G2698" t="str">
            <v>unit</v>
          </cell>
          <cell r="H2698">
            <v>280000</v>
          </cell>
        </row>
        <row r="2699">
          <cell r="F2699" t="str">
            <v>Mata bor auger 20 cm</v>
          </cell>
          <cell r="G2699" t="str">
            <v>hari</v>
          </cell>
          <cell r="H2699">
            <v>100000</v>
          </cell>
        </row>
        <row r="2700">
          <cell r="F2700" t="str">
            <v>Mata bor auger 30 cm</v>
          </cell>
          <cell r="G2700" t="str">
            <v>hari</v>
          </cell>
          <cell r="H2700">
            <v>170000</v>
          </cell>
        </row>
        <row r="2701">
          <cell r="F2701" t="str">
            <v>Mata bor auger 40 cm</v>
          </cell>
          <cell r="G2701" t="str">
            <v>hari</v>
          </cell>
          <cell r="H2701">
            <v>250000</v>
          </cell>
        </row>
        <row r="2702">
          <cell r="F2702" t="str">
            <v>Mata bor auger 50 cm</v>
          </cell>
          <cell r="G2702" t="str">
            <v>hari</v>
          </cell>
          <cell r="H2702">
            <v>340000</v>
          </cell>
        </row>
        <row r="2703">
          <cell r="F2703" t="str">
            <v>Mesin bor</v>
          </cell>
          <cell r="G2703" t="str">
            <v>unit</v>
          </cell>
          <cell r="H2703">
            <v>450000</v>
          </cell>
        </row>
        <row r="2704">
          <cell r="F2704" t="str">
            <v>Mesin gilas  2 roda 6 - 10 ton</v>
          </cell>
          <cell r="G2704" t="str">
            <v>jam</v>
          </cell>
          <cell r="H2704">
            <v>325000</v>
          </cell>
        </row>
        <row r="2705">
          <cell r="F2705" t="str">
            <v>Mesin gilas  3 roda 6 - 10 ton</v>
          </cell>
          <cell r="G2705" t="str">
            <v>jam</v>
          </cell>
          <cell r="H2705">
            <v>350000</v>
          </cell>
        </row>
        <row r="2706">
          <cell r="F2706" t="str">
            <v>Mesin gilas  roda karet  8 - 10 ton</v>
          </cell>
          <cell r="G2706" t="str">
            <v>jam</v>
          </cell>
          <cell r="H2706">
            <v>415000</v>
          </cell>
        </row>
        <row r="2707">
          <cell r="F2707" t="str">
            <v>Mesin kerek</v>
          </cell>
          <cell r="G2707" t="str">
            <v>unit</v>
          </cell>
          <cell r="H2707">
            <v>50000</v>
          </cell>
        </row>
        <row r="2708">
          <cell r="F2708" t="str">
            <v>Mesin poles</v>
          </cell>
          <cell r="G2708" t="str">
            <v>hari</v>
          </cell>
          <cell r="H2708">
            <v>150000</v>
          </cell>
        </row>
        <row r="2709">
          <cell r="F2709" t="str">
            <v>Mesin trowel</v>
          </cell>
          <cell r="G2709" t="str">
            <v>jam</v>
          </cell>
          <cell r="H2709">
            <v>45000</v>
          </cell>
        </row>
        <row r="2710">
          <cell r="F2710" t="str">
            <v>Mesin Gendong</v>
          </cell>
          <cell r="G2710" t="str">
            <v xml:space="preserve">Jam </v>
          </cell>
          <cell r="H2710">
            <v>150000</v>
          </cell>
        </row>
        <row r="2711">
          <cell r="F2711" t="str">
            <v>Motor grader &gt;100 HP</v>
          </cell>
          <cell r="G2711" t="str">
            <v>jam</v>
          </cell>
          <cell r="H2711">
            <v>548600</v>
          </cell>
        </row>
        <row r="2712">
          <cell r="F2712" t="str">
            <v>Pedestrian Roller</v>
          </cell>
          <cell r="G2712" t="str">
            <v>jam</v>
          </cell>
          <cell r="H2712">
            <v>99800</v>
          </cell>
        </row>
        <row r="2713">
          <cell r="F2713" t="str">
            <v>Pile driver +  hammer 2,5 ton</v>
          </cell>
          <cell r="G2713" t="str">
            <v>jam</v>
          </cell>
          <cell r="H2713">
            <v>153400</v>
          </cell>
        </row>
        <row r="2714">
          <cell r="F2714" t="str">
            <v>Pneumatic  tire roller 8-10 ton</v>
          </cell>
          <cell r="G2714" t="str">
            <v>jam</v>
          </cell>
          <cell r="H2714">
            <v>491000</v>
          </cell>
        </row>
        <row r="2715">
          <cell r="F2715" t="str">
            <v>Pompa beton ∅ 2,5", 75KW; 120 bar, T= 50 m'/H=80 m’</v>
          </cell>
          <cell r="G2715" t="str">
            <v>hari</v>
          </cell>
          <cell r="H2715">
            <v>6600000</v>
          </cell>
        </row>
        <row r="2716">
          <cell r="F2716" t="str">
            <v>Pompa beton ∅ 2,5",20 KW; 20 bar, T = 18 m'</v>
          </cell>
          <cell r="G2716" t="str">
            <v>hari</v>
          </cell>
          <cell r="H2716">
            <v>6300000</v>
          </cell>
        </row>
        <row r="2717">
          <cell r="F2717" t="str">
            <v>Pompa beton ∅ 3",140KW; 180 bar, T = 75 m' / H=150 m'</v>
          </cell>
          <cell r="G2717" t="str">
            <v>hari</v>
          </cell>
          <cell r="H2717">
            <v>8000000</v>
          </cell>
        </row>
        <row r="2718">
          <cell r="F2718" t="str">
            <v>Pompa beton φ 1,5";5 KW; 8 bar; T = 5 m'</v>
          </cell>
          <cell r="G2718" t="str">
            <v>hari</v>
          </cell>
          <cell r="H2718">
            <v>6000000</v>
          </cell>
        </row>
        <row r="2719">
          <cell r="F2719" t="str">
            <v>Pompa injeksi</v>
          </cell>
          <cell r="G2719" t="str">
            <v>unit</v>
          </cell>
          <cell r="H2719">
            <v>300000</v>
          </cell>
        </row>
        <row r="2720">
          <cell r="F2720" t="str">
            <v>Pompa tangan</v>
          </cell>
          <cell r="G2720" t="str">
            <v>unit</v>
          </cell>
          <cell r="H2720">
            <v>160000</v>
          </cell>
        </row>
        <row r="2721">
          <cell r="F2721" t="str">
            <v>Road Marking Machine</v>
          </cell>
          <cell r="G2721" t="str">
            <v>jam</v>
          </cell>
          <cell r="H2721">
            <v>491000</v>
          </cell>
        </row>
        <row r="2722">
          <cell r="F2722" t="str">
            <v>Sewa alat cutting machine</v>
          </cell>
          <cell r="G2722" t="str">
            <v>hari</v>
          </cell>
          <cell r="H2722">
            <v>25000</v>
          </cell>
        </row>
        <row r="2723">
          <cell r="F2723" t="str">
            <v>Sewa alat las</v>
          </cell>
          <cell r="G2723" t="str">
            <v>hari</v>
          </cell>
          <cell r="H2723">
            <v>25000</v>
          </cell>
        </row>
        <row r="2724">
          <cell r="F2724" t="str">
            <v xml:space="preserve">Alat las listrik </v>
          </cell>
          <cell r="G2724" t="str">
            <v xml:space="preserve">jam </v>
          </cell>
          <cell r="H2724">
            <v>3125</v>
          </cell>
        </row>
        <row r="2725">
          <cell r="F2725" t="str">
            <v>Alat las listrik 150 A</v>
          </cell>
          <cell r="G2725" t="str">
            <v xml:space="preserve">jam </v>
          </cell>
          <cell r="H2725">
            <v>3125</v>
          </cell>
        </row>
        <row r="2726">
          <cell r="F2726" t="str">
            <v>Alat las listrik 250 A</v>
          </cell>
          <cell r="G2726" t="str">
            <v xml:space="preserve">jam </v>
          </cell>
          <cell r="H2726">
            <v>3125</v>
          </cell>
        </row>
        <row r="2727">
          <cell r="F2727" t="str">
            <v>Alat las listrik 350 A</v>
          </cell>
          <cell r="G2727" t="str">
            <v xml:space="preserve">jam </v>
          </cell>
          <cell r="H2727">
            <v>3125</v>
          </cell>
        </row>
        <row r="2728">
          <cell r="F2728" t="str">
            <v>Alat las listrik 500 A</v>
          </cell>
          <cell r="G2728" t="str">
            <v xml:space="preserve">jam </v>
          </cell>
          <cell r="H2728">
            <v>3125</v>
          </cell>
        </row>
        <row r="2729">
          <cell r="F2729" t="str">
            <v>Mesin Las Gotextile</v>
          </cell>
          <cell r="G2729" t="str">
            <v xml:space="preserve">hari </v>
          </cell>
          <cell r="H2729">
            <v>25000</v>
          </cell>
        </row>
        <row r="2730">
          <cell r="F2730" t="str">
            <v xml:space="preserve">Kunci Momen </v>
          </cell>
          <cell r="G2730" t="str">
            <v>hari</v>
          </cell>
          <cell r="H2730">
            <v>20000</v>
          </cell>
        </row>
        <row r="2731">
          <cell r="F2731" t="str">
            <v>Sewa bor horisontal</v>
          </cell>
          <cell r="G2731" t="str">
            <v>hari</v>
          </cell>
          <cell r="H2731">
            <v>150000</v>
          </cell>
        </row>
        <row r="2732">
          <cell r="F2732" t="str">
            <v>Sewa Scaffolding :</v>
          </cell>
        </row>
        <row r="2733">
          <cell r="F2733" t="str">
            <v>- ScaffoldingPipe brancing 3 m</v>
          </cell>
          <cell r="G2733" t="str">
            <v>bulan</v>
          </cell>
          <cell r="H2733">
            <v>8800</v>
          </cell>
        </row>
        <row r="2734">
          <cell r="F2734" t="str">
            <v>- Scaffolding Pipe brancing 6 m</v>
          </cell>
          <cell r="G2734" t="str">
            <v>bulan</v>
          </cell>
          <cell r="H2734">
            <v>17600</v>
          </cell>
        </row>
        <row r="2735">
          <cell r="F2735" t="str">
            <v>Sewa Scaffolding</v>
          </cell>
          <cell r="G2735" t="str">
            <v>hari</v>
          </cell>
          <cell r="H2735">
            <v>586.66666666666663</v>
          </cell>
        </row>
        <row r="2736">
          <cell r="F2736" t="str">
            <v xml:space="preserve">Sewa Gondola </v>
          </cell>
          <cell r="G2736" t="str">
            <v>hari</v>
          </cell>
          <cell r="H2736">
            <v>322000</v>
          </cell>
        </row>
        <row r="2737">
          <cell r="F2737" t="str">
            <v>Sewa Pipe Support</v>
          </cell>
          <cell r="G2737" t="str">
            <v xml:space="preserve">hari </v>
          </cell>
          <cell r="H2737">
            <v>850</v>
          </cell>
        </row>
        <row r="2738">
          <cell r="F2738" t="str">
            <v>Stamper</v>
          </cell>
          <cell r="G2738" t="str">
            <v>jam</v>
          </cell>
          <cell r="H2738">
            <v>35000</v>
          </cell>
        </row>
        <row r="2739">
          <cell r="F2739" t="str">
            <v xml:space="preserve">Sprayer Gendong </v>
          </cell>
          <cell r="G2739" t="str">
            <v xml:space="preserve">Hari </v>
          </cell>
          <cell r="H2739">
            <v>350000</v>
          </cell>
        </row>
        <row r="2740">
          <cell r="F2740" t="str">
            <v xml:space="preserve">Stamper Kodok 150 kg </v>
          </cell>
          <cell r="G2740" t="str">
            <v xml:space="preserve">Hari </v>
          </cell>
          <cell r="H2740">
            <v>350000</v>
          </cell>
        </row>
        <row r="2741">
          <cell r="F2741" t="str">
            <v xml:space="preserve">Stamper Kuda </v>
          </cell>
          <cell r="G2741" t="str">
            <v xml:space="preserve">hari </v>
          </cell>
          <cell r="H2741">
            <v>290000</v>
          </cell>
        </row>
        <row r="2742">
          <cell r="F2742" t="str">
            <v xml:space="preserve">Stamper D-Drum </v>
          </cell>
          <cell r="G2742" t="str">
            <v xml:space="preserve">hari </v>
          </cell>
          <cell r="H2742">
            <v>310000</v>
          </cell>
        </row>
        <row r="2743">
          <cell r="F2743" t="str">
            <v>Stamper Smooth_Drum</v>
          </cell>
          <cell r="G2743" t="str">
            <v xml:space="preserve">hari </v>
          </cell>
          <cell r="H2743">
            <v>350000</v>
          </cell>
        </row>
        <row r="2744">
          <cell r="F2744" t="str">
            <v>Stang bor, batang bor dia. 1-1/4"</v>
          </cell>
          <cell r="G2744" t="str">
            <v>hari</v>
          </cell>
          <cell r="H2744">
            <v>95000</v>
          </cell>
        </row>
        <row r="2745">
          <cell r="F2745" t="str">
            <v>Stone crusher</v>
          </cell>
          <cell r="G2745" t="str">
            <v>jam</v>
          </cell>
          <cell r="H2745">
            <v>799500</v>
          </cell>
        </row>
        <row r="2746">
          <cell r="F2746" t="str">
            <v>Tandem roller 6-8 ton</v>
          </cell>
          <cell r="G2746" t="str">
            <v>jam</v>
          </cell>
          <cell r="H2746">
            <v>469500</v>
          </cell>
        </row>
        <row r="2747">
          <cell r="F2747" t="str">
            <v>Theodolit</v>
          </cell>
          <cell r="G2747" t="str">
            <v>hari</v>
          </cell>
          <cell r="H2747">
            <v>150000</v>
          </cell>
        </row>
        <row r="2748">
          <cell r="F2748" t="str">
            <v>Three wheel roller</v>
          </cell>
          <cell r="G2748" t="str">
            <v>jam</v>
          </cell>
          <cell r="H2748">
            <v>262300</v>
          </cell>
        </row>
        <row r="2749">
          <cell r="F2749" t="str">
            <v xml:space="preserve">P. Tyre Roller </v>
          </cell>
          <cell r="G2749" t="str">
            <v xml:space="preserve">jam </v>
          </cell>
          <cell r="H2749">
            <v>275000</v>
          </cell>
        </row>
        <row r="2750">
          <cell r="F2750" t="str">
            <v>Tower crane arm 30 m</v>
          </cell>
          <cell r="G2750" t="str">
            <v>hari</v>
          </cell>
          <cell r="H2750">
            <v>3442900</v>
          </cell>
        </row>
        <row r="2751">
          <cell r="F2751" t="str">
            <v xml:space="preserve">Crane </v>
          </cell>
          <cell r="G2751" t="str">
            <v xml:space="preserve">hari </v>
          </cell>
          <cell r="H2751">
            <v>3442900</v>
          </cell>
        </row>
        <row r="2752">
          <cell r="F2752" t="str">
            <v xml:space="preserve">Crane </v>
          </cell>
          <cell r="G2752" t="str">
            <v xml:space="preserve">jam </v>
          </cell>
          <cell r="H2752">
            <v>430000</v>
          </cell>
        </row>
        <row r="2753">
          <cell r="F2753" t="str">
            <v xml:space="preserve">Sewa Crane kapasitas 1 ton </v>
          </cell>
          <cell r="G2753" t="str">
            <v xml:space="preserve">jam </v>
          </cell>
          <cell r="H2753">
            <v>430000</v>
          </cell>
        </row>
        <row r="2754">
          <cell r="F2754" t="str">
            <v>Transportasi peralatan drailler</v>
          </cell>
          <cell r="G2754" t="str">
            <v>unit</v>
          </cell>
          <cell r="H2754">
            <v>500000</v>
          </cell>
        </row>
        <row r="2755">
          <cell r="F2755" t="str">
            <v>Vibratory plate tamper</v>
          </cell>
          <cell r="G2755" t="str">
            <v>jam</v>
          </cell>
          <cell r="H2755">
            <v>58800</v>
          </cell>
        </row>
        <row r="2756">
          <cell r="F2756" t="str">
            <v>Vibratory roller 1 ton</v>
          </cell>
          <cell r="G2756" t="str">
            <v>jam</v>
          </cell>
          <cell r="H2756">
            <v>95000</v>
          </cell>
        </row>
        <row r="2757">
          <cell r="F2757" t="str">
            <v>Vibratory roller 5-8 ton</v>
          </cell>
          <cell r="G2757" t="str">
            <v>jam</v>
          </cell>
          <cell r="H2757">
            <v>392200</v>
          </cell>
        </row>
        <row r="2758">
          <cell r="F2758" t="str">
            <v>Water pump 70-100 mm</v>
          </cell>
          <cell r="G2758" t="str">
            <v>jam</v>
          </cell>
          <cell r="H2758">
            <v>71700</v>
          </cell>
        </row>
        <row r="2759">
          <cell r="F2759" t="str">
            <v>Water tanker truck 3000-4000 ℓ</v>
          </cell>
          <cell r="G2759" t="str">
            <v>jam</v>
          </cell>
          <cell r="H2759">
            <v>255200</v>
          </cell>
        </row>
        <row r="2760">
          <cell r="F2760" t="str">
            <v xml:space="preserve">Water Truck </v>
          </cell>
          <cell r="G2760" t="str">
            <v xml:space="preserve">hari </v>
          </cell>
          <cell r="H2760">
            <v>1550000</v>
          </cell>
        </row>
        <row r="2761">
          <cell r="F2761" t="str">
            <v>Waterpass</v>
          </cell>
          <cell r="G2761" t="str">
            <v>hari</v>
          </cell>
          <cell r="H2761">
            <v>75000</v>
          </cell>
        </row>
        <row r="2762">
          <cell r="F2762" t="str">
            <v>Wheel loader</v>
          </cell>
          <cell r="G2762" t="str">
            <v>jam</v>
          </cell>
          <cell r="H2762">
            <v>472400</v>
          </cell>
        </row>
        <row r="2763">
          <cell r="F2763" t="str">
            <v xml:space="preserve">AMP </v>
          </cell>
          <cell r="G2763" t="str">
            <v xml:space="preserve">Jam </v>
          </cell>
          <cell r="H2763">
            <v>3981125</v>
          </cell>
        </row>
        <row r="2764">
          <cell r="F2764" t="str">
            <v xml:space="preserve">Asphalt Finisher </v>
          </cell>
          <cell r="G2764" t="str">
            <v xml:space="preserve">Jam </v>
          </cell>
          <cell r="H2764">
            <v>450000</v>
          </cell>
        </row>
        <row r="2765">
          <cell r="F2765" t="str">
            <v>Wheel loader 1,0-1,6 m³</v>
          </cell>
          <cell r="G2765" t="str">
            <v>jam</v>
          </cell>
          <cell r="H2765">
            <v>472400</v>
          </cell>
        </row>
        <row r="2766">
          <cell r="F2766" t="str">
            <v>Alat  pancang Hammer 0.5 ton</v>
          </cell>
          <cell r="G2766" t="str">
            <v>hari</v>
          </cell>
          <cell r="H2766">
            <v>350000</v>
          </cell>
        </row>
        <row r="2767">
          <cell r="F2767" t="str">
            <v>Alat Pancang Mini Pile</v>
          </cell>
          <cell r="G2767" t="str">
            <v xml:space="preserve">hari </v>
          </cell>
          <cell r="H2767">
            <v>250000</v>
          </cell>
        </row>
        <row r="2768">
          <cell r="F2768" t="str">
            <v>Alat pancang Hidraulik Pile Driver</v>
          </cell>
          <cell r="G2768" t="str">
            <v xml:space="preserve">hari </v>
          </cell>
          <cell r="H2768">
            <v>487000</v>
          </cell>
        </row>
        <row r="2769">
          <cell r="F2769" t="str">
            <v>Alat  penyambung tiang pancang dolken</v>
          </cell>
          <cell r="G2769" t="str">
            <v>hari</v>
          </cell>
          <cell r="H2769">
            <v>350000</v>
          </cell>
        </row>
        <row r="2770">
          <cell r="F2770" t="str">
            <v>Alat Penyambung Balok</v>
          </cell>
          <cell r="G2770" t="str">
            <v xml:space="preserve">buah </v>
          </cell>
          <cell r="H2770">
            <v>200000</v>
          </cell>
        </row>
        <row r="2771">
          <cell r="F2771" t="str">
            <v xml:space="preserve">Alat Penyambung Beton </v>
          </cell>
          <cell r="G2771" t="str">
            <v xml:space="preserve">buah </v>
          </cell>
          <cell r="H2771">
            <v>250000</v>
          </cell>
        </row>
        <row r="2772">
          <cell r="F2772" t="str">
            <v>Alat Penyambung Beton dia. 30 cm</v>
          </cell>
          <cell r="G2772" t="str">
            <v xml:space="preserve">buah </v>
          </cell>
          <cell r="H2772">
            <v>250000</v>
          </cell>
        </row>
        <row r="2773">
          <cell r="F2773" t="str">
            <v>Alat Penyambung Beton dia. 35 cm</v>
          </cell>
          <cell r="G2773" t="str">
            <v xml:space="preserve">buah </v>
          </cell>
          <cell r="H2773">
            <v>255000</v>
          </cell>
        </row>
        <row r="2774">
          <cell r="F2774" t="str">
            <v>Alat sambung kayu terbuat dari baja</v>
          </cell>
          <cell r="G2774" t="str">
            <v xml:space="preserve">buah </v>
          </cell>
          <cell r="H2774">
            <v>250000</v>
          </cell>
        </row>
        <row r="2775">
          <cell r="F2775" t="str">
            <v>Sepatu pancang</v>
          </cell>
          <cell r="G2775" t="str">
            <v xml:space="preserve">buah </v>
          </cell>
          <cell r="H2775">
            <v>124500</v>
          </cell>
        </row>
        <row r="2776">
          <cell r="F2776" t="str">
            <v>Sepatu pancang beton</v>
          </cell>
          <cell r="G2776" t="str">
            <v xml:space="preserve">buah </v>
          </cell>
          <cell r="H2776">
            <v>124500</v>
          </cell>
        </row>
        <row r="2777">
          <cell r="F2777" t="str">
            <v>Sepatu Pancang dia. 30 cm</v>
          </cell>
          <cell r="G2777" t="str">
            <v xml:space="preserve">buah </v>
          </cell>
          <cell r="H2777">
            <v>135000</v>
          </cell>
        </row>
        <row r="2778">
          <cell r="F2778" t="str">
            <v>Sepatu Pancang dia. 35 cm</v>
          </cell>
          <cell r="G2778" t="str">
            <v xml:space="preserve">buah </v>
          </cell>
          <cell r="H2778">
            <v>140000</v>
          </cell>
        </row>
        <row r="2779">
          <cell r="F2779" t="str">
            <v>Crawler Crane 10 Ton + Ladder 14 ton</v>
          </cell>
          <cell r="G2779" t="str">
            <v xml:space="preserve">jam </v>
          </cell>
          <cell r="H2779">
            <v>500000</v>
          </cell>
        </row>
        <row r="2780">
          <cell r="F2780" t="str">
            <v>Crawler Crane 20 Ton + Ladder 14 ton</v>
          </cell>
          <cell r="G2780" t="str">
            <v xml:space="preserve">jam </v>
          </cell>
          <cell r="H2780">
            <v>550000</v>
          </cell>
        </row>
        <row r="2781">
          <cell r="F2781" t="str">
            <v>Driver Hammer</v>
          </cell>
          <cell r="G2781" t="str">
            <v xml:space="preserve">jam </v>
          </cell>
          <cell r="H2781">
            <v>50000</v>
          </cell>
        </row>
        <row r="2782">
          <cell r="F2782" t="str">
            <v>Driver Hammer 2 ton</v>
          </cell>
          <cell r="G2782" t="str">
            <v xml:space="preserve">jam </v>
          </cell>
          <cell r="H2782">
            <v>50000</v>
          </cell>
        </row>
        <row r="2783">
          <cell r="F2783" t="str">
            <v xml:space="preserve">Sewa Mesin Hydroseeding 2000L </v>
          </cell>
          <cell r="G2783" t="str">
            <v xml:space="preserve">liter </v>
          </cell>
          <cell r="H2783">
            <v>350000</v>
          </cell>
        </row>
        <row r="2784">
          <cell r="F2784" t="str">
            <v>Angkur/mur/baut</v>
          </cell>
          <cell r="G2784" t="str">
            <v>set</v>
          </cell>
          <cell r="H2784">
            <v>45000</v>
          </cell>
        </row>
        <row r="2785">
          <cell r="F2785" t="str">
            <v xml:space="preserve">Angkur M16 </v>
          </cell>
          <cell r="G2785" t="str">
            <v xml:space="preserve">buah </v>
          </cell>
          <cell r="H2785">
            <v>18500</v>
          </cell>
        </row>
        <row r="2786">
          <cell r="F2786" t="str">
            <v>Beton Neser</v>
          </cell>
          <cell r="G2786" t="str">
            <v>batang</v>
          </cell>
          <cell r="H2786">
            <v>52000</v>
          </cell>
        </row>
        <row r="2787">
          <cell r="F2787" t="str">
            <v>BP (Biaya Penyambungan)</v>
          </cell>
          <cell r="G2787" t="str">
            <v>VA</v>
          </cell>
          <cell r="H2787">
            <v>969</v>
          </cell>
        </row>
        <row r="2788">
          <cell r="F2788" t="str">
            <v>Cutting stiker +  pasang</v>
          </cell>
          <cell r="G2788" t="str">
            <v>buah</v>
          </cell>
          <cell r="H2788">
            <v>15000</v>
          </cell>
        </row>
        <row r="2789">
          <cell r="F2789" t="str">
            <v>Gergaji besi</v>
          </cell>
          <cell r="G2789" t="str">
            <v>buah</v>
          </cell>
          <cell r="H2789">
            <v>3500</v>
          </cell>
        </row>
        <row r="2790">
          <cell r="F2790" t="str">
            <v>GIL  (Gambar Instalasi Langganan), administrasi pemasangan</v>
          </cell>
          <cell r="G2790" t="str">
            <v>VA</v>
          </cell>
          <cell r="H2790">
            <v>850</v>
          </cell>
        </row>
        <row r="2791">
          <cell r="F2791" t="str">
            <v>Linggis (baja keras)</v>
          </cell>
          <cell r="G2791" t="str">
            <v>buah</v>
          </cell>
          <cell r="H2791">
            <v>30000</v>
          </cell>
        </row>
        <row r="2792">
          <cell r="F2792" t="str">
            <v>Mesin bor (jam)</v>
          </cell>
          <cell r="G2792" t="str">
            <v>jam</v>
          </cell>
          <cell r="H2792">
            <v>85000</v>
          </cell>
        </row>
        <row r="2793">
          <cell r="F2793" t="str">
            <v>Molen beton mixer 350 liter</v>
          </cell>
          <cell r="G2793" t="str">
            <v>hari</v>
          </cell>
          <cell r="H2793">
            <v>300000</v>
          </cell>
        </row>
        <row r="2794">
          <cell r="F2794" t="str">
            <v>Mesin Molen 1m3</v>
          </cell>
          <cell r="G2794" t="str">
            <v xml:space="preserve">hari </v>
          </cell>
          <cell r="H2794">
            <v>300000</v>
          </cell>
        </row>
        <row r="2795">
          <cell r="F2795" t="str">
            <v>Pahat beton (baja keras)</v>
          </cell>
          <cell r="G2795" t="str">
            <v>buah</v>
          </cell>
          <cell r="H2795">
            <v>15000</v>
          </cell>
        </row>
        <row r="2796">
          <cell r="F2796" t="str">
            <v>Palu/godam (baja keras)</v>
          </cell>
          <cell r="G2796" t="str">
            <v>buah</v>
          </cell>
          <cell r="H2796">
            <v>25000</v>
          </cell>
        </row>
        <row r="2797">
          <cell r="F2797" t="str">
            <v>Perapian lokasi kerja</v>
          </cell>
          <cell r="G2797" t="str">
            <v>ls</v>
          </cell>
          <cell r="H2797">
            <v>20000</v>
          </cell>
        </row>
        <row r="2798">
          <cell r="F2798" t="str">
            <v>Pisau Gerinda</v>
          </cell>
          <cell r="G2798" t="str">
            <v>buah</v>
          </cell>
          <cell r="H2798">
            <v>52000</v>
          </cell>
        </row>
        <row r="2799">
          <cell r="F2799" t="str">
            <v>Pompa Air,   diesel 10 KW</v>
          </cell>
          <cell r="G2799" t="str">
            <v>hari</v>
          </cell>
          <cell r="H2799">
            <v>500000</v>
          </cell>
        </row>
        <row r="2800">
          <cell r="F2800" t="str">
            <v>Pompa Air,   diesel 20 KW</v>
          </cell>
          <cell r="G2800" t="str">
            <v>hari</v>
          </cell>
          <cell r="H2800">
            <v>1000000</v>
          </cell>
        </row>
        <row r="2801">
          <cell r="F2801" t="str">
            <v>Pompa Air,   diesel 5 KW</v>
          </cell>
          <cell r="G2801" t="str">
            <v>hari</v>
          </cell>
          <cell r="H2801">
            <v>250000</v>
          </cell>
        </row>
        <row r="2802">
          <cell r="F2802" t="str">
            <v>Pompa Sedot</v>
          </cell>
          <cell r="G2802" t="str">
            <v>hari</v>
          </cell>
          <cell r="H2802">
            <v>280000</v>
          </cell>
        </row>
        <row r="2803">
          <cell r="F2803" t="str">
            <v xml:space="preserve">Pompa Sedot Pasir </v>
          </cell>
          <cell r="G2803" t="str">
            <v xml:space="preserve">hari </v>
          </cell>
          <cell r="H2803">
            <v>280000</v>
          </cell>
        </row>
        <row r="2804">
          <cell r="F2804" t="str">
            <v xml:space="preserve">Pompa Lumpur </v>
          </cell>
          <cell r="G2804" t="str">
            <v xml:space="preserve">hari </v>
          </cell>
          <cell r="H2804">
            <v>260000</v>
          </cell>
        </row>
        <row r="2805">
          <cell r="F2805" t="str">
            <v xml:space="preserve">Mobil Sedot Lumpur </v>
          </cell>
          <cell r="G2805" t="str">
            <v>Jam</v>
          </cell>
          <cell r="H2805">
            <v>67500</v>
          </cell>
        </row>
        <row r="2806">
          <cell r="F2806" t="str">
            <v xml:space="preserve">Boom Lift </v>
          </cell>
          <cell r="G2806" t="str">
            <v>hari</v>
          </cell>
          <cell r="H2806">
            <v>3300000</v>
          </cell>
        </row>
        <row r="2807">
          <cell r="F2807" t="str">
            <v>Pompa submesible</v>
          </cell>
          <cell r="G2807" t="str">
            <v>unit</v>
          </cell>
          <cell r="H2807">
            <v>1920000</v>
          </cell>
        </row>
        <row r="2808">
          <cell r="F2808" t="str">
            <v>Pressure grout machine 30 KW; 60 -75 bar (D)</v>
          </cell>
          <cell r="G2808" t="str">
            <v>jam</v>
          </cell>
          <cell r="H2808">
            <v>42000</v>
          </cell>
        </row>
        <row r="2809">
          <cell r="F2809" t="str">
            <v>Sewa alat  cutting machine</v>
          </cell>
          <cell r="G2809" t="str">
            <v>hari</v>
          </cell>
          <cell r="H2809">
            <v>44000</v>
          </cell>
        </row>
        <row r="2810">
          <cell r="F2810" t="str">
            <v>Sewa bekisting</v>
          </cell>
          <cell r="G2810" t="str">
            <v>hari</v>
          </cell>
          <cell r="H2810">
            <v>7500</v>
          </cell>
        </row>
        <row r="2811">
          <cell r="F2811" t="str">
            <v>Sewa bekisting rigid</v>
          </cell>
          <cell r="G2811" t="str">
            <v>hari</v>
          </cell>
          <cell r="H2811">
            <v>7500</v>
          </cell>
        </row>
        <row r="2812">
          <cell r="F2812" t="str">
            <v>Sewa bor horisontal</v>
          </cell>
          <cell r="G2812" t="str">
            <v>hari</v>
          </cell>
          <cell r="H2812">
            <v>150000</v>
          </cell>
        </row>
        <row r="2813">
          <cell r="F2813" t="str">
            <v>Sewa mobil crane</v>
          </cell>
          <cell r="G2813" t="str">
            <v>hari</v>
          </cell>
          <cell r="H2813">
            <v>1450000</v>
          </cell>
        </row>
        <row r="2814">
          <cell r="F2814" t="str">
            <v>Sewa mobil crane kapasitas  15 Ton</v>
          </cell>
          <cell r="G2814" t="str">
            <v>hari</v>
          </cell>
          <cell r="H2814">
            <v>3400000</v>
          </cell>
        </row>
        <row r="2815">
          <cell r="F2815" t="str">
            <v>Sewa mobil crane kapasitas  25 Ton</v>
          </cell>
          <cell r="G2815" t="str">
            <v>hari</v>
          </cell>
          <cell r="H2815">
            <v>6250000</v>
          </cell>
        </row>
        <row r="2816">
          <cell r="F2816" t="str">
            <v>Sewa mobil crane kapasitas  5 Ton</v>
          </cell>
          <cell r="G2816" t="str">
            <v>hari</v>
          </cell>
          <cell r="H2816">
            <v>1450000</v>
          </cell>
        </row>
        <row r="2817">
          <cell r="F2817" t="str">
            <v>Sewa tangga 7 meter</v>
          </cell>
          <cell r="G2817" t="str">
            <v>buah</v>
          </cell>
          <cell r="H2817">
            <v>50000</v>
          </cell>
        </row>
        <row r="2818">
          <cell r="F2818" t="str">
            <v>Sewa tangga 7 meter</v>
          </cell>
          <cell r="G2818" t="str">
            <v>hari</v>
          </cell>
          <cell r="H2818">
            <v>50000</v>
          </cell>
        </row>
        <row r="2819">
          <cell r="F2819" t="str">
            <v xml:space="preserve">Tandon Air kap. 2 m3 </v>
          </cell>
          <cell r="G2819" t="str">
            <v xml:space="preserve">hari </v>
          </cell>
          <cell r="H2819">
            <v>25000</v>
          </cell>
        </row>
        <row r="2820">
          <cell r="F2820" t="str">
            <v xml:space="preserve">Tangga Service </v>
          </cell>
          <cell r="G2820" t="str">
            <v xml:space="preserve">buah </v>
          </cell>
          <cell r="H2820">
            <v>1144000</v>
          </cell>
        </row>
        <row r="2821">
          <cell r="F2821" t="str">
            <v>SLO (Sertifikat  Laik Operasi)</v>
          </cell>
          <cell r="G2821" t="str">
            <v>VA</v>
          </cell>
          <cell r="H2821">
            <v>30</v>
          </cell>
        </row>
        <row r="2822">
          <cell r="F2822" t="str">
            <v>Tripod tinggi 5 m</v>
          </cell>
          <cell r="G2822" t="str">
            <v>hari</v>
          </cell>
          <cell r="H2822">
            <v>250000</v>
          </cell>
        </row>
        <row r="2823">
          <cell r="F2823" t="str">
            <v>Truck Crane 5 ton</v>
          </cell>
          <cell r="G2823" t="str">
            <v>jam</v>
          </cell>
          <cell r="H2823">
            <v>525000</v>
          </cell>
        </row>
        <row r="2824">
          <cell r="F2824" t="str">
            <v>UJL  (Uang Jaminan Langganan)</v>
          </cell>
          <cell r="G2824" t="str">
            <v>VA</v>
          </cell>
          <cell r="H2824">
            <v>165</v>
          </cell>
        </row>
        <row r="2825">
          <cell r="F2825" t="str">
            <v>Sewa casing PVC dia. 20 cm</v>
          </cell>
          <cell r="G2825" t="str">
            <v>m</v>
          </cell>
          <cell r="H2825">
            <v>25000</v>
          </cell>
        </row>
        <row r="2826">
          <cell r="F2826" t="str">
            <v>Sewa casing pipa baja dia. 30 cm</v>
          </cell>
          <cell r="G2826" t="str">
            <v>m</v>
          </cell>
          <cell r="H2826">
            <v>30700</v>
          </cell>
        </row>
        <row r="2827">
          <cell r="F2827" t="str">
            <v>Sewa casing pipa baja dia. 40 cm</v>
          </cell>
          <cell r="G2827" t="str">
            <v>m</v>
          </cell>
          <cell r="H2827">
            <v>43500</v>
          </cell>
        </row>
        <row r="2828">
          <cell r="F2828" t="str">
            <v>Sewa casing pipa baja dia. 50 cm</v>
          </cell>
          <cell r="G2828" t="str">
            <v>m</v>
          </cell>
          <cell r="H2828">
            <v>55800</v>
          </cell>
        </row>
        <row r="2829">
          <cell r="F2829" t="str">
            <v>Pengelasan</v>
          </cell>
          <cell r="G2829" t="str">
            <v>cm</v>
          </cell>
          <cell r="H2829">
            <v>332</v>
          </cell>
        </row>
        <row r="2830">
          <cell r="F2830" t="str">
            <v xml:space="preserve">Baja Strip </v>
          </cell>
          <cell r="G2830" t="str">
            <v xml:space="preserve">kg </v>
          </cell>
          <cell r="H2830">
            <v>28000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214"/>
  <sheetViews>
    <sheetView topLeftCell="A4" workbookViewId="0">
      <pane ySplit="5" topLeftCell="A127" activePane="bottomLeft" state="frozen"/>
      <selection activeCell="A4" sqref="A4"/>
      <selection pane="bottomLeft" activeCell="D203" sqref="D203"/>
    </sheetView>
  </sheetViews>
  <sheetFormatPr defaultRowHeight="18" customHeight="1" x14ac:dyDescent="0.3"/>
  <cols>
    <col min="1" max="2" width="9.109375" style="3"/>
    <col min="3" max="3" width="34.33203125" style="7" bestFit="1" customWidth="1"/>
    <col min="4" max="4" width="9.109375" style="3"/>
    <col min="5" max="10" width="9.109375" style="12"/>
    <col min="11" max="11" width="1.5546875" style="12" customWidth="1"/>
    <col min="12" max="12" width="11" style="12" customWidth="1"/>
    <col min="13" max="14" width="9.109375" style="3"/>
    <col min="15" max="15" width="10.21875" style="3" bestFit="1" customWidth="1"/>
    <col min="16" max="16" width="9.109375" style="3"/>
    <col min="17" max="17" width="17.109375" style="2" bestFit="1" customWidth="1"/>
    <col min="18" max="29" width="9.109375" style="1"/>
  </cols>
  <sheetData>
    <row r="2" spans="1:29" ht="18" customHeight="1" x14ac:dyDescent="0.3">
      <c r="B2" s="4" t="s">
        <v>0</v>
      </c>
    </row>
    <row r="3" spans="1:29" ht="18" customHeight="1" x14ac:dyDescent="0.3">
      <c r="B3" s="5" t="s">
        <v>1</v>
      </c>
      <c r="C3" s="14"/>
      <c r="D3" s="6"/>
      <c r="E3" s="13"/>
      <c r="F3" s="13"/>
    </row>
    <row r="4" spans="1:29" ht="18" customHeight="1" x14ac:dyDescent="0.3">
      <c r="B4" s="7"/>
    </row>
    <row r="7" spans="1:29" s="11" customFormat="1" ht="18" customHeight="1" x14ac:dyDescent="0.3">
      <c r="A7" s="8"/>
      <c r="B7" s="384" t="s">
        <v>2</v>
      </c>
      <c r="C7" s="386" t="s">
        <v>3</v>
      </c>
      <c r="D7" s="384" t="s">
        <v>4</v>
      </c>
      <c r="E7" s="383" t="s">
        <v>5</v>
      </c>
      <c r="F7" s="383"/>
      <c r="G7" s="383"/>
      <c r="H7" s="383"/>
      <c r="I7" s="383"/>
      <c r="J7" s="383"/>
      <c r="K7" s="19"/>
      <c r="L7" s="19" t="s">
        <v>5</v>
      </c>
      <c r="M7" s="20"/>
      <c r="N7" s="20"/>
      <c r="O7" s="8"/>
      <c r="P7" s="8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1" customFormat="1" ht="18" customHeight="1" thickBot="1" x14ac:dyDescent="0.35">
      <c r="A8" s="8"/>
      <c r="B8" s="385"/>
      <c r="C8" s="387"/>
      <c r="D8" s="385"/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11</v>
      </c>
      <c r="K8" s="21"/>
      <c r="L8" s="21" t="s">
        <v>12</v>
      </c>
      <c r="M8" s="22"/>
      <c r="N8" s="22"/>
      <c r="O8" s="8"/>
      <c r="P8" s="8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customHeight="1" thickTop="1" x14ac:dyDescent="0.3"/>
    <row r="10" spans="1:29" ht="18" customHeight="1" x14ac:dyDescent="0.3">
      <c r="B10" s="15" t="s">
        <v>13</v>
      </c>
      <c r="C10" s="16" t="s">
        <v>14</v>
      </c>
      <c r="D10" s="6"/>
    </row>
    <row r="12" spans="1:29" ht="18" customHeight="1" x14ac:dyDescent="0.3">
      <c r="B12" s="23">
        <v>1</v>
      </c>
      <c r="C12" s="7" t="s">
        <v>16</v>
      </c>
    </row>
    <row r="13" spans="1:29" ht="18" customHeight="1" x14ac:dyDescent="0.3">
      <c r="C13" s="7" t="s">
        <v>18</v>
      </c>
      <c r="D13" s="3" t="s">
        <v>17</v>
      </c>
      <c r="E13" s="12">
        <f>(53.75+(2+1.2+1.8)+(5.8+1.7+2+3.2+4)+(8.1+2+5.2)+(1+16.75)+(5.7+3.3+4)+(9+4)+(9+6+2.8+9)+(8.5+2.3+3.65+2.3)+(2+2.3+3.65+3.4)+53.75)</f>
        <v>243.15</v>
      </c>
      <c r="F13" s="12">
        <f>(53.75+(1.75+2.4+1.35+2)+(7.55+3+3.4+1.3+4.7+1.6+3.15)+(3+1.45+2+4.25+9)+(3.55+4+12.25+2.6)+(6.75+4)+(8+4+11.4)+(4+4+3.25)+(6.175+5.75+1.7+4)+(9+15.25+3.6+5)+(6.2+4+9.35+5.75)+(3.85+2+1.2+1.75+2.6)+53.75)</f>
        <v>314.375</v>
      </c>
      <c r="G13" s="12">
        <f>(56.25+(3.5+1.8+5.1+4.87+1.2)+(3+1.8+1.6+4.1+4+1.6+6+5.38)+(56.25-(6.95+1+2))+(4+6.8+18.32+4)+(6.8+13.14+4.1+1.82)+(7+14+17.8)+(3.1+4.7+3+2.3+13.55)+(23.28-4)+56.25)</f>
        <v>346.46000000000004</v>
      </c>
      <c r="H13" s="12">
        <f>(56.25+(6.75+2.5+2.2+4.5+4.5+1.65+1+3+4.05+1.95+1.95+1.95)+(6.75+6.9+30.15+1.65)+(4.5+4.5+13.5)+(16+13.5)+(27+18.5)+(2+2+2+2+15.66)+56.25)</f>
        <v>315.11</v>
      </c>
      <c r="I13" s="12">
        <f>(56.25+(4.6+2.85+(1.65*6))+(2.5+1.65+3.1+4.65+(4.65*5))+(4.95+4.65+(6*5))+(6.5+8.75+2.5)+(9.7+13)+((6*4)+7.58+3.42)+(39.8+8.95)+56.25)</f>
        <v>328.79999999999995</v>
      </c>
      <c r="J13" s="12">
        <f>(4.5+1.65+(9.15+2.45+1.25+6.7+9.7+2+5+9.7)+(10.3+(1.5*4)+10.3+1.6+10.3)+(20.7+6+2.45+20.7))</f>
        <v>140.44999999999999</v>
      </c>
    </row>
    <row r="14" spans="1:29" ht="18" customHeight="1" x14ac:dyDescent="0.3">
      <c r="C14" s="7" t="s">
        <v>19</v>
      </c>
      <c r="D14" s="3" t="s">
        <v>17</v>
      </c>
      <c r="E14" s="12">
        <f>(19.6+19.6+(1.8+3.1+1.5)+(5.9+5.9+1.8)+(5.9+2.8+5.9)+(2+2)+(5.9+4+5.9+5.9)+5.9+(5.9+5.9+5.9+3+3.6+5.9)+2.6+(7.8+3.5+3+5.9)+(3.5+3.5+2.4)+19.6)</f>
        <v>187.40000000000003</v>
      </c>
      <c r="F14" s="12">
        <f>(19.6+(2.3+7.8+1.9)+(9+4)+(9+5.9)+(3.98+3.98+1.45+8)+(2.45+3.8)+(2.45+2.45+8.05)+(3+3+8.05+4.19)+(5.9+5.9)+(1.6+1.6+5.9+2.3)+(5.9+2+5.9+5.9)+(5.9+7.8)+2.8+(3.6+4+5.9+2)+(5.9+2+2)+(4+7+2.88)+(1.86+10.92))</f>
        <v>225.81</v>
      </c>
      <c r="G14" s="12">
        <f>(19.6+(19.6-(1.9+1.5))+(5.6+3)+(19.6-2.7)+(6+9+(2.5*3))+((5.9*2)+(4.5*2))+(5.9+5.9+2)+(5.9+4.9+4)+((5.9*2)+2+(4.9*2))+(5.9+7.8+(1.8*4))+17.6+19.6+19.6)</f>
        <v>234.5</v>
      </c>
      <c r="H14" s="12">
        <f>(19.61+(2.45+2.45+2.45+8.35)+(2.5+5.35+5.9)+(5.9+3+2.15+2.15)+((2.45*4)+(2.15*3))+(5.9+3.6)+(2.45+2.45+5.9)+(5.9+(2.45*4))+(2.75+3.5+2.5+5.9+3.5)+(3.5+5.3)+((4+5.3+5.9)*2)+(2+5.9)+(4.9+5.3+5.9)+((0.4*3)+3.8+2.25+2.25)+19.61)</f>
        <v>224.97000000000003</v>
      </c>
      <c r="I14" s="12">
        <f>(19.6+(2.3+2.4+1.8+2.4+0.6+3)+(5.9+3.7+5.9+4)+(3.7+4)+(3.7+4)+2.23+(2.3+5.9+2.3+2.14+2.14)+(5.9+4+5.9)+(2.3+5.9)+(5.9+5.9+2.3)+(3.5+2.5+2.3)+(3.5+5.9)+(5.9+5.4+2.3)+(1.89+3+5.9)+(5.9+3+2.3)+(0.6+0.6+1+2.4+5.9)+19.6)</f>
        <v>205.5</v>
      </c>
      <c r="J14" s="12">
        <f>(16.3+3.15+4.15+2+2+8+1.6+17.8)+(3.4+3.4)+(7.35+3+3+3+7.35)+(16.45+2.5+1.6+2.5+16.45)</f>
        <v>125</v>
      </c>
    </row>
    <row r="15" spans="1:29" ht="18" customHeight="1" x14ac:dyDescent="0.3">
      <c r="C15" s="7" t="s">
        <v>20</v>
      </c>
      <c r="D15" s="3" t="s">
        <v>17</v>
      </c>
      <c r="E15" s="13">
        <v>3.2</v>
      </c>
      <c r="F15" s="13">
        <v>3.7</v>
      </c>
      <c r="G15" s="13">
        <v>4.7</v>
      </c>
      <c r="H15" s="13">
        <v>3.3</v>
      </c>
      <c r="I15" s="13">
        <v>3.3</v>
      </c>
      <c r="J15" s="13">
        <v>2.8</v>
      </c>
    </row>
    <row r="16" spans="1:29" ht="18" customHeight="1" x14ac:dyDescent="0.3">
      <c r="C16" s="18" t="s">
        <v>21</v>
      </c>
      <c r="D16" s="8" t="s">
        <v>15</v>
      </c>
      <c r="E16" s="17">
        <f>(E13+E14)*E15</f>
        <v>1377.7600000000002</v>
      </c>
      <c r="F16" s="17">
        <f t="shared" ref="F16:J16" si="0">(F13+F14)*F15</f>
        <v>1998.6844999999998</v>
      </c>
      <c r="G16" s="17">
        <f t="shared" si="0"/>
        <v>2730.5120000000002</v>
      </c>
      <c r="H16" s="17">
        <f t="shared" si="0"/>
        <v>1782.2640000000001</v>
      </c>
      <c r="I16" s="17">
        <f t="shared" si="0"/>
        <v>1763.1899999999998</v>
      </c>
      <c r="J16" s="17">
        <f t="shared" si="0"/>
        <v>743.25999999999988</v>
      </c>
      <c r="K16" s="17"/>
      <c r="L16" s="17">
        <f>SUM(E16:J16)</f>
        <v>10395.6705</v>
      </c>
    </row>
    <row r="17" spans="2:20" ht="18" customHeight="1" x14ac:dyDescent="0.3">
      <c r="C17" s="7" t="s">
        <v>158</v>
      </c>
      <c r="D17" s="3" t="s">
        <v>15</v>
      </c>
    </row>
    <row r="19" spans="2:20" ht="18" customHeight="1" x14ac:dyDescent="0.3">
      <c r="B19" s="3">
        <v>2</v>
      </c>
      <c r="C19" s="7" t="s">
        <v>37</v>
      </c>
    </row>
    <row r="20" spans="2:20" ht="18" customHeight="1" x14ac:dyDescent="0.3">
      <c r="C20" s="7" t="s">
        <v>38</v>
      </c>
      <c r="D20" s="3" t="s">
        <v>42</v>
      </c>
      <c r="E20" s="12">
        <v>5</v>
      </c>
      <c r="F20" s="12">
        <v>19</v>
      </c>
      <c r="G20" s="12">
        <v>23</v>
      </c>
      <c r="H20" s="12">
        <v>18</v>
      </c>
      <c r="I20" s="12">
        <v>20</v>
      </c>
      <c r="J20" s="12">
        <v>4</v>
      </c>
      <c r="L20" s="17">
        <f t="shared" ref="L20:L36" si="1">SUM(E20:J20)</f>
        <v>89</v>
      </c>
      <c r="M20" s="3" t="s">
        <v>15</v>
      </c>
      <c r="N20" s="3">
        <f>E20*'ANALISA PINTU JENDELA'!$C$6</f>
        <v>11.399999999999999</v>
      </c>
      <c r="O20" s="3">
        <f>F20*'ANALISA PINTU JENDELA'!$C$6</f>
        <v>43.319999999999993</v>
      </c>
      <c r="P20" s="3">
        <f>G20*'ANALISA PINTU JENDELA'!$C$6</f>
        <v>52.44</v>
      </c>
      <c r="Q20" s="3">
        <f>H20*'ANALISA PINTU JENDELA'!$C$6</f>
        <v>41.04</v>
      </c>
      <c r="R20" s="3">
        <f>I20*'ANALISA PINTU JENDELA'!$C$6</f>
        <v>45.599999999999994</v>
      </c>
      <c r="S20" s="3">
        <f>J20*'ANALISA PINTU JENDELA'!$C$6</f>
        <v>9.1199999999999992</v>
      </c>
      <c r="T20" s="3"/>
    </row>
    <row r="21" spans="2:20" ht="18" customHeight="1" x14ac:dyDescent="0.3">
      <c r="C21" s="7" t="s">
        <v>188</v>
      </c>
      <c r="D21" s="3" t="s">
        <v>42</v>
      </c>
      <c r="E21" s="12">
        <v>5</v>
      </c>
      <c r="L21" s="17">
        <f t="shared" ref="L21" si="2">SUM(E21:J21)</f>
        <v>5</v>
      </c>
      <c r="M21" s="3" t="s">
        <v>15</v>
      </c>
      <c r="N21" s="3">
        <f>E21*'ANALISA PINTU JENDELA'!$C$6</f>
        <v>11.399999999999999</v>
      </c>
      <c r="O21" s="3">
        <f>F21*'ANALISA PINTU JENDELA'!$C$6</f>
        <v>0</v>
      </c>
      <c r="P21" s="3">
        <f>G21*'ANALISA PINTU JENDELA'!$C$6</f>
        <v>0</v>
      </c>
      <c r="Q21" s="3">
        <f>H21*'ANALISA PINTU JENDELA'!$C$6</f>
        <v>0</v>
      </c>
      <c r="R21" s="3">
        <f>I21*'ANALISA PINTU JENDELA'!$C$6</f>
        <v>0</v>
      </c>
      <c r="S21" s="3">
        <f>J21*'ANALISA PINTU JENDELA'!$C$6</f>
        <v>0</v>
      </c>
    </row>
    <row r="22" spans="2:20" ht="18" customHeight="1" x14ac:dyDescent="0.3">
      <c r="C22" s="7" t="s">
        <v>39</v>
      </c>
      <c r="D22" s="3" t="s">
        <v>42</v>
      </c>
      <c r="E22" s="12">
        <v>13</v>
      </c>
      <c r="F22" s="12">
        <f>26+3</f>
        <v>29</v>
      </c>
      <c r="G22" s="12">
        <v>21</v>
      </c>
      <c r="H22" s="12">
        <v>14</v>
      </c>
      <c r="I22" s="12">
        <v>8</v>
      </c>
      <c r="J22" s="12">
        <v>6</v>
      </c>
      <c r="L22" s="17">
        <f t="shared" si="1"/>
        <v>91</v>
      </c>
      <c r="M22" s="3" t="s">
        <v>15</v>
      </c>
      <c r="N22" s="3">
        <f>E22*'ANALISA PINTU JENDELA'!$C$19</f>
        <v>31.2</v>
      </c>
      <c r="O22" s="3">
        <f>F22*'ANALISA PINTU JENDELA'!$C$19</f>
        <v>69.599999999999994</v>
      </c>
      <c r="P22" s="3">
        <f>G22*'ANALISA PINTU JENDELA'!$C$19</f>
        <v>50.4</v>
      </c>
      <c r="Q22" s="3">
        <f>H22*'ANALISA PINTU JENDELA'!$C$19</f>
        <v>33.6</v>
      </c>
      <c r="R22" s="3">
        <f>I22*'ANALISA PINTU JENDELA'!$C$19</f>
        <v>19.2</v>
      </c>
      <c r="S22" s="3">
        <f>J22*'ANALISA PINTU JENDELA'!$C$19</f>
        <v>14.399999999999999</v>
      </c>
    </row>
    <row r="23" spans="2:20" ht="18" customHeight="1" x14ac:dyDescent="0.3">
      <c r="C23" s="7" t="s">
        <v>40</v>
      </c>
      <c r="D23" s="3" t="s">
        <v>42</v>
      </c>
      <c r="E23" s="12">
        <v>4</v>
      </c>
      <c r="F23" s="12">
        <v>9</v>
      </c>
      <c r="G23" s="12">
        <v>15</v>
      </c>
      <c r="H23" s="12">
        <v>13</v>
      </c>
      <c r="I23" s="12">
        <v>14</v>
      </c>
      <c r="J23" s="12">
        <v>0</v>
      </c>
      <c r="L23" s="17">
        <f t="shared" si="1"/>
        <v>55</v>
      </c>
      <c r="M23" s="3" t="s">
        <v>15</v>
      </c>
      <c r="N23" s="3">
        <f>E23*'ANALISA PINTU JENDELA'!$C$32</f>
        <v>12.48</v>
      </c>
      <c r="O23" s="3">
        <f>F23*'ANALISA PINTU JENDELA'!$C$32</f>
        <v>28.080000000000002</v>
      </c>
      <c r="P23" s="3">
        <f>G23*'ANALISA PINTU JENDELA'!$C$32</f>
        <v>46.800000000000004</v>
      </c>
      <c r="Q23" s="3">
        <f>H23*'ANALISA PINTU JENDELA'!$C$32</f>
        <v>40.56</v>
      </c>
      <c r="R23" s="3">
        <f>I23*'ANALISA PINTU JENDELA'!$C$32</f>
        <v>43.68</v>
      </c>
      <c r="S23" s="3">
        <f>J23*'ANALISA PINTU JENDELA'!$C$32</f>
        <v>0</v>
      </c>
    </row>
    <row r="24" spans="2:20" ht="18" customHeight="1" x14ac:dyDescent="0.3">
      <c r="C24" s="7" t="s">
        <v>44</v>
      </c>
      <c r="D24" s="3" t="s">
        <v>42</v>
      </c>
      <c r="E24" s="12">
        <v>0</v>
      </c>
      <c r="F24" s="12">
        <v>1</v>
      </c>
      <c r="G24" s="12">
        <v>0</v>
      </c>
      <c r="H24" s="12">
        <v>1</v>
      </c>
      <c r="I24" s="12">
        <v>0</v>
      </c>
      <c r="J24" s="12">
        <v>4</v>
      </c>
      <c r="L24" s="17">
        <f t="shared" si="1"/>
        <v>6</v>
      </c>
      <c r="M24" s="3" t="s">
        <v>15</v>
      </c>
      <c r="N24" s="3">
        <f>E24*'ANALISA PINTU JENDELA'!$C$59</f>
        <v>0</v>
      </c>
      <c r="O24" s="3">
        <f>F24*'ANALISA PINTU JENDELA'!$C$59</f>
        <v>4.08</v>
      </c>
      <c r="P24" s="3">
        <f>G24*'ANALISA PINTU JENDELA'!$C$59</f>
        <v>0</v>
      </c>
      <c r="Q24" s="3">
        <f>H24*'ANALISA PINTU JENDELA'!$C$59</f>
        <v>4.08</v>
      </c>
      <c r="R24" s="3">
        <f>I24*'ANALISA PINTU JENDELA'!$C$59</f>
        <v>0</v>
      </c>
      <c r="S24" s="3">
        <f>J24*'ANALISA PINTU JENDELA'!$C$59</f>
        <v>16.32</v>
      </c>
    </row>
    <row r="25" spans="2:20" ht="18" customHeight="1" x14ac:dyDescent="0.3">
      <c r="C25" s="7" t="s">
        <v>65</v>
      </c>
      <c r="D25" s="3" t="s">
        <v>42</v>
      </c>
      <c r="E25" s="12">
        <v>0</v>
      </c>
      <c r="F25" s="12">
        <v>0</v>
      </c>
      <c r="G25" s="12">
        <v>5</v>
      </c>
      <c r="H25" s="12">
        <v>0</v>
      </c>
      <c r="I25" s="12">
        <v>0</v>
      </c>
      <c r="J25" s="12">
        <v>0</v>
      </c>
      <c r="L25" s="17">
        <f t="shared" si="1"/>
        <v>5</v>
      </c>
      <c r="M25" s="3" t="s">
        <v>15</v>
      </c>
      <c r="N25" s="3">
        <f>E25*'ANALISA PINTU JENDELA'!$C$70</f>
        <v>0</v>
      </c>
      <c r="O25" s="3">
        <f>F25*'ANALISA PINTU JENDELA'!$C$70</f>
        <v>0</v>
      </c>
      <c r="P25" s="3">
        <f>G25*'ANALISA PINTU JENDELA'!$C$70</f>
        <v>19.2</v>
      </c>
      <c r="Q25" s="3">
        <f>H25*'ANALISA PINTU JENDELA'!$C$70</f>
        <v>0</v>
      </c>
      <c r="R25" s="3">
        <f>I25*'ANALISA PINTU JENDELA'!$C$70</f>
        <v>0</v>
      </c>
      <c r="S25" s="3">
        <f>J25*'ANALISA PINTU JENDELA'!$C$70</f>
        <v>0</v>
      </c>
    </row>
    <row r="26" spans="2:20" ht="18" customHeight="1" x14ac:dyDescent="0.3">
      <c r="C26" s="7" t="s">
        <v>66</v>
      </c>
      <c r="D26" s="3" t="s">
        <v>42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>
        <v>0</v>
      </c>
      <c r="L26" s="17">
        <f t="shared" si="1"/>
        <v>1</v>
      </c>
      <c r="M26" s="3" t="s">
        <v>15</v>
      </c>
      <c r="N26" s="3">
        <f>E26*'ANALISA PINTU JENDELA'!$C$97</f>
        <v>0</v>
      </c>
      <c r="O26" s="3">
        <f>F26*'ANALISA PINTU JENDELA'!$C$97</f>
        <v>0</v>
      </c>
      <c r="P26" s="3">
        <f>G26*'ANALISA PINTU JENDELA'!$C$97</f>
        <v>2.2799999999999998</v>
      </c>
      <c r="Q26" s="3">
        <f>H26*'ANALISA PINTU JENDELA'!$C$97</f>
        <v>0</v>
      </c>
      <c r="R26" s="3">
        <f>I26*'ANALISA PINTU JENDELA'!$C$97</f>
        <v>0</v>
      </c>
      <c r="S26" s="3">
        <f>J26*'ANALISA PINTU JENDELA'!$C$97</f>
        <v>0</v>
      </c>
    </row>
    <row r="27" spans="2:20" ht="18" customHeight="1" x14ac:dyDescent="0.3">
      <c r="C27" s="7" t="s">
        <v>41</v>
      </c>
      <c r="D27" s="3" t="s">
        <v>42</v>
      </c>
      <c r="E27" s="12">
        <v>2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L27" s="17">
        <f t="shared" si="1"/>
        <v>2</v>
      </c>
      <c r="M27" s="3" t="s">
        <v>15</v>
      </c>
      <c r="N27" s="3">
        <f>E27*'ANALISA PINTU JENDELA'!$C$110</f>
        <v>4.8</v>
      </c>
      <c r="O27" s="3">
        <f>F27*'ANALISA PINTU JENDELA'!$C$110</f>
        <v>0</v>
      </c>
      <c r="P27" s="3">
        <f>G27*'ANALISA PINTU JENDELA'!$C$110</f>
        <v>0</v>
      </c>
      <c r="Q27" s="3">
        <f>H27*'ANALISA PINTU JENDELA'!$C$110</f>
        <v>0</v>
      </c>
      <c r="R27" s="3">
        <f>I27*'ANALISA PINTU JENDELA'!$C$110</f>
        <v>0</v>
      </c>
      <c r="S27" s="3">
        <f>J27*'ANALISA PINTU JENDELA'!$C$110</f>
        <v>0</v>
      </c>
    </row>
    <row r="28" spans="2:20" ht="18" customHeight="1" x14ac:dyDescent="0.3">
      <c r="C28" s="7" t="s">
        <v>45</v>
      </c>
      <c r="D28" s="3" t="s">
        <v>42</v>
      </c>
      <c r="E28" s="12">
        <v>0</v>
      </c>
      <c r="F28" s="12">
        <v>1</v>
      </c>
      <c r="G28" s="12">
        <v>0</v>
      </c>
      <c r="H28" s="12">
        <v>0</v>
      </c>
      <c r="I28" s="12">
        <v>0</v>
      </c>
      <c r="J28" s="12">
        <v>0</v>
      </c>
      <c r="L28" s="17">
        <f t="shared" si="1"/>
        <v>1</v>
      </c>
      <c r="M28" s="3" t="s">
        <v>15</v>
      </c>
      <c r="N28" s="3">
        <f>E28*'ANALISA PINTU JENDELA'!$K$6</f>
        <v>0</v>
      </c>
      <c r="O28" s="3">
        <f>F28*'ANALISA PINTU JENDELA'!$K$6</f>
        <v>8.5679999999999996</v>
      </c>
      <c r="P28" s="3">
        <f>G28*'ANALISA PINTU JENDELA'!$K$6</f>
        <v>0</v>
      </c>
      <c r="Q28" s="3">
        <f>H28*'ANALISA PINTU JENDELA'!$K$6</f>
        <v>0</v>
      </c>
      <c r="R28" s="3">
        <f>I28*'ANALISA PINTU JENDELA'!$K$6</f>
        <v>0</v>
      </c>
      <c r="S28" s="3">
        <f>J28*'ANALISA PINTU JENDELA'!$K$6</f>
        <v>0</v>
      </c>
    </row>
    <row r="29" spans="2:20" ht="18" customHeight="1" x14ac:dyDescent="0.3">
      <c r="L29" s="17">
        <f t="shared" si="1"/>
        <v>0</v>
      </c>
    </row>
    <row r="30" spans="2:20" ht="18" customHeight="1" x14ac:dyDescent="0.3">
      <c r="C30" s="7" t="s">
        <v>46</v>
      </c>
      <c r="D30" s="3" t="s">
        <v>42</v>
      </c>
      <c r="E30" s="12">
        <v>0</v>
      </c>
      <c r="F30" s="12">
        <v>13</v>
      </c>
      <c r="G30" s="12">
        <v>8</v>
      </c>
      <c r="H30" s="12">
        <v>3</v>
      </c>
      <c r="I30" s="12">
        <v>9</v>
      </c>
      <c r="J30" s="12">
        <v>0</v>
      </c>
      <c r="L30" s="17">
        <f t="shared" si="1"/>
        <v>33</v>
      </c>
      <c r="M30" s="3" t="s">
        <v>15</v>
      </c>
      <c r="N30" s="3">
        <f>E30*'ANALISA PINTU JENDELA'!$K$19</f>
        <v>0</v>
      </c>
      <c r="O30" s="3">
        <f>F30*'ANALISA PINTU JENDELA'!$K$19</f>
        <v>23.919999999999998</v>
      </c>
      <c r="P30" s="3">
        <f>G30*'ANALISA PINTU JENDELA'!$K$19</f>
        <v>14.719999999999999</v>
      </c>
      <c r="Q30" s="3">
        <f>H30*'ANALISA PINTU JENDELA'!$K$19</f>
        <v>5.52</v>
      </c>
      <c r="R30" s="3">
        <f>I30*'ANALISA PINTU JENDELA'!$K$19</f>
        <v>16.559999999999999</v>
      </c>
      <c r="S30" s="3">
        <f>J30*'ANALISA PINTU JENDELA'!$K$19</f>
        <v>0</v>
      </c>
    </row>
    <row r="31" spans="2:20" ht="18" customHeight="1" x14ac:dyDescent="0.3">
      <c r="C31" s="7" t="s">
        <v>184</v>
      </c>
      <c r="D31" s="3" t="s">
        <v>42</v>
      </c>
      <c r="E31" s="12">
        <v>12</v>
      </c>
      <c r="J31" s="12">
        <v>0</v>
      </c>
      <c r="L31" s="17">
        <f t="shared" ref="L31" si="3">SUM(E31:J31)</f>
        <v>12</v>
      </c>
      <c r="M31" s="3" t="s">
        <v>15</v>
      </c>
      <c r="N31" s="3">
        <f>E31*'ANALISA PINTU JENDELA'!$K$32</f>
        <v>16.559999999999999</v>
      </c>
      <c r="O31" s="3">
        <f>F31*'ANALISA PINTU JENDELA'!$K$32</f>
        <v>0</v>
      </c>
      <c r="P31" s="3">
        <f>G31*'ANALISA PINTU JENDELA'!$K$32</f>
        <v>0</v>
      </c>
      <c r="Q31" s="3">
        <f>H31*'ANALISA PINTU JENDELA'!$K$32</f>
        <v>0</v>
      </c>
      <c r="R31" s="3">
        <f>I31*'ANALISA PINTU JENDELA'!$K$32</f>
        <v>0</v>
      </c>
      <c r="S31" s="3">
        <f>J31*'ANALISA PINTU JENDELA'!$K$32</f>
        <v>0</v>
      </c>
    </row>
    <row r="32" spans="2:20" ht="18" customHeight="1" x14ac:dyDescent="0.3">
      <c r="C32" s="7" t="s">
        <v>48</v>
      </c>
      <c r="D32" s="3" t="s">
        <v>42</v>
      </c>
      <c r="E32" s="12">
        <v>0</v>
      </c>
      <c r="F32" s="12">
        <v>2</v>
      </c>
      <c r="G32" s="12">
        <v>2</v>
      </c>
      <c r="H32" s="12">
        <v>12</v>
      </c>
      <c r="I32" s="12">
        <v>12</v>
      </c>
      <c r="J32" s="12">
        <v>0</v>
      </c>
      <c r="L32" s="17">
        <f t="shared" si="1"/>
        <v>28</v>
      </c>
      <c r="M32" s="3" t="s">
        <v>15</v>
      </c>
      <c r="N32" s="3">
        <f>E32*'ANALISA PINTU JENDELA'!$K$45</f>
        <v>0</v>
      </c>
      <c r="O32" s="3">
        <f>F32*'ANALISA PINTU JENDELA'!$K$45</f>
        <v>6.88</v>
      </c>
      <c r="P32" s="3">
        <f>G32*'ANALISA PINTU JENDELA'!$K$45</f>
        <v>6.88</v>
      </c>
      <c r="Q32" s="3">
        <f>H32*'ANALISA PINTU JENDELA'!$K$45</f>
        <v>41.28</v>
      </c>
      <c r="R32" s="3">
        <f>I32*'ANALISA PINTU JENDELA'!$K$45</f>
        <v>41.28</v>
      </c>
      <c r="S32" s="3">
        <f>J32*'ANALISA PINTU JENDELA'!$K$45</f>
        <v>0</v>
      </c>
    </row>
    <row r="33" spans="2:19" ht="18" customHeight="1" x14ac:dyDescent="0.3">
      <c r="C33" s="7" t="s">
        <v>185</v>
      </c>
      <c r="D33" s="3" t="s">
        <v>42</v>
      </c>
      <c r="E33" s="12">
        <v>1</v>
      </c>
      <c r="J33" s="12">
        <v>0</v>
      </c>
      <c r="L33" s="17">
        <f t="shared" ref="L33" si="4">SUM(E33:J33)</f>
        <v>1</v>
      </c>
      <c r="M33" s="3" t="s">
        <v>15</v>
      </c>
      <c r="N33" s="3">
        <f>E33*'ANALISA PINTU JENDELA'!K59</f>
        <v>2.5799999999999996</v>
      </c>
    </row>
    <row r="34" spans="2:19" ht="18" customHeight="1" x14ac:dyDescent="0.3">
      <c r="C34" s="7" t="s">
        <v>47</v>
      </c>
      <c r="D34" s="3" t="s">
        <v>42</v>
      </c>
      <c r="E34" s="12">
        <v>0</v>
      </c>
      <c r="F34" s="12">
        <v>2</v>
      </c>
      <c r="G34" s="12">
        <v>4</v>
      </c>
      <c r="H34" s="12">
        <v>2</v>
      </c>
      <c r="I34" s="12">
        <v>2</v>
      </c>
      <c r="J34" s="12">
        <v>0</v>
      </c>
      <c r="L34" s="17">
        <f t="shared" si="1"/>
        <v>10</v>
      </c>
      <c r="M34" s="3" t="s">
        <v>15</v>
      </c>
      <c r="N34" s="3">
        <f>E34*'ANALISA PINTU JENDELA'!$K$84</f>
        <v>0</v>
      </c>
      <c r="O34" s="3">
        <f>F34*'ANALISA PINTU JENDELA'!$K$84</f>
        <v>40.799999999999997</v>
      </c>
      <c r="P34" s="3">
        <f>G34*'ANALISA PINTU JENDELA'!$K$84</f>
        <v>81.599999999999994</v>
      </c>
      <c r="Q34" s="3">
        <f>H34*'ANALISA PINTU JENDELA'!$K$84</f>
        <v>40.799999999999997</v>
      </c>
      <c r="R34" s="3">
        <f>I34*'ANALISA PINTU JENDELA'!$K$84</f>
        <v>40.799999999999997</v>
      </c>
      <c r="S34" s="3">
        <f>J34*'ANALISA PINTU JENDELA'!$K$84</f>
        <v>0</v>
      </c>
    </row>
    <row r="35" spans="2:19" ht="18" customHeight="1" x14ac:dyDescent="0.3">
      <c r="C35" s="7" t="s">
        <v>67</v>
      </c>
      <c r="D35" s="3" t="s">
        <v>42</v>
      </c>
      <c r="E35" s="12">
        <v>0</v>
      </c>
      <c r="F35" s="12">
        <v>0</v>
      </c>
      <c r="G35" s="12">
        <v>2</v>
      </c>
      <c r="H35" s="12">
        <v>0</v>
      </c>
      <c r="I35" s="12">
        <v>0</v>
      </c>
      <c r="J35" s="12">
        <v>0</v>
      </c>
      <c r="L35" s="17">
        <f t="shared" si="1"/>
        <v>2</v>
      </c>
      <c r="M35" s="3" t="s">
        <v>15</v>
      </c>
      <c r="N35" s="3">
        <f>E35*'ANALISA PINTU JENDELA'!$K$95</f>
        <v>0</v>
      </c>
      <c r="O35" s="3">
        <f>F35*'ANALISA PINTU JENDELA'!$K$95</f>
        <v>0</v>
      </c>
      <c r="P35" s="3">
        <f>G35*'ANALISA PINTU JENDELA'!$K$95</f>
        <v>7.9499999999999993</v>
      </c>
      <c r="Q35" s="3">
        <f>H35*'ANALISA PINTU JENDELA'!$K$95</f>
        <v>0</v>
      </c>
      <c r="R35" s="3">
        <f>I35*'ANALISA PINTU JENDELA'!$K$95</f>
        <v>0</v>
      </c>
      <c r="S35" s="3">
        <f>J35*'ANALISA PINTU JENDELA'!$K$95</f>
        <v>0</v>
      </c>
    </row>
    <row r="36" spans="2:19" ht="18" customHeight="1" x14ac:dyDescent="0.3">
      <c r="C36" s="7" t="s">
        <v>68</v>
      </c>
      <c r="D36" s="3" t="s">
        <v>42</v>
      </c>
      <c r="E36" s="12">
        <v>0</v>
      </c>
      <c r="F36" s="12">
        <v>0</v>
      </c>
      <c r="G36" s="12">
        <v>1</v>
      </c>
      <c r="H36" s="12">
        <v>0</v>
      </c>
      <c r="I36" s="12">
        <v>0</v>
      </c>
      <c r="J36" s="12">
        <v>0</v>
      </c>
      <c r="L36" s="17">
        <f t="shared" si="1"/>
        <v>1</v>
      </c>
      <c r="M36" s="3" t="s">
        <v>15</v>
      </c>
      <c r="N36" s="3">
        <f>E36*'ANALISA PINTU JENDELA'!$K$105</f>
        <v>0</v>
      </c>
      <c r="O36" s="3">
        <f>F36*'ANALISA PINTU JENDELA'!$K$105</f>
        <v>0</v>
      </c>
      <c r="P36" s="3">
        <f>G36*'ANALISA PINTU JENDELA'!$K$105</f>
        <v>7.8174999999999999</v>
      </c>
      <c r="Q36" s="3">
        <f>H36*'ANALISA PINTU JENDELA'!$K$105</f>
        <v>0</v>
      </c>
      <c r="R36" s="3">
        <f>I36*'ANALISA PINTU JENDELA'!$K$105</f>
        <v>0</v>
      </c>
      <c r="S36" s="3">
        <f>J36*'ANALISA PINTU JENDELA'!$K$105</f>
        <v>0</v>
      </c>
    </row>
    <row r="37" spans="2:19" ht="18" customHeight="1" x14ac:dyDescent="0.3">
      <c r="C37" s="7" t="s">
        <v>91</v>
      </c>
      <c r="D37" s="3" t="s">
        <v>42</v>
      </c>
      <c r="E37" s="12">
        <v>0</v>
      </c>
      <c r="F37" s="12">
        <v>0</v>
      </c>
      <c r="G37" s="12">
        <v>0</v>
      </c>
      <c r="H37" s="12">
        <v>0</v>
      </c>
      <c r="I37" s="12">
        <v>1</v>
      </c>
      <c r="J37" s="12">
        <v>0</v>
      </c>
      <c r="L37" s="17">
        <f t="shared" ref="L37" si="5">SUM(E37:J37)</f>
        <v>1</v>
      </c>
      <c r="M37" s="3" t="s">
        <v>15</v>
      </c>
      <c r="N37" s="3">
        <f>E37*'ANALISA PINTU JENDELA'!$K$32</f>
        <v>0</v>
      </c>
    </row>
    <row r="38" spans="2:19" ht="18" customHeight="1" x14ac:dyDescent="0.3">
      <c r="C38" s="7" t="s">
        <v>186</v>
      </c>
      <c r="D38" s="3" t="s">
        <v>42</v>
      </c>
      <c r="E38" s="12">
        <v>2</v>
      </c>
      <c r="F38" s="12">
        <v>0</v>
      </c>
      <c r="G38" s="12">
        <v>0</v>
      </c>
      <c r="H38" s="12">
        <v>0</v>
      </c>
      <c r="J38" s="12">
        <v>0</v>
      </c>
      <c r="L38" s="17">
        <f t="shared" ref="L38:L39" si="6">SUM(E38:J38)</f>
        <v>2</v>
      </c>
      <c r="M38" s="3" t="s">
        <v>15</v>
      </c>
      <c r="N38" s="3">
        <f>E38*'ANALISA PINTU JENDELA'!K115</f>
        <v>2.3400000000000003</v>
      </c>
    </row>
    <row r="39" spans="2:19" ht="18" customHeight="1" x14ac:dyDescent="0.3">
      <c r="C39" s="7" t="s">
        <v>187</v>
      </c>
      <c r="D39" s="3" t="s">
        <v>42</v>
      </c>
      <c r="E39" s="12">
        <v>1</v>
      </c>
      <c r="F39" s="12">
        <v>0</v>
      </c>
      <c r="G39" s="12">
        <v>0</v>
      </c>
      <c r="H39" s="12">
        <v>0</v>
      </c>
      <c r="J39" s="12">
        <v>0</v>
      </c>
      <c r="L39" s="17">
        <f t="shared" si="6"/>
        <v>1</v>
      </c>
      <c r="M39" s="3" t="s">
        <v>15</v>
      </c>
      <c r="N39" s="3">
        <f>E39*'ANALISA PINTU JENDELA'!K122</f>
        <v>1.75</v>
      </c>
    </row>
    <row r="40" spans="2:19" ht="18" customHeight="1" x14ac:dyDescent="0.3">
      <c r="M40" s="3" t="s">
        <v>15</v>
      </c>
      <c r="N40" s="8">
        <f>SUM(N20:N39)</f>
        <v>94.51</v>
      </c>
      <c r="O40" s="8">
        <f t="shared" ref="O40:S40" si="7">SUM(O20:O39)</f>
        <v>225.24799999999999</v>
      </c>
      <c r="P40" s="8">
        <f t="shared" si="7"/>
        <v>290.08749999999998</v>
      </c>
      <c r="Q40" s="8">
        <f t="shared" si="7"/>
        <v>206.88</v>
      </c>
      <c r="R40" s="8">
        <f t="shared" si="7"/>
        <v>207.12</v>
      </c>
      <c r="S40" s="8">
        <f t="shared" si="7"/>
        <v>39.839999999999996</v>
      </c>
    </row>
    <row r="47" spans="2:19" ht="18" customHeight="1" x14ac:dyDescent="0.3">
      <c r="B47" s="3">
        <v>3</v>
      </c>
      <c r="C47" s="7" t="s">
        <v>43</v>
      </c>
    </row>
    <row r="48" spans="2:19" ht="18" customHeight="1" x14ac:dyDescent="0.3">
      <c r="C48" s="27" t="s">
        <v>69</v>
      </c>
      <c r="D48" s="15" t="s">
        <v>15</v>
      </c>
      <c r="E48" s="28">
        <f>53.75*19.6</f>
        <v>1053.5</v>
      </c>
    </row>
    <row r="49" spans="3:31" ht="18" customHeight="1" x14ac:dyDescent="0.3">
      <c r="C49" s="7" t="s">
        <v>22</v>
      </c>
      <c r="D49" s="3" t="s">
        <v>15</v>
      </c>
      <c r="E49" s="12">
        <f>(9*7.8)-(4*5.9)</f>
        <v>46.6</v>
      </c>
      <c r="G49" s="28" t="s">
        <v>431</v>
      </c>
      <c r="H49" s="13"/>
      <c r="I49" s="13"/>
      <c r="J49" s="28" t="s">
        <v>335</v>
      </c>
      <c r="K49" s="28"/>
      <c r="L49" s="28" t="s">
        <v>334</v>
      </c>
      <c r="M49" s="12"/>
      <c r="N49" s="12"/>
      <c r="Q49" s="3"/>
      <c r="R49" s="3"/>
      <c r="S49" s="2"/>
      <c r="AD49" s="1"/>
      <c r="AE49" s="1"/>
    </row>
    <row r="50" spans="3:31" ht="18" customHeight="1" x14ac:dyDescent="0.3">
      <c r="C50" s="7" t="s">
        <v>23</v>
      </c>
      <c r="G50" s="232" t="s">
        <v>324</v>
      </c>
      <c r="H50" s="12">
        <v>1.65</v>
      </c>
      <c r="I50" s="12">
        <v>1.45</v>
      </c>
      <c r="J50" s="12">
        <f>H50*I50</f>
        <v>2.3924999999999996</v>
      </c>
      <c r="L50" s="12">
        <f>((H50+I50)*2*2.8)-(1*2.4)</f>
        <v>14.959999999999996</v>
      </c>
      <c r="M50" s="12" t="s">
        <v>15</v>
      </c>
      <c r="Q50" s="3"/>
      <c r="R50" s="3"/>
      <c r="S50" s="2"/>
      <c r="AD50" s="1"/>
      <c r="AE50" s="1"/>
    </row>
    <row r="51" spans="3:31" ht="18" customHeight="1" x14ac:dyDescent="0.3">
      <c r="C51" s="7" t="s">
        <v>24</v>
      </c>
      <c r="D51" s="3" t="s">
        <v>15</v>
      </c>
      <c r="E51" s="12">
        <f>8.5*5.9</f>
        <v>50.150000000000006</v>
      </c>
      <c r="G51" s="232" t="s">
        <v>325</v>
      </c>
      <c r="H51" s="12">
        <v>1.65</v>
      </c>
      <c r="I51" s="12">
        <v>1.45</v>
      </c>
      <c r="J51" s="12">
        <f t="shared" ref="J51:J58" si="8">H51*I51</f>
        <v>2.3924999999999996</v>
      </c>
      <c r="L51" s="12">
        <f t="shared" ref="L51:L58" si="9">((H51+I51)*2*2.8)-(1*2.4)</f>
        <v>14.959999999999996</v>
      </c>
      <c r="M51" s="12" t="s">
        <v>15</v>
      </c>
      <c r="Q51" s="3"/>
      <c r="R51" s="3"/>
      <c r="S51" s="2"/>
      <c r="AD51" s="1"/>
      <c r="AE51" s="1"/>
    </row>
    <row r="52" spans="3:31" ht="18" customHeight="1" x14ac:dyDescent="0.3">
      <c r="C52" s="7" t="s">
        <v>34</v>
      </c>
      <c r="D52" s="3" t="s">
        <v>15</v>
      </c>
      <c r="E52" s="12">
        <f>2.8*5.8</f>
        <v>16.239999999999998</v>
      </c>
      <c r="G52" s="232" t="s">
        <v>326</v>
      </c>
      <c r="H52" s="12">
        <v>1</v>
      </c>
      <c r="I52" s="12">
        <v>1.85</v>
      </c>
      <c r="J52" s="12">
        <f t="shared" si="8"/>
        <v>1.85</v>
      </c>
      <c r="L52" s="12">
        <f t="shared" si="9"/>
        <v>13.559999999999999</v>
      </c>
      <c r="M52" s="12" t="s">
        <v>15</v>
      </c>
      <c r="Q52" s="3"/>
      <c r="R52" s="3"/>
      <c r="S52" s="2"/>
      <c r="AD52" s="1"/>
      <c r="AE52" s="1"/>
    </row>
    <row r="53" spans="3:31" ht="18" customHeight="1" x14ac:dyDescent="0.3">
      <c r="C53" s="7" t="s">
        <v>25</v>
      </c>
      <c r="D53" s="3" t="s">
        <v>15</v>
      </c>
      <c r="E53" s="12">
        <f>2*3.5</f>
        <v>7</v>
      </c>
      <c r="G53" s="232" t="s">
        <v>327</v>
      </c>
      <c r="H53" s="12">
        <v>1.65</v>
      </c>
      <c r="I53" s="12">
        <v>2</v>
      </c>
      <c r="J53" s="12">
        <f t="shared" si="8"/>
        <v>3.3</v>
      </c>
      <c r="L53" s="12">
        <f t="shared" si="9"/>
        <v>18.04</v>
      </c>
      <c r="M53" s="12" t="s">
        <v>15</v>
      </c>
      <c r="Q53" s="3"/>
      <c r="R53" s="3"/>
      <c r="S53" s="2"/>
      <c r="AD53" s="1"/>
      <c r="AE53" s="1"/>
    </row>
    <row r="54" spans="3:31" ht="18" customHeight="1" x14ac:dyDescent="0.3">
      <c r="C54" s="7" t="s">
        <v>26</v>
      </c>
      <c r="D54" s="3" t="s">
        <v>15</v>
      </c>
      <c r="E54" s="12">
        <f>5*5.9</f>
        <v>29.5</v>
      </c>
      <c r="G54" s="232" t="s">
        <v>328</v>
      </c>
      <c r="H54" s="12">
        <v>1</v>
      </c>
      <c r="I54" s="12">
        <v>1.85</v>
      </c>
      <c r="J54" s="12">
        <f t="shared" si="8"/>
        <v>1.85</v>
      </c>
      <c r="L54" s="12">
        <f t="shared" si="9"/>
        <v>13.559999999999999</v>
      </c>
      <c r="M54" s="12" t="s">
        <v>15</v>
      </c>
      <c r="Q54" s="3"/>
      <c r="R54" s="3"/>
      <c r="S54" s="2"/>
      <c r="AD54" s="1"/>
      <c r="AE54" s="1"/>
    </row>
    <row r="55" spans="3:31" ht="18" customHeight="1" x14ac:dyDescent="0.3">
      <c r="C55" s="7" t="s">
        <v>27</v>
      </c>
      <c r="D55" s="3" t="s">
        <v>15</v>
      </c>
      <c r="E55" s="12">
        <f>6.55*5.9</f>
        <v>38.645000000000003</v>
      </c>
      <c r="G55" s="232" t="s">
        <v>329</v>
      </c>
      <c r="H55" s="12">
        <v>1.45</v>
      </c>
      <c r="I55" s="12">
        <v>2.15</v>
      </c>
      <c r="J55" s="12">
        <f t="shared" si="8"/>
        <v>3.1174999999999997</v>
      </c>
      <c r="L55" s="12">
        <f t="shared" si="9"/>
        <v>17.759999999999998</v>
      </c>
      <c r="M55" s="12" t="s">
        <v>15</v>
      </c>
      <c r="Q55" s="3"/>
      <c r="R55" s="3"/>
      <c r="S55" s="2"/>
      <c r="AD55" s="1"/>
      <c r="AE55" s="1"/>
    </row>
    <row r="56" spans="3:31" ht="18" customHeight="1" x14ac:dyDescent="0.3">
      <c r="C56" s="7" t="s">
        <v>28</v>
      </c>
      <c r="D56" s="3" t="s">
        <v>15</v>
      </c>
      <c r="E56" s="12">
        <f>2*5.9</f>
        <v>11.8</v>
      </c>
      <c r="G56" s="232" t="s">
        <v>331</v>
      </c>
      <c r="H56" s="12">
        <v>1.7</v>
      </c>
      <c r="I56" s="12">
        <v>1.8</v>
      </c>
      <c r="J56" s="12">
        <f t="shared" si="8"/>
        <v>3.06</v>
      </c>
      <c r="L56" s="12">
        <f t="shared" si="9"/>
        <v>17.2</v>
      </c>
      <c r="M56" s="12" t="s">
        <v>15</v>
      </c>
      <c r="Q56" s="3"/>
      <c r="R56" s="3"/>
      <c r="S56" s="2"/>
      <c r="AD56" s="1"/>
      <c r="AE56" s="1"/>
    </row>
    <row r="57" spans="3:31" ht="18" customHeight="1" x14ac:dyDescent="0.3">
      <c r="C57" s="7" t="s">
        <v>29</v>
      </c>
      <c r="D57" s="3" t="s">
        <v>15</v>
      </c>
      <c r="E57" s="12">
        <f>4*19.6</f>
        <v>78.400000000000006</v>
      </c>
      <c r="G57" s="232" t="s">
        <v>332</v>
      </c>
      <c r="H57" s="12">
        <v>1.5</v>
      </c>
      <c r="I57" s="12">
        <v>2.67</v>
      </c>
      <c r="J57" s="12">
        <f t="shared" si="8"/>
        <v>4.0049999999999999</v>
      </c>
      <c r="L57" s="12">
        <f t="shared" si="9"/>
        <v>20.951999999999998</v>
      </c>
      <c r="M57" s="12" t="s">
        <v>15</v>
      </c>
      <c r="Q57" s="3"/>
      <c r="R57" s="3"/>
      <c r="S57" s="2"/>
      <c r="AD57" s="1"/>
      <c r="AE57" s="1"/>
    </row>
    <row r="58" spans="3:31" ht="18" customHeight="1" x14ac:dyDescent="0.3">
      <c r="C58" s="7" t="s">
        <v>30</v>
      </c>
      <c r="D58" s="3" t="s">
        <v>15</v>
      </c>
      <c r="E58" s="12">
        <f>5.9*13.15</f>
        <v>77.585000000000008</v>
      </c>
      <c r="G58" s="232" t="s">
        <v>333</v>
      </c>
      <c r="H58" s="12">
        <v>1.8</v>
      </c>
      <c r="I58" s="12">
        <v>4.6500000000000004</v>
      </c>
      <c r="J58" s="12">
        <f t="shared" si="8"/>
        <v>8.370000000000001</v>
      </c>
      <c r="L58" s="12">
        <f t="shared" si="9"/>
        <v>33.72</v>
      </c>
      <c r="M58" s="12" t="s">
        <v>15</v>
      </c>
      <c r="Q58" s="3"/>
      <c r="R58" s="3"/>
      <c r="S58" s="2"/>
      <c r="AD58" s="1"/>
      <c r="AE58" s="1"/>
    </row>
    <row r="59" spans="3:31" ht="18" customHeight="1" x14ac:dyDescent="0.3">
      <c r="C59" s="7" t="s">
        <v>31</v>
      </c>
      <c r="D59" s="3" t="s">
        <v>15</v>
      </c>
      <c r="E59" s="12">
        <f>8.5*6</f>
        <v>51</v>
      </c>
      <c r="J59" s="26">
        <f>SUM(J50:J58)</f>
        <v>30.337499999999999</v>
      </c>
      <c r="K59" s="17"/>
      <c r="L59" s="26">
        <f>SUM(L50:L58)</f>
        <v>164.71199999999996</v>
      </c>
      <c r="M59" s="24" t="s">
        <v>15</v>
      </c>
      <c r="Q59" s="3"/>
      <c r="R59" s="3"/>
      <c r="S59" s="2"/>
      <c r="AD59" s="1"/>
      <c r="AE59" s="1"/>
    </row>
    <row r="60" spans="3:31" ht="18" customHeight="1" x14ac:dyDescent="0.3">
      <c r="C60" s="7" t="s">
        <v>32</v>
      </c>
      <c r="D60" s="3" t="s">
        <v>15</v>
      </c>
      <c r="E60" s="12">
        <f>5*7.8</f>
        <v>39</v>
      </c>
    </row>
    <row r="61" spans="3:31" ht="18" customHeight="1" x14ac:dyDescent="0.3">
      <c r="C61" s="7" t="s">
        <v>33</v>
      </c>
      <c r="D61" s="3" t="s">
        <v>15</v>
      </c>
      <c r="E61" s="12">
        <f>13*6</f>
        <v>78</v>
      </c>
    </row>
    <row r="62" spans="3:31" ht="18" customHeight="1" x14ac:dyDescent="0.3">
      <c r="C62" s="18" t="s">
        <v>35</v>
      </c>
      <c r="D62" s="25" t="s">
        <v>15</v>
      </c>
      <c r="E62" s="26">
        <f>SUM(E49:E58)</f>
        <v>355.92000000000007</v>
      </c>
    </row>
    <row r="63" spans="3:31" ht="18" customHeight="1" x14ac:dyDescent="0.3">
      <c r="C63" s="18" t="s">
        <v>36</v>
      </c>
      <c r="D63" s="3" t="s">
        <v>15</v>
      </c>
      <c r="E63" s="12">
        <f>E48-E62</f>
        <v>697.57999999999993</v>
      </c>
    </row>
    <row r="65" spans="3:14" ht="18" customHeight="1" x14ac:dyDescent="0.3">
      <c r="C65" s="27" t="s">
        <v>70</v>
      </c>
      <c r="D65" s="6"/>
      <c r="E65" s="15" t="s">
        <v>15</v>
      </c>
      <c r="F65" s="28">
        <f>53.75*19.6</f>
        <v>1053.5</v>
      </c>
    </row>
    <row r="66" spans="3:14" ht="18" customHeight="1" x14ac:dyDescent="0.3">
      <c r="C66" s="7" t="s">
        <v>49</v>
      </c>
      <c r="H66" s="28" t="s">
        <v>430</v>
      </c>
      <c r="I66" s="13"/>
      <c r="J66" s="13"/>
      <c r="K66" s="13"/>
      <c r="L66" s="28" t="s">
        <v>335</v>
      </c>
      <c r="M66" s="28" t="s">
        <v>334</v>
      </c>
      <c r="N66" s="12"/>
    </row>
    <row r="67" spans="3:14" ht="18" customHeight="1" x14ac:dyDescent="0.3">
      <c r="C67" s="7" t="s">
        <v>50</v>
      </c>
      <c r="E67" s="3" t="s">
        <v>15</v>
      </c>
      <c r="F67" s="12">
        <f>(9*7.8)+(2.85*3.78)</f>
        <v>80.972999999999999</v>
      </c>
      <c r="H67" s="232" t="s">
        <v>324</v>
      </c>
      <c r="I67" s="12">
        <v>1.9</v>
      </c>
      <c r="J67" s="12">
        <v>3.8</v>
      </c>
      <c r="L67" s="12">
        <f>I67*J67</f>
        <v>7.22</v>
      </c>
      <c r="M67" s="12">
        <f>((I67+J67)*2*2.8)-(1*2.4)</f>
        <v>29.519999999999996</v>
      </c>
      <c r="N67" s="12" t="s">
        <v>15</v>
      </c>
    </row>
    <row r="68" spans="3:14" ht="18" customHeight="1" x14ac:dyDescent="0.3">
      <c r="C68" s="7" t="s">
        <v>51</v>
      </c>
      <c r="E68" s="3" t="s">
        <v>15</v>
      </c>
      <c r="F68" s="12">
        <f>2*3.9</f>
        <v>7.8</v>
      </c>
      <c r="H68" s="232" t="s">
        <v>325</v>
      </c>
      <c r="I68" s="12">
        <v>1.2</v>
      </c>
      <c r="J68" s="12">
        <v>1.6</v>
      </c>
      <c r="L68" s="12">
        <f t="shared" ref="L68:L80" si="10">I68*J68</f>
        <v>1.92</v>
      </c>
      <c r="M68" s="12">
        <f t="shared" ref="M68:M80" si="11">((I68+J68)*2*2.8)-(1*2.4)</f>
        <v>13.279999999999998</v>
      </c>
      <c r="N68" s="12" t="s">
        <v>15</v>
      </c>
    </row>
    <row r="69" spans="3:14" ht="18" customHeight="1" x14ac:dyDescent="0.3">
      <c r="C69" s="7" t="s">
        <v>52</v>
      </c>
      <c r="E69" s="3" t="s">
        <v>15</v>
      </c>
      <c r="F69" s="12">
        <f>2.8*2.8</f>
        <v>7.839999999999999</v>
      </c>
      <c r="H69" s="232" t="s">
        <v>326</v>
      </c>
      <c r="I69" s="12">
        <v>1.75</v>
      </c>
      <c r="J69" s="12">
        <v>2.65</v>
      </c>
      <c r="L69" s="12">
        <f t="shared" si="10"/>
        <v>4.6375000000000002</v>
      </c>
      <c r="M69" s="12">
        <f t="shared" si="11"/>
        <v>22.240000000000002</v>
      </c>
      <c r="N69" s="12" t="s">
        <v>15</v>
      </c>
    </row>
    <row r="70" spans="3:14" ht="18" customHeight="1" x14ac:dyDescent="0.3">
      <c r="C70" s="7" t="s">
        <v>53</v>
      </c>
      <c r="E70" s="3" t="s">
        <v>15</v>
      </c>
      <c r="F70" s="12">
        <f>4.5*6.73</f>
        <v>30.285000000000004</v>
      </c>
      <c r="H70" s="232" t="s">
        <v>327</v>
      </c>
      <c r="I70" s="12">
        <v>1.1499999999999999</v>
      </c>
      <c r="J70" s="12">
        <v>1.62</v>
      </c>
      <c r="L70" s="12">
        <f t="shared" si="10"/>
        <v>1.863</v>
      </c>
      <c r="M70" s="12">
        <f t="shared" si="11"/>
        <v>13.111999999999998</v>
      </c>
      <c r="N70" s="12" t="s">
        <v>15</v>
      </c>
    </row>
    <row r="71" spans="3:14" ht="18" customHeight="1" x14ac:dyDescent="0.3">
      <c r="C71" s="7" t="s">
        <v>54</v>
      </c>
      <c r="E71" s="3" t="s">
        <v>15</v>
      </c>
      <c r="F71" s="12">
        <f>5.9*7</f>
        <v>41.300000000000004</v>
      </c>
      <c r="H71" s="232" t="s">
        <v>328</v>
      </c>
      <c r="I71" s="12">
        <v>1.1000000000000001</v>
      </c>
      <c r="J71" s="12">
        <v>1.5</v>
      </c>
      <c r="L71" s="12">
        <f t="shared" si="10"/>
        <v>1.6500000000000001</v>
      </c>
      <c r="M71" s="12">
        <f t="shared" si="11"/>
        <v>12.159999999999998</v>
      </c>
      <c r="N71" s="12" t="s">
        <v>15</v>
      </c>
    </row>
    <row r="72" spans="3:14" ht="18" customHeight="1" x14ac:dyDescent="0.3">
      <c r="C72" s="7" t="s">
        <v>55</v>
      </c>
      <c r="E72" s="3" t="s">
        <v>15</v>
      </c>
      <c r="F72" s="12">
        <f>5.9*7.65</f>
        <v>45.135000000000005</v>
      </c>
      <c r="H72" s="232" t="s">
        <v>329</v>
      </c>
      <c r="I72" s="12">
        <v>1.1000000000000001</v>
      </c>
      <c r="J72" s="12">
        <v>1.85</v>
      </c>
      <c r="L72" s="12">
        <f t="shared" si="10"/>
        <v>2.0350000000000001</v>
      </c>
      <c r="M72" s="12">
        <f t="shared" si="11"/>
        <v>14.12</v>
      </c>
      <c r="N72" s="12" t="s">
        <v>15</v>
      </c>
    </row>
    <row r="73" spans="3:14" ht="18" customHeight="1" x14ac:dyDescent="0.3">
      <c r="C73" s="7" t="s">
        <v>56</v>
      </c>
      <c r="E73" s="3" t="s">
        <v>15</v>
      </c>
      <c r="F73" s="12">
        <f>3.65*2</f>
        <v>7.3</v>
      </c>
      <c r="H73" s="232" t="s">
        <v>331</v>
      </c>
      <c r="I73" s="12">
        <v>2.25</v>
      </c>
      <c r="J73" s="12">
        <v>1.65</v>
      </c>
      <c r="L73" s="12">
        <f t="shared" si="10"/>
        <v>3.7124999999999999</v>
      </c>
      <c r="M73" s="12">
        <f t="shared" si="11"/>
        <v>19.440000000000001</v>
      </c>
      <c r="N73" s="12" t="s">
        <v>15</v>
      </c>
    </row>
    <row r="74" spans="3:14" ht="18" customHeight="1" x14ac:dyDescent="0.3">
      <c r="C74" s="7" t="s">
        <v>57</v>
      </c>
      <c r="E74" s="3" t="s">
        <v>15</v>
      </c>
      <c r="F74" s="12">
        <f>5.75*3.5</f>
        <v>20.125</v>
      </c>
      <c r="H74" s="232" t="s">
        <v>332</v>
      </c>
      <c r="I74" s="12">
        <v>1.2</v>
      </c>
      <c r="J74" s="12">
        <v>1.56</v>
      </c>
      <c r="L74" s="12">
        <f t="shared" si="10"/>
        <v>1.8719999999999999</v>
      </c>
      <c r="M74" s="12">
        <f t="shared" si="11"/>
        <v>13.055999999999997</v>
      </c>
      <c r="N74" s="12" t="s">
        <v>15</v>
      </c>
    </row>
    <row r="75" spans="3:14" ht="18" customHeight="1" x14ac:dyDescent="0.3">
      <c r="C75" s="7" t="s">
        <v>58</v>
      </c>
      <c r="H75" s="232" t="s">
        <v>333</v>
      </c>
      <c r="I75" s="12">
        <v>1.35</v>
      </c>
      <c r="J75" s="12">
        <v>2.15</v>
      </c>
      <c r="L75" s="12">
        <f t="shared" si="10"/>
        <v>2.9024999999999999</v>
      </c>
      <c r="M75" s="12">
        <f t="shared" si="11"/>
        <v>17.2</v>
      </c>
      <c r="N75" s="12" t="s">
        <v>15</v>
      </c>
    </row>
    <row r="76" spans="3:14" ht="18" customHeight="1" x14ac:dyDescent="0.3">
      <c r="C76" s="7" t="s">
        <v>59</v>
      </c>
      <c r="E76" s="3" t="s">
        <v>15</v>
      </c>
      <c r="F76" s="12">
        <f>27*5.9</f>
        <v>159.30000000000001</v>
      </c>
      <c r="H76" s="232" t="s">
        <v>424</v>
      </c>
      <c r="I76" s="12">
        <v>1.48</v>
      </c>
      <c r="J76" s="12">
        <v>2.15</v>
      </c>
      <c r="L76" s="12">
        <f t="shared" si="10"/>
        <v>3.1819999999999999</v>
      </c>
      <c r="M76" s="12">
        <f t="shared" si="11"/>
        <v>17.928000000000001</v>
      </c>
      <c r="N76" s="12" t="s">
        <v>15</v>
      </c>
    </row>
    <row r="77" spans="3:14" ht="18" customHeight="1" x14ac:dyDescent="0.3">
      <c r="C77" s="7" t="s">
        <v>60</v>
      </c>
      <c r="E77" s="3" t="s">
        <v>15</v>
      </c>
      <c r="F77" s="12">
        <f>(3.8*4.8)+(2*2.5)</f>
        <v>23.24</v>
      </c>
      <c r="H77" s="232" t="s">
        <v>425</v>
      </c>
      <c r="I77" s="12">
        <v>1.36</v>
      </c>
      <c r="J77" s="12">
        <v>2</v>
      </c>
      <c r="L77" s="12">
        <f t="shared" si="10"/>
        <v>2.72</v>
      </c>
      <c r="M77" s="12">
        <f t="shared" si="11"/>
        <v>16.416</v>
      </c>
      <c r="N77" s="12" t="s">
        <v>15</v>
      </c>
    </row>
    <row r="78" spans="3:14" ht="18" customHeight="1" x14ac:dyDescent="0.3">
      <c r="C78" s="7" t="s">
        <v>61</v>
      </c>
      <c r="E78" s="3" t="s">
        <v>15</v>
      </c>
      <c r="F78" s="12">
        <f>(6*5.9)</f>
        <v>35.400000000000006</v>
      </c>
      <c r="H78" s="232" t="s">
        <v>426</v>
      </c>
      <c r="I78" s="12">
        <v>1.2</v>
      </c>
      <c r="J78" s="12">
        <v>1.5</v>
      </c>
      <c r="L78" s="12">
        <f t="shared" si="10"/>
        <v>1.7999999999999998</v>
      </c>
      <c r="M78" s="12">
        <f t="shared" si="11"/>
        <v>12.719999999999999</v>
      </c>
      <c r="N78" s="12" t="s">
        <v>15</v>
      </c>
    </row>
    <row r="79" spans="3:14" ht="18" customHeight="1" x14ac:dyDescent="0.3">
      <c r="C79" s="7" t="s">
        <v>62</v>
      </c>
      <c r="E79" s="3" t="s">
        <v>15</v>
      </c>
      <c r="F79" s="12">
        <f>(8*11.5)</f>
        <v>92</v>
      </c>
      <c r="H79" s="232" t="s">
        <v>427</v>
      </c>
      <c r="I79" s="12">
        <v>1.55</v>
      </c>
      <c r="J79" s="12">
        <v>2.15</v>
      </c>
      <c r="L79" s="12">
        <f t="shared" si="10"/>
        <v>3.3325</v>
      </c>
      <c r="M79" s="12">
        <f t="shared" si="11"/>
        <v>18.32</v>
      </c>
      <c r="N79" s="12" t="s">
        <v>15</v>
      </c>
    </row>
    <row r="80" spans="3:14" ht="18" customHeight="1" x14ac:dyDescent="0.3">
      <c r="C80" s="7" t="s">
        <v>63</v>
      </c>
      <c r="E80" s="3" t="s">
        <v>15</v>
      </c>
      <c r="F80" s="12">
        <f>(9*19.6)+(3.35*13.8)</f>
        <v>222.63</v>
      </c>
      <c r="H80" s="232" t="s">
        <v>428</v>
      </c>
      <c r="I80" s="12">
        <v>1.55</v>
      </c>
      <c r="J80" s="12">
        <v>1.45</v>
      </c>
      <c r="L80" s="12">
        <f t="shared" si="10"/>
        <v>2.2475000000000001</v>
      </c>
      <c r="M80" s="12">
        <f t="shared" si="11"/>
        <v>14.399999999999997</v>
      </c>
      <c r="N80" s="12" t="s">
        <v>15</v>
      </c>
    </row>
    <row r="81" spans="3:29" ht="18" customHeight="1" x14ac:dyDescent="0.3">
      <c r="C81" s="18" t="s">
        <v>35</v>
      </c>
      <c r="D81" s="25"/>
      <c r="E81" s="26" t="s">
        <v>15</v>
      </c>
      <c r="F81" s="26">
        <f>SUM(F67:F80)</f>
        <v>773.32800000000009</v>
      </c>
      <c r="L81" s="26">
        <f>SUM(L67:L80)</f>
        <v>41.094499999999996</v>
      </c>
      <c r="M81" s="26">
        <f>SUM(M67:M80)</f>
        <v>233.91199999999998</v>
      </c>
      <c r="N81" s="24" t="s">
        <v>15</v>
      </c>
      <c r="P81" s="2"/>
      <c r="Q81" s="1"/>
      <c r="AC81"/>
    </row>
    <row r="82" spans="3:29" ht="18" customHeight="1" x14ac:dyDescent="0.3">
      <c r="C82" s="18" t="s">
        <v>71</v>
      </c>
      <c r="E82" s="12" t="s">
        <v>15</v>
      </c>
      <c r="F82" s="12">
        <f>F65-F81</f>
        <v>280.17199999999991</v>
      </c>
    </row>
    <row r="84" spans="3:29" ht="18" customHeight="1" x14ac:dyDescent="0.3">
      <c r="C84" s="18" t="s">
        <v>64</v>
      </c>
      <c r="E84" s="12" t="s">
        <v>15</v>
      </c>
      <c r="F84" s="12">
        <f>2.4*(24.25+12.25+7.8+6+6)</f>
        <v>135.11999999999998</v>
      </c>
      <c r="I84" s="28" t="s">
        <v>429</v>
      </c>
      <c r="J84" s="13"/>
      <c r="L84" s="13"/>
      <c r="M84" s="28" t="s">
        <v>335</v>
      </c>
      <c r="N84" s="28" t="s">
        <v>334</v>
      </c>
      <c r="O84" s="12"/>
    </row>
    <row r="85" spans="3:29" ht="18" customHeight="1" x14ac:dyDescent="0.3">
      <c r="I85" s="232" t="s">
        <v>324</v>
      </c>
      <c r="J85" s="12">
        <v>1.6</v>
      </c>
      <c r="L85" s="12">
        <v>2.35</v>
      </c>
      <c r="M85" s="12">
        <f>J85*L85</f>
        <v>3.7600000000000002</v>
      </c>
      <c r="N85" s="12">
        <f>((J85+L85)*2*2.8)-(1*2.4)</f>
        <v>19.720000000000002</v>
      </c>
      <c r="O85" s="12" t="s">
        <v>15</v>
      </c>
      <c r="P85" s="2"/>
      <c r="Q85" s="1"/>
      <c r="AC85"/>
    </row>
    <row r="86" spans="3:29" ht="18" customHeight="1" x14ac:dyDescent="0.3">
      <c r="C86" s="27" t="s">
        <v>72</v>
      </c>
      <c r="D86" s="15"/>
      <c r="E86" s="13"/>
      <c r="F86" s="28" t="s">
        <v>15</v>
      </c>
      <c r="G86" s="28">
        <f>56.25*19.6</f>
        <v>1102.5</v>
      </c>
      <c r="I86" s="232" t="s">
        <v>325</v>
      </c>
      <c r="J86" s="12">
        <v>1.6</v>
      </c>
      <c r="L86" s="12">
        <v>1.4</v>
      </c>
      <c r="M86" s="12">
        <f t="shared" ref="M86:M93" si="12">J86*L86</f>
        <v>2.2399999999999998</v>
      </c>
      <c r="N86" s="12">
        <f t="shared" ref="N86:N93" si="13">((J86+L86)*2*2.8)-(1*2.4)</f>
        <v>14.399999999999997</v>
      </c>
      <c r="O86" s="12" t="s">
        <v>15</v>
      </c>
      <c r="P86" s="2"/>
      <c r="Q86" s="1"/>
      <c r="AC86"/>
    </row>
    <row r="87" spans="3:29" ht="18" customHeight="1" x14ac:dyDescent="0.3">
      <c r="C87" s="7" t="s">
        <v>93</v>
      </c>
      <c r="F87" s="3" t="s">
        <v>15</v>
      </c>
      <c r="G87" s="12">
        <v>379.92</v>
      </c>
      <c r="I87" s="232" t="s">
        <v>326</v>
      </c>
      <c r="J87" s="12">
        <v>1</v>
      </c>
      <c r="L87" s="12">
        <v>1.45</v>
      </c>
      <c r="M87" s="12">
        <f t="shared" si="12"/>
        <v>1.45</v>
      </c>
      <c r="N87" s="12">
        <f t="shared" si="13"/>
        <v>11.32</v>
      </c>
      <c r="O87" s="12" t="s">
        <v>15</v>
      </c>
    </row>
    <row r="88" spans="3:29" ht="18" customHeight="1" x14ac:dyDescent="0.3">
      <c r="C88" s="7" t="s">
        <v>94</v>
      </c>
      <c r="F88" s="3" t="s">
        <v>15</v>
      </c>
      <c r="G88" s="12">
        <v>94.4</v>
      </c>
      <c r="I88" s="232" t="s">
        <v>327</v>
      </c>
      <c r="J88" s="12">
        <v>1.35</v>
      </c>
      <c r="L88" s="12">
        <v>1.75</v>
      </c>
      <c r="M88" s="12">
        <f t="shared" si="12"/>
        <v>2.3625000000000003</v>
      </c>
      <c r="N88" s="12">
        <f t="shared" si="13"/>
        <v>14.959999999999999</v>
      </c>
      <c r="O88" s="12" t="s">
        <v>15</v>
      </c>
    </row>
    <row r="89" spans="3:29" ht="18" customHeight="1" x14ac:dyDescent="0.3">
      <c r="C89" s="7" t="s">
        <v>95</v>
      </c>
      <c r="F89" s="3" t="s">
        <v>15</v>
      </c>
      <c r="G89" s="12">
        <v>140.41</v>
      </c>
      <c r="I89" s="232" t="s">
        <v>328</v>
      </c>
      <c r="J89" s="12">
        <v>1</v>
      </c>
      <c r="L89" s="12">
        <v>1.69</v>
      </c>
      <c r="M89" s="12">
        <f t="shared" si="12"/>
        <v>1.69</v>
      </c>
      <c r="N89" s="12">
        <f t="shared" si="13"/>
        <v>12.663999999999998</v>
      </c>
      <c r="O89" s="12" t="s">
        <v>15</v>
      </c>
    </row>
    <row r="90" spans="3:29" ht="18" customHeight="1" x14ac:dyDescent="0.3">
      <c r="C90" s="7" t="s">
        <v>96</v>
      </c>
      <c r="F90" s="3" t="s">
        <v>15</v>
      </c>
      <c r="G90" s="12">
        <v>175.06</v>
      </c>
      <c r="I90" s="232" t="s">
        <v>329</v>
      </c>
      <c r="J90" s="12">
        <v>1.55</v>
      </c>
      <c r="L90" s="12">
        <v>2.2999999999999998</v>
      </c>
      <c r="M90" s="12">
        <f t="shared" si="12"/>
        <v>3.5649999999999999</v>
      </c>
      <c r="N90" s="12">
        <f t="shared" si="13"/>
        <v>19.159999999999997</v>
      </c>
      <c r="O90" s="12" t="s">
        <v>15</v>
      </c>
    </row>
    <row r="91" spans="3:29" ht="18" customHeight="1" x14ac:dyDescent="0.3">
      <c r="F91" s="13"/>
      <c r="I91" s="232" t="s">
        <v>331</v>
      </c>
      <c r="J91" s="12">
        <v>1.55</v>
      </c>
      <c r="L91" s="12">
        <v>1.3</v>
      </c>
      <c r="M91" s="12">
        <f t="shared" si="12"/>
        <v>2.0150000000000001</v>
      </c>
      <c r="N91" s="12">
        <f t="shared" si="13"/>
        <v>13.559999999999999</v>
      </c>
      <c r="O91" s="12" t="s">
        <v>15</v>
      </c>
    </row>
    <row r="92" spans="3:29" ht="18" customHeight="1" x14ac:dyDescent="0.3">
      <c r="C92" s="18" t="s">
        <v>35</v>
      </c>
      <c r="D92" s="25"/>
      <c r="E92" s="24"/>
      <c r="F92" s="8" t="s">
        <v>15</v>
      </c>
      <c r="G92" s="26">
        <f>SUM(G87:G90)</f>
        <v>789.79</v>
      </c>
      <c r="I92" s="232" t="s">
        <v>332</v>
      </c>
      <c r="J92" s="12">
        <v>1.35</v>
      </c>
      <c r="L92" s="12">
        <v>1.85</v>
      </c>
      <c r="M92" s="12">
        <f t="shared" si="12"/>
        <v>2.4975000000000005</v>
      </c>
      <c r="N92" s="12">
        <f t="shared" si="13"/>
        <v>15.519999999999998</v>
      </c>
      <c r="O92" s="12" t="s">
        <v>15</v>
      </c>
    </row>
    <row r="93" spans="3:29" ht="18" customHeight="1" x14ac:dyDescent="0.3">
      <c r="C93" s="18" t="s">
        <v>71</v>
      </c>
      <c r="F93" s="3" t="s">
        <v>15</v>
      </c>
      <c r="G93" s="12">
        <f>G86-G92</f>
        <v>312.71000000000004</v>
      </c>
      <c r="I93" s="232" t="s">
        <v>333</v>
      </c>
      <c r="J93" s="12">
        <v>1.35</v>
      </c>
      <c r="L93" s="12">
        <v>1.7</v>
      </c>
      <c r="M93" s="12">
        <f t="shared" si="12"/>
        <v>2.2949999999999999</v>
      </c>
      <c r="N93" s="12">
        <f t="shared" si="13"/>
        <v>14.679999999999998</v>
      </c>
      <c r="O93" s="12" t="s">
        <v>15</v>
      </c>
    </row>
    <row r="94" spans="3:29" ht="18" customHeight="1" x14ac:dyDescent="0.3">
      <c r="I94" s="232" t="s">
        <v>424</v>
      </c>
      <c r="J94" s="12">
        <v>1.63</v>
      </c>
      <c r="L94" s="12">
        <v>2.75</v>
      </c>
      <c r="M94" s="12">
        <f t="shared" ref="M94:M95" si="14">J94*L94</f>
        <v>4.4824999999999999</v>
      </c>
      <c r="N94" s="12">
        <f t="shared" ref="N94:N95" si="15">((J94+L94)*2*2.8)-(1*2.4)</f>
        <v>22.128</v>
      </c>
      <c r="O94" s="12" t="s">
        <v>15</v>
      </c>
    </row>
    <row r="95" spans="3:29" ht="18" customHeight="1" x14ac:dyDescent="0.3">
      <c r="I95" s="232" t="s">
        <v>425</v>
      </c>
      <c r="J95" s="12">
        <v>1</v>
      </c>
      <c r="L95" s="12">
        <v>1.6</v>
      </c>
      <c r="M95" s="12">
        <f t="shared" si="14"/>
        <v>1.6</v>
      </c>
      <c r="N95" s="12">
        <f t="shared" si="15"/>
        <v>12.159999999999998</v>
      </c>
      <c r="O95" s="12" t="s">
        <v>15</v>
      </c>
    </row>
    <row r="96" spans="3:29" ht="18" customHeight="1" x14ac:dyDescent="0.3">
      <c r="C96" s="27" t="s">
        <v>73</v>
      </c>
      <c r="D96" s="15"/>
      <c r="E96" s="13"/>
      <c r="F96" s="13"/>
      <c r="G96" s="28" t="s">
        <v>15</v>
      </c>
      <c r="H96" s="28">
        <f>56.25*19.6</f>
        <v>1102.5</v>
      </c>
      <c r="M96" s="26">
        <f>SUM(M85:M95)</f>
        <v>27.957500000000003</v>
      </c>
      <c r="N96" s="26">
        <f>SUM(N85:N95)</f>
        <v>170.27199999999996</v>
      </c>
      <c r="O96" s="24" t="s">
        <v>15</v>
      </c>
    </row>
    <row r="97" spans="3:16" ht="18" customHeight="1" x14ac:dyDescent="0.3">
      <c r="C97" s="7" t="s">
        <v>74</v>
      </c>
      <c r="G97" s="3" t="s">
        <v>15</v>
      </c>
      <c r="H97" s="12">
        <f>91.6+8.28</f>
        <v>99.88</v>
      </c>
    </row>
    <row r="98" spans="3:16" ht="18" customHeight="1" x14ac:dyDescent="0.3">
      <c r="C98" s="7" t="s">
        <v>75</v>
      </c>
      <c r="G98" s="3" t="s">
        <v>15</v>
      </c>
      <c r="H98" s="12">
        <v>23.28</v>
      </c>
      <c r="J98" s="28" t="s">
        <v>432</v>
      </c>
      <c r="K98" s="13"/>
      <c r="L98" s="13"/>
      <c r="M98" s="13"/>
      <c r="N98" s="28" t="s">
        <v>335</v>
      </c>
      <c r="O98" s="28" t="s">
        <v>334</v>
      </c>
      <c r="P98" s="12"/>
    </row>
    <row r="99" spans="3:16" ht="18" customHeight="1" x14ac:dyDescent="0.3">
      <c r="C99" s="7" t="s">
        <v>76</v>
      </c>
      <c r="G99" s="3" t="s">
        <v>15</v>
      </c>
      <c r="H99" s="12">
        <v>36.97</v>
      </c>
      <c r="J99" s="232" t="s">
        <v>324</v>
      </c>
      <c r="L99" s="12">
        <v>1.42</v>
      </c>
      <c r="M99" s="12">
        <v>1.85</v>
      </c>
      <c r="N99" s="12">
        <f>L99*M99</f>
        <v>2.6269999999999998</v>
      </c>
      <c r="O99" s="12">
        <f>((L99+M99)*2*2.8)-(1*2.4)</f>
        <v>15.911999999999997</v>
      </c>
      <c r="P99" s="12" t="s">
        <v>15</v>
      </c>
    </row>
    <row r="100" spans="3:16" ht="18" customHeight="1" x14ac:dyDescent="0.3">
      <c r="C100" s="7" t="s">
        <v>77</v>
      </c>
      <c r="G100" s="3" t="s">
        <v>15</v>
      </c>
      <c r="H100" s="12">
        <f>((30.2*5.9)+(4.6*2.3)+(38.75*5.9)+(2.5*4.37))</f>
        <v>428.31</v>
      </c>
      <c r="J100" s="232" t="s">
        <v>325</v>
      </c>
      <c r="L100" s="12">
        <v>1.1000000000000001</v>
      </c>
      <c r="M100" s="12">
        <v>1.97</v>
      </c>
      <c r="N100" s="12">
        <f t="shared" ref="N100:N105" si="16">L100*M100</f>
        <v>2.1670000000000003</v>
      </c>
      <c r="O100" s="12">
        <f t="shared" ref="O100:O105" si="17">((L100+M100)*2*2.8)-(1*2.4)</f>
        <v>14.792</v>
      </c>
      <c r="P100" s="12" t="s">
        <v>15</v>
      </c>
    </row>
    <row r="101" spans="3:16" ht="18" customHeight="1" x14ac:dyDescent="0.3">
      <c r="C101" s="7" t="s">
        <v>78</v>
      </c>
      <c r="G101" s="3" t="s">
        <v>15</v>
      </c>
      <c r="H101" s="12">
        <f>(10.65*11.21)+(2.45*3)</f>
        <v>126.73650000000001</v>
      </c>
      <c r="J101" s="232" t="s">
        <v>326</v>
      </c>
      <c r="L101" s="12">
        <v>2</v>
      </c>
      <c r="M101" s="12">
        <v>3.65</v>
      </c>
      <c r="N101" s="12">
        <f t="shared" si="16"/>
        <v>7.3</v>
      </c>
      <c r="O101" s="12">
        <f t="shared" si="17"/>
        <v>29.240000000000002</v>
      </c>
      <c r="P101" s="12" t="s">
        <v>15</v>
      </c>
    </row>
    <row r="102" spans="3:16" ht="18" customHeight="1" x14ac:dyDescent="0.3">
      <c r="C102" s="7" t="s">
        <v>79</v>
      </c>
      <c r="G102" s="3" t="s">
        <v>15</v>
      </c>
      <c r="H102" s="12">
        <f>4.66*3</f>
        <v>13.98</v>
      </c>
      <c r="J102" s="232" t="s">
        <v>433</v>
      </c>
      <c r="L102" s="12">
        <v>1.7</v>
      </c>
      <c r="M102" s="12">
        <v>2.1</v>
      </c>
      <c r="N102" s="12">
        <f>(L102*M102)*10</f>
        <v>35.699999999999996</v>
      </c>
      <c r="O102" s="12">
        <f>(((L102+M102)*2*2.8)-(1*2.4))*10</f>
        <v>188.79999999999998</v>
      </c>
      <c r="P102" s="12" t="s">
        <v>15</v>
      </c>
    </row>
    <row r="103" spans="3:16" ht="18" customHeight="1" x14ac:dyDescent="0.3">
      <c r="C103" s="7" t="s">
        <v>80</v>
      </c>
      <c r="G103" s="3" t="s">
        <v>15</v>
      </c>
      <c r="H103" s="12">
        <v>19.37</v>
      </c>
      <c r="J103" s="232" t="s">
        <v>328</v>
      </c>
      <c r="L103" s="12">
        <v>2.1</v>
      </c>
      <c r="M103" s="12">
        <v>2.6</v>
      </c>
      <c r="N103" s="12">
        <f t="shared" si="16"/>
        <v>5.4600000000000009</v>
      </c>
      <c r="O103" s="12">
        <f t="shared" si="17"/>
        <v>23.92</v>
      </c>
      <c r="P103" s="12" t="s">
        <v>15</v>
      </c>
    </row>
    <row r="104" spans="3:16" ht="18" customHeight="1" x14ac:dyDescent="0.3">
      <c r="C104" s="7" t="s">
        <v>81</v>
      </c>
      <c r="G104" s="3" t="s">
        <v>15</v>
      </c>
      <c r="H104" s="12">
        <v>43.42</v>
      </c>
      <c r="J104" s="232" t="s">
        <v>329</v>
      </c>
      <c r="L104" s="12">
        <v>1.45</v>
      </c>
      <c r="M104" s="12">
        <v>2.15</v>
      </c>
      <c r="N104" s="12">
        <f t="shared" si="16"/>
        <v>3.1174999999999997</v>
      </c>
      <c r="O104" s="12">
        <f t="shared" si="17"/>
        <v>17.759999999999998</v>
      </c>
      <c r="P104" s="12" t="s">
        <v>15</v>
      </c>
    </row>
    <row r="105" spans="3:16" ht="18" customHeight="1" x14ac:dyDescent="0.3">
      <c r="H105" s="12" t="s">
        <v>92</v>
      </c>
      <c r="J105" s="232" t="s">
        <v>331</v>
      </c>
      <c r="L105" s="12">
        <v>1.45</v>
      </c>
      <c r="M105" s="12">
        <v>2.15</v>
      </c>
      <c r="N105" s="12">
        <f t="shared" si="16"/>
        <v>3.1174999999999997</v>
      </c>
      <c r="O105" s="12">
        <f t="shared" si="17"/>
        <v>17.759999999999998</v>
      </c>
      <c r="P105" s="12" t="s">
        <v>15</v>
      </c>
    </row>
    <row r="106" spans="3:16" ht="18" customHeight="1" x14ac:dyDescent="0.3">
      <c r="G106" s="13"/>
      <c r="N106" s="26">
        <f>SUM(N99:N105)</f>
        <v>59.488999999999997</v>
      </c>
      <c r="O106" s="26">
        <f>SUM(O99:O105)</f>
        <v>308.18399999999997</v>
      </c>
      <c r="P106" s="24" t="s">
        <v>15</v>
      </c>
    </row>
    <row r="107" spans="3:16" ht="18" customHeight="1" x14ac:dyDescent="0.3">
      <c r="C107" s="18" t="s">
        <v>35</v>
      </c>
      <c r="D107" s="25"/>
      <c r="E107" s="24"/>
      <c r="F107" s="24"/>
      <c r="G107" s="8" t="s">
        <v>15</v>
      </c>
      <c r="H107" s="26">
        <f>SUM(H97:H104)</f>
        <v>791.94650000000001</v>
      </c>
    </row>
    <row r="108" spans="3:16" ht="18" customHeight="1" x14ac:dyDescent="0.3">
      <c r="C108" s="18" t="s">
        <v>71</v>
      </c>
      <c r="G108" s="3" t="s">
        <v>15</v>
      </c>
      <c r="H108" s="12">
        <f>H96-H107</f>
        <v>310.55349999999999</v>
      </c>
    </row>
    <row r="109" spans="3:16" ht="18" customHeight="1" x14ac:dyDescent="0.3">
      <c r="C109" s="18"/>
    </row>
    <row r="110" spans="3:16" ht="18" customHeight="1" x14ac:dyDescent="0.3">
      <c r="C110" s="18" t="s">
        <v>64</v>
      </c>
      <c r="G110" s="3" t="s">
        <v>15</v>
      </c>
      <c r="H110" s="12">
        <f>2.4*(3.9+12.85+5.39+36+41+5.75)</f>
        <v>251.73599999999999</v>
      </c>
    </row>
    <row r="112" spans="3:16" ht="18" customHeight="1" x14ac:dyDescent="0.3">
      <c r="C112" s="27" t="s">
        <v>82</v>
      </c>
      <c r="D112" s="15"/>
      <c r="E112" s="13"/>
      <c r="F112" s="13"/>
      <c r="G112" s="6"/>
      <c r="H112" s="15" t="s">
        <v>15</v>
      </c>
      <c r="I112" s="28">
        <f>56.25*19.6</f>
        <v>1102.5</v>
      </c>
    </row>
    <row r="113" spans="3:29" ht="18" customHeight="1" x14ac:dyDescent="0.3">
      <c r="L113" s="28" t="s">
        <v>434</v>
      </c>
      <c r="M113" s="13"/>
      <c r="N113" s="13"/>
      <c r="O113" s="28" t="s">
        <v>335</v>
      </c>
      <c r="P113" s="28" t="s">
        <v>334</v>
      </c>
      <c r="Q113" s="12"/>
      <c r="AC113"/>
    </row>
    <row r="114" spans="3:29" ht="18" customHeight="1" x14ac:dyDescent="0.3">
      <c r="C114" s="7" t="s">
        <v>83</v>
      </c>
      <c r="H114" s="3" t="s">
        <v>15</v>
      </c>
      <c r="I114" s="12">
        <v>208.05</v>
      </c>
      <c r="L114" s="232" t="s">
        <v>324</v>
      </c>
      <c r="M114" s="12">
        <v>1.5</v>
      </c>
      <c r="N114" s="12">
        <v>2.25</v>
      </c>
      <c r="O114" s="12">
        <f>M114*N114</f>
        <v>3.375</v>
      </c>
      <c r="P114" s="12">
        <f>((M114+N114)*2*2.8)-(1*2.4)</f>
        <v>18.600000000000001</v>
      </c>
      <c r="Q114" s="12" t="s">
        <v>15</v>
      </c>
      <c r="AC114"/>
    </row>
    <row r="115" spans="3:29" ht="18" customHeight="1" x14ac:dyDescent="0.3">
      <c r="C115" s="7" t="s">
        <v>84</v>
      </c>
      <c r="H115" s="3" t="s">
        <v>15</v>
      </c>
      <c r="I115" s="12">
        <f>38.12*10</f>
        <v>381.2</v>
      </c>
      <c r="L115" s="232" t="s">
        <v>435</v>
      </c>
      <c r="M115" s="12">
        <v>1.45</v>
      </c>
      <c r="N115" s="12">
        <v>2.27</v>
      </c>
      <c r="O115" s="12">
        <f>(M115*N115)*11</f>
        <v>36.206499999999998</v>
      </c>
      <c r="P115" s="12">
        <f>(((M115+N115)*2*2.8)-(1*2.4))*11</f>
        <v>202.75199999999998</v>
      </c>
      <c r="Q115" s="12" t="s">
        <v>15</v>
      </c>
    </row>
    <row r="116" spans="3:29" ht="18" customHeight="1" x14ac:dyDescent="0.3">
      <c r="C116" s="7" t="s">
        <v>85</v>
      </c>
      <c r="H116" s="3" t="s">
        <v>15</v>
      </c>
      <c r="I116" s="12">
        <v>67.39</v>
      </c>
      <c r="L116" s="232" t="s">
        <v>326</v>
      </c>
      <c r="M116" s="12">
        <v>2.1</v>
      </c>
      <c r="N116" s="12">
        <v>2.6</v>
      </c>
      <c r="O116" s="12">
        <f t="shared" ref="O116:O118" si="18">M116*N116</f>
        <v>5.4600000000000009</v>
      </c>
      <c r="P116" s="12">
        <f t="shared" ref="P116:P118" si="19">((M116+N116)*2*2.8)-(1*2.4)</f>
        <v>23.92</v>
      </c>
      <c r="Q116" s="12" t="s">
        <v>15</v>
      </c>
    </row>
    <row r="117" spans="3:29" ht="18" customHeight="1" x14ac:dyDescent="0.3">
      <c r="C117" s="7" t="s">
        <v>86</v>
      </c>
      <c r="H117" s="3" t="s">
        <v>15</v>
      </c>
      <c r="I117" s="12">
        <f>2.3*7.6</f>
        <v>17.479999999999997</v>
      </c>
      <c r="L117" s="232" t="s">
        <v>327</v>
      </c>
      <c r="M117" s="12">
        <v>2</v>
      </c>
      <c r="N117" s="12">
        <v>2.1</v>
      </c>
      <c r="O117" s="12">
        <f t="shared" si="18"/>
        <v>4.2</v>
      </c>
      <c r="P117" s="12">
        <f t="shared" si="19"/>
        <v>20.56</v>
      </c>
      <c r="Q117" s="12" t="s">
        <v>15</v>
      </c>
    </row>
    <row r="118" spans="3:29" ht="18" customHeight="1" x14ac:dyDescent="0.3">
      <c r="C118" s="7" t="s">
        <v>87</v>
      </c>
      <c r="H118" s="3" t="s">
        <v>15</v>
      </c>
      <c r="I118" s="12">
        <v>15.48</v>
      </c>
      <c r="L118" s="232" t="s">
        <v>328</v>
      </c>
      <c r="M118" s="12">
        <v>1.45</v>
      </c>
      <c r="N118" s="12">
        <v>2.2999999999999998</v>
      </c>
      <c r="O118" s="12">
        <f t="shared" si="18"/>
        <v>3.3349999999999995</v>
      </c>
      <c r="P118" s="12">
        <f t="shared" si="19"/>
        <v>18.600000000000001</v>
      </c>
      <c r="Q118" s="12" t="s">
        <v>15</v>
      </c>
    </row>
    <row r="119" spans="3:29" ht="18" customHeight="1" x14ac:dyDescent="0.3">
      <c r="C119" s="7" t="s">
        <v>88</v>
      </c>
      <c r="H119" s="3" t="s">
        <v>15</v>
      </c>
      <c r="I119" s="12">
        <v>7.27</v>
      </c>
      <c r="O119" s="26">
        <f>SUM(O114:O118)</f>
        <v>52.576500000000003</v>
      </c>
      <c r="P119" s="26">
        <f>SUM(P114:P118)</f>
        <v>284.43200000000002</v>
      </c>
      <c r="Q119" s="24" t="s">
        <v>15</v>
      </c>
    </row>
    <row r="120" spans="3:29" ht="18" customHeight="1" x14ac:dyDescent="0.3">
      <c r="C120" s="7" t="s">
        <v>89</v>
      </c>
      <c r="H120" s="3" t="s">
        <v>15</v>
      </c>
      <c r="I120" s="12">
        <f>6*5.9</f>
        <v>35.400000000000006</v>
      </c>
    </row>
    <row r="121" spans="3:29" ht="18" customHeight="1" x14ac:dyDescent="0.3">
      <c r="C121" s="7" t="s">
        <v>90</v>
      </c>
      <c r="H121" s="3" t="s">
        <v>15</v>
      </c>
      <c r="I121" s="12">
        <f>2*2.8</f>
        <v>5.6</v>
      </c>
    </row>
    <row r="123" spans="3:29" ht="18" customHeight="1" x14ac:dyDescent="0.3">
      <c r="G123" s="13"/>
      <c r="H123" s="13"/>
    </row>
    <row r="124" spans="3:29" ht="18" customHeight="1" x14ac:dyDescent="0.3">
      <c r="C124" s="18" t="s">
        <v>35</v>
      </c>
      <c r="D124" s="25" t="s">
        <v>15</v>
      </c>
      <c r="E124" s="24"/>
      <c r="F124" s="24"/>
      <c r="H124" s="8" t="s">
        <v>15</v>
      </c>
      <c r="I124" s="26">
        <f>SUM(I114:I122)</f>
        <v>737.87</v>
      </c>
    </row>
    <row r="125" spans="3:29" ht="18" customHeight="1" x14ac:dyDescent="0.3">
      <c r="C125" s="18" t="s">
        <v>71</v>
      </c>
      <c r="D125" s="3" t="s">
        <v>15</v>
      </c>
      <c r="H125" s="3" t="s">
        <v>15</v>
      </c>
      <c r="I125" s="12">
        <f>I112-I124</f>
        <v>364.63</v>
      </c>
    </row>
    <row r="127" spans="3:29" ht="18" customHeight="1" x14ac:dyDescent="0.3">
      <c r="C127" s="18" t="s">
        <v>64</v>
      </c>
      <c r="D127" s="3" t="s">
        <v>15</v>
      </c>
      <c r="H127" s="3" t="s">
        <v>15</v>
      </c>
      <c r="I127" s="12">
        <f>2.5*(40+40+7+7)</f>
        <v>235</v>
      </c>
    </row>
    <row r="130" spans="3:30" ht="18" customHeight="1" x14ac:dyDescent="0.3">
      <c r="C130" s="27" t="s">
        <v>11</v>
      </c>
      <c r="D130" s="15"/>
      <c r="E130" s="13"/>
      <c r="F130" s="13"/>
      <c r="G130" s="13"/>
      <c r="H130" s="13"/>
      <c r="I130" s="28" t="s">
        <v>15</v>
      </c>
      <c r="J130" s="28">
        <f>56.25*19.6</f>
        <v>1102.5</v>
      </c>
    </row>
    <row r="131" spans="3:30" ht="18" customHeight="1" x14ac:dyDescent="0.3">
      <c r="C131" s="7" t="s">
        <v>97</v>
      </c>
      <c r="I131" s="3" t="s">
        <v>15</v>
      </c>
      <c r="J131" s="12">
        <v>160.55000000000001</v>
      </c>
      <c r="M131" s="28" t="s">
        <v>436</v>
      </c>
      <c r="N131" s="13"/>
      <c r="O131" s="13"/>
      <c r="P131" s="28" t="s">
        <v>335</v>
      </c>
      <c r="Q131" s="28" t="s">
        <v>334</v>
      </c>
      <c r="R131" s="12"/>
      <c r="AD131" s="1"/>
    </row>
    <row r="132" spans="3:30" ht="18" customHeight="1" x14ac:dyDescent="0.3">
      <c r="C132" s="7" t="s">
        <v>98</v>
      </c>
      <c r="I132" s="3" t="s">
        <v>15</v>
      </c>
      <c r="J132" s="12">
        <v>171.9</v>
      </c>
      <c r="M132" s="232" t="s">
        <v>324</v>
      </c>
      <c r="N132" s="12">
        <v>1.65</v>
      </c>
      <c r="O132" s="12">
        <v>2.25</v>
      </c>
      <c r="P132" s="12">
        <f>N132*O132</f>
        <v>3.7124999999999999</v>
      </c>
      <c r="Q132" s="12">
        <f>((N132+O132)*2*2.8)-(1*2.4)</f>
        <v>19.440000000000001</v>
      </c>
      <c r="R132" s="12" t="s">
        <v>15</v>
      </c>
      <c r="AD132" s="1"/>
    </row>
    <row r="133" spans="3:30" ht="18" customHeight="1" x14ac:dyDescent="0.3">
      <c r="C133" s="7" t="s">
        <v>99</v>
      </c>
      <c r="I133" s="3" t="s">
        <v>15</v>
      </c>
      <c r="J133" s="12">
        <v>157.5</v>
      </c>
      <c r="M133" s="232" t="s">
        <v>325</v>
      </c>
      <c r="N133" s="12">
        <v>1</v>
      </c>
      <c r="O133" s="12">
        <v>1.42</v>
      </c>
      <c r="P133" s="12">
        <f>N133*O133</f>
        <v>1.42</v>
      </c>
      <c r="Q133" s="12">
        <f>((N133+O133)*2*2.8)-(1*2.4)</f>
        <v>11.151999999999999</v>
      </c>
      <c r="R133" s="12" t="s">
        <v>15</v>
      </c>
      <c r="AD133" s="1"/>
    </row>
    <row r="134" spans="3:30" ht="18" customHeight="1" x14ac:dyDescent="0.3">
      <c r="C134" s="7" t="s">
        <v>100</v>
      </c>
      <c r="I134" s="3" t="s">
        <v>15</v>
      </c>
      <c r="J134" s="12">
        <v>157.5</v>
      </c>
      <c r="M134" s="232" t="s">
        <v>326</v>
      </c>
      <c r="N134" s="12">
        <v>1.5</v>
      </c>
      <c r="O134" s="12">
        <v>1.75</v>
      </c>
      <c r="P134" s="12">
        <f t="shared" ref="P134:P135" si="20">N134*O134</f>
        <v>2.625</v>
      </c>
      <c r="Q134" s="12">
        <f t="shared" ref="Q134:Q135" si="21">((N134+O134)*2*2.8)-(1*2.4)</f>
        <v>15.799999999999999</v>
      </c>
      <c r="R134" s="12" t="s">
        <v>15</v>
      </c>
      <c r="AD134" s="1"/>
    </row>
    <row r="135" spans="3:30" ht="18" customHeight="1" x14ac:dyDescent="0.3">
      <c r="F135" s="13"/>
      <c r="G135" s="13"/>
      <c r="H135" s="13"/>
      <c r="I135" s="13"/>
      <c r="M135" s="232" t="s">
        <v>327</v>
      </c>
      <c r="N135" s="12">
        <v>2.25</v>
      </c>
      <c r="O135" s="12">
        <v>4.3899999999999997</v>
      </c>
      <c r="P135" s="12">
        <f t="shared" si="20"/>
        <v>9.8774999999999995</v>
      </c>
      <c r="Q135" s="12">
        <f t="shared" si="21"/>
        <v>34.783999999999999</v>
      </c>
      <c r="R135" s="12" t="s">
        <v>15</v>
      </c>
      <c r="AD135" s="1"/>
    </row>
    <row r="136" spans="3:30" ht="18" customHeight="1" x14ac:dyDescent="0.3">
      <c r="C136" s="18" t="s">
        <v>35</v>
      </c>
      <c r="D136" s="25"/>
      <c r="E136" s="24"/>
      <c r="I136" s="8" t="s">
        <v>15</v>
      </c>
      <c r="J136" s="26">
        <f>SUM(J131:J134)</f>
        <v>647.45000000000005</v>
      </c>
      <c r="M136" s="12"/>
      <c r="P136" s="26">
        <f>SUM(P132:P135)</f>
        <v>17.634999999999998</v>
      </c>
      <c r="Q136" s="26">
        <f>SUM(Q132:Q135)</f>
        <v>81.175999999999988</v>
      </c>
      <c r="R136" s="24" t="s">
        <v>15</v>
      </c>
      <c r="AD136" s="1"/>
    </row>
    <row r="137" spans="3:30" ht="18" customHeight="1" x14ac:dyDescent="0.3">
      <c r="C137" s="18" t="s">
        <v>71</v>
      </c>
      <c r="I137" s="3" t="s">
        <v>15</v>
      </c>
      <c r="J137" s="12">
        <f>J130-J136</f>
        <v>455.04999999999995</v>
      </c>
      <c r="O137" s="17"/>
      <c r="P137" s="17"/>
      <c r="Q137" s="12"/>
    </row>
    <row r="138" spans="3:30" ht="18" customHeight="1" x14ac:dyDescent="0.3">
      <c r="O138" s="17"/>
      <c r="P138" s="17"/>
      <c r="Q138" s="12"/>
    </row>
    <row r="139" spans="3:30" ht="18" customHeight="1" x14ac:dyDescent="0.3">
      <c r="O139" s="17"/>
      <c r="P139" s="17"/>
      <c r="Q139" s="12"/>
    </row>
    <row r="140" spans="3:30" ht="18" customHeight="1" x14ac:dyDescent="0.3">
      <c r="O140" s="17"/>
      <c r="P140" s="17"/>
      <c r="Q140" s="12"/>
    </row>
    <row r="142" spans="3:30" ht="18" customHeight="1" x14ac:dyDescent="0.3">
      <c r="M142" s="372" t="s">
        <v>15</v>
      </c>
      <c r="N142" s="373">
        <f>J130+I112+H96+G86+F65+E48</f>
        <v>6517</v>
      </c>
      <c r="O142" s="374">
        <v>9000000</v>
      </c>
      <c r="P142" s="374"/>
      <c r="Q142" s="375">
        <f>N142*O142</f>
        <v>58653000000</v>
      </c>
    </row>
    <row r="143" spans="3:30" ht="18" customHeight="1" x14ac:dyDescent="0.3">
      <c r="M143" s="376"/>
      <c r="Q143" s="377"/>
    </row>
    <row r="144" spans="3:30" ht="18" customHeight="1" x14ac:dyDescent="0.3">
      <c r="M144" s="378"/>
      <c r="N144" s="379">
        <f>N142-J130</f>
        <v>5414.5</v>
      </c>
      <c r="O144" s="6"/>
      <c r="P144" s="6"/>
      <c r="Q144" s="380"/>
    </row>
    <row r="147" spans="2:12" ht="18" customHeight="1" x14ac:dyDescent="0.3">
      <c r="B147" s="3">
        <v>4</v>
      </c>
      <c r="C147" s="7" t="s">
        <v>556</v>
      </c>
    </row>
    <row r="148" spans="2:12" ht="18" customHeight="1" x14ac:dyDescent="0.3">
      <c r="C148" s="7" t="s">
        <v>557</v>
      </c>
      <c r="D148" s="3" t="s">
        <v>107</v>
      </c>
      <c r="E148" s="12">
        <v>0</v>
      </c>
      <c r="F148" s="12">
        <f>(1.5+15+1+3.78+13.15+7+3+2.85)+(3.5*2)</f>
        <v>54.28</v>
      </c>
      <c r="G148" s="12">
        <f>(14+7.8+2.6+4.8+2.3+12+2.4)</f>
        <v>45.9</v>
      </c>
      <c r="H148" s="12">
        <f>(30+2.5+9+3+40+2.5+11.25+5+4.5)</f>
        <v>107.75</v>
      </c>
      <c r="I148" s="12">
        <f>H148</f>
        <v>107.75</v>
      </c>
      <c r="J148" s="12">
        <v>0</v>
      </c>
      <c r="L148" s="12">
        <f>SUM(E148:J148)</f>
        <v>315.68</v>
      </c>
    </row>
    <row r="149" spans="2:12" ht="18" customHeight="1" x14ac:dyDescent="0.3">
      <c r="C149" s="7" t="s">
        <v>558</v>
      </c>
    </row>
    <row r="150" spans="2:12" ht="18" customHeight="1" x14ac:dyDescent="0.3">
      <c r="C150" s="7" t="s">
        <v>559</v>
      </c>
    </row>
    <row r="151" spans="2:12" ht="18" customHeight="1" x14ac:dyDescent="0.3">
      <c r="C151" s="7" t="s">
        <v>563</v>
      </c>
      <c r="D151" s="3" t="s">
        <v>107</v>
      </c>
      <c r="E151" s="12">
        <f>(1.42+1+1+4.2)+(4.2+1.42)</f>
        <v>13.24</v>
      </c>
      <c r="F151" s="12">
        <f>(3.5+(1*4)+2.4)</f>
        <v>9.9</v>
      </c>
      <c r="G151" s="12">
        <f>3.87+(1*4)+3.45</f>
        <v>11.32</v>
      </c>
      <c r="H151" s="12">
        <f>(0.85*6)+3.85</f>
        <v>8.9499999999999993</v>
      </c>
      <c r="I151" s="12">
        <f t="shared" ref="I151" si="22">(0.85*6)+3.85</f>
        <v>8.9499999999999993</v>
      </c>
      <c r="J151" s="12">
        <f>(0.85*5)+3.85</f>
        <v>8.1</v>
      </c>
      <c r="L151" s="12">
        <f>SUM(E151:J151)</f>
        <v>60.46</v>
      </c>
    </row>
    <row r="152" spans="2:12" ht="18" customHeight="1" x14ac:dyDescent="0.3">
      <c r="C152" s="7" t="s">
        <v>564</v>
      </c>
      <c r="D152" s="3" t="s">
        <v>107</v>
      </c>
      <c r="E152" s="12">
        <v>0</v>
      </c>
      <c r="F152" s="12">
        <f>(2.4+3.5)</f>
        <v>5.9</v>
      </c>
      <c r="G152" s="12">
        <f>(3.87+3.45+1.16)</f>
        <v>8.48</v>
      </c>
      <c r="H152" s="12">
        <f>2+1+3.5</f>
        <v>6.5</v>
      </c>
      <c r="I152" s="12">
        <f>2+1+3.5</f>
        <v>6.5</v>
      </c>
      <c r="L152" s="12">
        <f>SUM(E152:J152)</f>
        <v>27.380000000000003</v>
      </c>
    </row>
    <row r="153" spans="2:12" ht="18" customHeight="1" x14ac:dyDescent="0.3">
      <c r="C153" s="7" t="s">
        <v>560</v>
      </c>
    </row>
    <row r="154" spans="2:12" ht="18" customHeight="1" x14ac:dyDescent="0.3">
      <c r="C154" s="7" t="s">
        <v>563</v>
      </c>
      <c r="D154" s="3" t="s">
        <v>107</v>
      </c>
      <c r="E154" s="12">
        <v>0</v>
      </c>
      <c r="F154" s="12">
        <f>3.1+(1*4)</f>
        <v>7.1</v>
      </c>
      <c r="G154" s="12">
        <f>(3.5+(1*4))</f>
        <v>7.5</v>
      </c>
      <c r="H154" s="12">
        <f>(2.55+0.8+2)</f>
        <v>5.35</v>
      </c>
      <c r="I154" s="12">
        <f t="shared" ref="I154:J154" si="23">(2.55+0.8+2)</f>
        <v>5.35</v>
      </c>
      <c r="J154" s="12">
        <f t="shared" si="23"/>
        <v>5.35</v>
      </c>
      <c r="L154" s="12">
        <f>SUM(E154:J154)</f>
        <v>30.65</v>
      </c>
    </row>
    <row r="155" spans="2:12" ht="18" customHeight="1" x14ac:dyDescent="0.3">
      <c r="C155" s="7" t="s">
        <v>564</v>
      </c>
      <c r="D155" s="3" t="s">
        <v>107</v>
      </c>
      <c r="E155" s="12">
        <v>0</v>
      </c>
      <c r="F155" s="12">
        <f>(3.1*2)+3.1+0.8</f>
        <v>10.100000000000001</v>
      </c>
      <c r="G155" s="12">
        <f>3.8+3.8+3.5+0.8</f>
        <v>11.9</v>
      </c>
      <c r="H155" s="12">
        <f>(2.55*3)+0.8</f>
        <v>8.4499999999999993</v>
      </c>
      <c r="I155" s="12">
        <f t="shared" ref="I155:J155" si="24">(2.55*3)+0.8</f>
        <v>8.4499999999999993</v>
      </c>
      <c r="J155" s="12">
        <f t="shared" si="24"/>
        <v>8.4499999999999993</v>
      </c>
      <c r="L155" s="12">
        <f>SUM(E155:J155)</f>
        <v>47.349999999999994</v>
      </c>
    </row>
    <row r="156" spans="2:12" ht="18" customHeight="1" x14ac:dyDescent="0.3">
      <c r="C156" s="7" t="s">
        <v>561</v>
      </c>
      <c r="D156" s="3" t="s">
        <v>107</v>
      </c>
      <c r="E156" s="12">
        <v>0</v>
      </c>
      <c r="F156" s="12">
        <v>0</v>
      </c>
      <c r="G156" s="12">
        <f>(3+22.5+3+22.5)</f>
        <v>51</v>
      </c>
      <c r="H156" s="12">
        <f>(3+22.5+3+22.5)</f>
        <v>51</v>
      </c>
      <c r="I156" s="12">
        <f>(3+22.5+3+22.5)</f>
        <v>51</v>
      </c>
      <c r="J156" s="12">
        <f>(3+22.5+3+22.5)</f>
        <v>51</v>
      </c>
      <c r="L156" s="12">
        <f>SUM(E156:J156)</f>
        <v>204</v>
      </c>
    </row>
    <row r="157" spans="2:12" ht="18" customHeight="1" x14ac:dyDescent="0.3">
      <c r="C157" s="7" t="s">
        <v>562</v>
      </c>
      <c r="D157" s="3" t="s">
        <v>107</v>
      </c>
      <c r="E157" s="12">
        <f>(10.87*4)+(1.75*4)+3.42</f>
        <v>53.9</v>
      </c>
      <c r="F157" s="12">
        <f>(11.17*4)+(1.75*2)+3.5</f>
        <v>51.68</v>
      </c>
      <c r="G157" s="12">
        <f>(11.17*6)+(1.75*42)+(3.5*2)</f>
        <v>147.51999999999998</v>
      </c>
      <c r="H157" s="12">
        <f t="shared" ref="H157" si="25">(11.17*4)+(1.75*2)+3.5</f>
        <v>51.68</v>
      </c>
      <c r="I157" s="12">
        <v>0</v>
      </c>
      <c r="J157" s="12">
        <v>0</v>
      </c>
      <c r="L157" s="12">
        <f>SUM(E157:J157)</f>
        <v>304.77999999999997</v>
      </c>
    </row>
    <row r="161" spans="2:12" ht="18" customHeight="1" x14ac:dyDescent="0.3">
      <c r="B161" s="3">
        <v>5</v>
      </c>
      <c r="C161" s="7" t="s">
        <v>569</v>
      </c>
    </row>
    <row r="162" spans="2:12" ht="18" customHeight="1" x14ac:dyDescent="0.3">
      <c r="B162" s="18" t="s">
        <v>570</v>
      </c>
      <c r="C162" s="7" t="s">
        <v>571</v>
      </c>
    </row>
    <row r="163" spans="2:12" ht="18" customHeight="1" x14ac:dyDescent="0.3">
      <c r="C163" s="7" t="s">
        <v>572</v>
      </c>
    </row>
    <row r="164" spans="2:12" ht="18" customHeight="1" x14ac:dyDescent="0.3">
      <c r="C164" s="7" t="s">
        <v>573</v>
      </c>
      <c r="D164" s="3" t="s">
        <v>15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L164" s="12">
        <f>(6.4+2.56)*11.85</f>
        <v>106.176</v>
      </c>
    </row>
    <row r="165" spans="2:12" ht="18" customHeight="1" x14ac:dyDescent="0.3">
      <c r="C165" s="7" t="s">
        <v>574</v>
      </c>
      <c r="D165" s="3" t="s">
        <v>15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L165" s="12">
        <f>(14.3+2.68)*7.95</f>
        <v>134.99100000000001</v>
      </c>
    </row>
    <row r="166" spans="2:12" ht="18" customHeight="1" x14ac:dyDescent="0.3">
      <c r="C166" s="7" t="s">
        <v>575</v>
      </c>
      <c r="D166" s="3" t="s">
        <v>15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L166" s="12">
        <f>(14.3+2.68)*3.73</f>
        <v>63.3354</v>
      </c>
    </row>
    <row r="167" spans="2:12" ht="18" customHeight="1" x14ac:dyDescent="0.3">
      <c r="C167" s="7" t="s">
        <v>576</v>
      </c>
      <c r="D167" s="3" t="s">
        <v>15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L167" s="12">
        <f>(17.89+2.9)*3</f>
        <v>62.37</v>
      </c>
    </row>
    <row r="168" spans="2:12" ht="18" customHeight="1" x14ac:dyDescent="0.3">
      <c r="C168" s="7" t="s">
        <v>577</v>
      </c>
    </row>
    <row r="169" spans="2:12" ht="18" customHeight="1" x14ac:dyDescent="0.3">
      <c r="C169" s="7" t="s">
        <v>578</v>
      </c>
      <c r="D169" s="3" t="s">
        <v>15</v>
      </c>
      <c r="E169" s="12">
        <v>0</v>
      </c>
      <c r="F169" s="12">
        <v>0</v>
      </c>
      <c r="G169" s="12">
        <v>0</v>
      </c>
      <c r="H169" s="12">
        <v>0</v>
      </c>
      <c r="I169" s="12">
        <v>2.71</v>
      </c>
      <c r="J169" s="12">
        <v>0</v>
      </c>
      <c r="L169" s="12">
        <f>I169*I169</f>
        <v>7.3441000000000001</v>
      </c>
    </row>
    <row r="170" spans="2:12" ht="18" customHeight="1" x14ac:dyDescent="0.3">
      <c r="C170" s="7" t="s">
        <v>579</v>
      </c>
      <c r="D170" s="3" t="s">
        <v>15</v>
      </c>
      <c r="E170" s="12">
        <v>0</v>
      </c>
      <c r="F170" s="12">
        <v>0</v>
      </c>
      <c r="G170" s="12">
        <v>0</v>
      </c>
      <c r="H170" s="12">
        <v>0</v>
      </c>
      <c r="I170" s="12">
        <v>0.86</v>
      </c>
      <c r="J170" s="12">
        <v>0</v>
      </c>
      <c r="L170" s="12">
        <f>I170*14</f>
        <v>12.04</v>
      </c>
    </row>
    <row r="171" spans="2:12" ht="18" customHeight="1" x14ac:dyDescent="0.3">
      <c r="C171" s="7" t="s">
        <v>580</v>
      </c>
    </row>
    <row r="172" spans="2:12" ht="18" customHeight="1" x14ac:dyDescent="0.3">
      <c r="C172" s="7" t="s">
        <v>581</v>
      </c>
      <c r="D172" s="3" t="s">
        <v>15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L172" s="12">
        <f>(5.6*(4.55+1.65))</f>
        <v>34.719999999999992</v>
      </c>
    </row>
    <row r="173" spans="2:12" ht="18" customHeight="1" x14ac:dyDescent="0.3">
      <c r="C173" s="7" t="s">
        <v>582</v>
      </c>
      <c r="D173" s="3" t="s">
        <v>15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L173" s="12">
        <f>((0.45*4)*2.8)*4</f>
        <v>20.16</v>
      </c>
    </row>
    <row r="174" spans="2:12" ht="18" customHeight="1" x14ac:dyDescent="0.3">
      <c r="C174" s="7" t="s">
        <v>583</v>
      </c>
      <c r="D174" s="3" t="s">
        <v>15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</row>
    <row r="175" spans="2:12" ht="18" customHeight="1" x14ac:dyDescent="0.3">
      <c r="C175" s="7" t="s">
        <v>584</v>
      </c>
    </row>
    <row r="176" spans="2:12" ht="18" customHeight="1" x14ac:dyDescent="0.3">
      <c r="C176" s="7" t="s">
        <v>585</v>
      </c>
      <c r="D176" s="3" t="s">
        <v>15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L176" s="12">
        <f>((7*0.9)+(7*1.8)+(5*0.9)*2)+(1.5*3.1)</f>
        <v>32.549999999999997</v>
      </c>
    </row>
    <row r="177" spans="2:12" ht="18" customHeight="1" x14ac:dyDescent="0.3">
      <c r="C177" s="7" t="s">
        <v>586</v>
      </c>
      <c r="D177" s="3" t="s">
        <v>15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L177" s="12">
        <f>(1.15*4.3)+((3.7+3.7+0.8+0.8)*0.6)+((4.3+4.3+2.9+2.9)*0.7)</f>
        <v>20.425000000000001</v>
      </c>
    </row>
    <row r="178" spans="2:12" ht="18" customHeight="1" x14ac:dyDescent="0.3">
      <c r="C178" s="7" t="s">
        <v>587</v>
      </c>
      <c r="D178" s="3" t="s">
        <v>15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L178" s="12">
        <f>L177</f>
        <v>20.425000000000001</v>
      </c>
    </row>
    <row r="179" spans="2:12" ht="18" customHeight="1" x14ac:dyDescent="0.3">
      <c r="C179" s="7" t="s">
        <v>588</v>
      </c>
      <c r="D179" s="3" t="s">
        <v>15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L179" s="12">
        <f>((7+7+5+5)*0.9)+((6.1+6.1+4.9+4.9)*0.6)+(5.5*3.5)</f>
        <v>54.05</v>
      </c>
    </row>
    <row r="181" spans="2:12" ht="18" customHeight="1" x14ac:dyDescent="0.3">
      <c r="B181" s="18" t="s">
        <v>589</v>
      </c>
      <c r="C181" s="7" t="s">
        <v>590</v>
      </c>
    </row>
    <row r="182" spans="2:12" ht="18" customHeight="1" x14ac:dyDescent="0.3">
      <c r="C182" s="7" t="s">
        <v>591</v>
      </c>
    </row>
    <row r="183" spans="2:12" ht="18" customHeight="1" x14ac:dyDescent="0.3">
      <c r="C183" s="7" t="s">
        <v>592</v>
      </c>
      <c r="D183" s="3" t="s">
        <v>15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L183" s="12">
        <f>(1+0.3+0.3)*9.26*9</f>
        <v>133.34399999999999</v>
      </c>
    </row>
    <row r="184" spans="2:12" ht="18" customHeight="1" x14ac:dyDescent="0.3">
      <c r="C184" s="7" t="s">
        <v>593</v>
      </c>
      <c r="D184" s="3" t="s">
        <v>15</v>
      </c>
      <c r="E184" s="12">
        <v>0</v>
      </c>
      <c r="F184" s="12">
        <v>0</v>
      </c>
      <c r="G184" s="12">
        <v>1.6</v>
      </c>
      <c r="H184" s="12">
        <v>2</v>
      </c>
      <c r="I184" s="12">
        <v>1.6</v>
      </c>
      <c r="J184" s="12">
        <v>0.72</v>
      </c>
      <c r="L184" s="12">
        <f>(G184+H184+I184+J184)*(28+10)</f>
        <v>224.96</v>
      </c>
    </row>
    <row r="185" spans="2:12" ht="18" customHeight="1" x14ac:dyDescent="0.3">
      <c r="C185" s="7" t="s">
        <v>594</v>
      </c>
      <c r="D185" s="3" t="s">
        <v>15</v>
      </c>
      <c r="E185" s="12">
        <f>28-6</f>
        <v>22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L185" s="12">
        <f>E185*5</f>
        <v>110</v>
      </c>
    </row>
    <row r="186" spans="2:12" ht="18" customHeight="1" x14ac:dyDescent="0.3">
      <c r="C186" s="7" t="s">
        <v>595</v>
      </c>
      <c r="D186" s="3" t="s">
        <v>15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L186" s="12">
        <f>((1.6+0.5+0.5)*8.5)*5</f>
        <v>110.5</v>
      </c>
    </row>
    <row r="188" spans="2:12" ht="18" customHeight="1" x14ac:dyDescent="0.3">
      <c r="B188" s="18" t="s">
        <v>596</v>
      </c>
      <c r="C188" s="7" t="s">
        <v>599</v>
      </c>
    </row>
    <row r="189" spans="2:12" ht="18" customHeight="1" x14ac:dyDescent="0.3">
      <c r="C189" s="7" t="s">
        <v>591</v>
      </c>
    </row>
    <row r="190" spans="2:12" ht="18" customHeight="1" x14ac:dyDescent="0.3">
      <c r="C190" s="7" t="s">
        <v>592</v>
      </c>
      <c r="D190" s="3" t="s">
        <v>15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L190" s="12">
        <f>(1+0.3+0.3)*9.26*4</f>
        <v>59.264000000000003</v>
      </c>
    </row>
    <row r="191" spans="2:12" ht="18" customHeight="1" x14ac:dyDescent="0.3">
      <c r="C191" s="7" t="s">
        <v>593</v>
      </c>
      <c r="D191" s="3" t="s">
        <v>15</v>
      </c>
      <c r="E191" s="12">
        <v>0</v>
      </c>
      <c r="F191" s="12">
        <v>0</v>
      </c>
      <c r="G191" s="12">
        <v>1.6</v>
      </c>
      <c r="H191" s="12">
        <v>2</v>
      </c>
      <c r="I191" s="12">
        <v>1.6</v>
      </c>
      <c r="J191" s="12">
        <v>0.72</v>
      </c>
      <c r="L191" s="12">
        <f>(G191+H191+I191+J191)*20.88</f>
        <v>123.60959999999999</v>
      </c>
    </row>
    <row r="192" spans="2:12" ht="18" customHeight="1" x14ac:dyDescent="0.3">
      <c r="C192" s="7" t="s">
        <v>597</v>
      </c>
      <c r="D192" s="3" t="s">
        <v>15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L192" s="12">
        <f>((1.6+0.5+0.5)*6.86)*4</f>
        <v>71.344000000000008</v>
      </c>
    </row>
    <row r="194" spans="2:12" ht="18" customHeight="1" x14ac:dyDescent="0.3">
      <c r="B194" s="18" t="s">
        <v>598</v>
      </c>
      <c r="C194" s="7" t="s">
        <v>600</v>
      </c>
    </row>
    <row r="195" spans="2:12" ht="18" customHeight="1" x14ac:dyDescent="0.3">
      <c r="C195" s="7" t="s">
        <v>591</v>
      </c>
    </row>
    <row r="196" spans="2:12" ht="18" customHeight="1" x14ac:dyDescent="0.3">
      <c r="C196" s="7" t="s">
        <v>592</v>
      </c>
      <c r="D196" s="3" t="s">
        <v>15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L196" s="12">
        <f>(1+0.3+0.3)*9.86*11</f>
        <v>173.536</v>
      </c>
    </row>
    <row r="197" spans="2:12" ht="18" customHeight="1" x14ac:dyDescent="0.3">
      <c r="C197" s="7" t="s">
        <v>593</v>
      </c>
      <c r="D197" s="3" t="s">
        <v>15</v>
      </c>
      <c r="E197" s="12">
        <v>0</v>
      </c>
      <c r="F197" s="12">
        <v>0</v>
      </c>
      <c r="G197" s="12">
        <v>1.6</v>
      </c>
      <c r="H197" s="12">
        <v>2</v>
      </c>
      <c r="I197" s="12">
        <v>1.6</v>
      </c>
      <c r="J197" s="12">
        <v>0.72</v>
      </c>
      <c r="L197" s="12">
        <f>(G197+H197+I197+J197)*(39.65+10.2)</f>
        <v>295.11199999999997</v>
      </c>
    </row>
    <row r="198" spans="2:12" ht="18" customHeight="1" x14ac:dyDescent="0.3">
      <c r="C198" s="7" t="s">
        <v>594</v>
      </c>
      <c r="D198" s="3" t="s">
        <v>15</v>
      </c>
      <c r="E198" s="12">
        <v>6.85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L198" s="12">
        <f>E198*5</f>
        <v>34.25</v>
      </c>
    </row>
    <row r="199" spans="2:12" ht="18" customHeight="1" x14ac:dyDescent="0.3">
      <c r="C199" s="7" t="s">
        <v>595</v>
      </c>
      <c r="D199" s="3" t="s">
        <v>15</v>
      </c>
      <c r="E199" s="12" t="s">
        <v>92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L199" s="12">
        <f>((1.6+0.5+0.5)*6.86)*11</f>
        <v>196.19600000000003</v>
      </c>
    </row>
    <row r="201" spans="2:12" ht="18" customHeight="1" x14ac:dyDescent="0.3">
      <c r="B201" s="3">
        <v>6</v>
      </c>
      <c r="C201" s="7" t="s">
        <v>631</v>
      </c>
    </row>
    <row r="202" spans="2:12" ht="18" customHeight="1" x14ac:dyDescent="0.3">
      <c r="B202" s="18" t="s">
        <v>570</v>
      </c>
      <c r="C202" s="7" t="s">
        <v>632</v>
      </c>
    </row>
    <row r="203" spans="2:12" ht="18" customHeight="1" x14ac:dyDescent="0.3">
      <c r="C203" s="7" t="s">
        <v>633</v>
      </c>
      <c r="D203" s="3" t="s">
        <v>641</v>
      </c>
    </row>
    <row r="204" spans="2:12" ht="18" customHeight="1" x14ac:dyDescent="0.3">
      <c r="C204" s="7" t="s">
        <v>634</v>
      </c>
      <c r="D204" s="3" t="s">
        <v>641</v>
      </c>
    </row>
    <row r="205" spans="2:12" ht="18" customHeight="1" x14ac:dyDescent="0.3">
      <c r="B205" s="18" t="s">
        <v>589</v>
      </c>
      <c r="C205" s="7" t="s">
        <v>635</v>
      </c>
    </row>
    <row r="206" spans="2:12" ht="18" customHeight="1" x14ac:dyDescent="0.3">
      <c r="C206" s="7" t="s">
        <v>636</v>
      </c>
      <c r="D206" s="3" t="s">
        <v>15</v>
      </c>
      <c r="L206" s="12">
        <f>(15.1+(75-25)+15.1)+(59.73)+(15.66+15.04+120.81)</f>
        <v>291.43999999999994</v>
      </c>
    </row>
    <row r="207" spans="2:12" ht="18" customHeight="1" x14ac:dyDescent="0.3">
      <c r="C207" s="7" t="s">
        <v>637</v>
      </c>
      <c r="D207" s="3" t="s">
        <v>15</v>
      </c>
      <c r="L207" s="12">
        <f>(2.1+25.06)</f>
        <v>27.16</v>
      </c>
    </row>
    <row r="208" spans="2:12" ht="18" customHeight="1" x14ac:dyDescent="0.3">
      <c r="C208" s="7" t="s">
        <v>638</v>
      </c>
      <c r="D208" s="3" t="s">
        <v>15</v>
      </c>
      <c r="L208" s="12">
        <v>60.47</v>
      </c>
    </row>
    <row r="209" spans="2:12" ht="18" customHeight="1" x14ac:dyDescent="0.3">
      <c r="B209" s="18" t="s">
        <v>596</v>
      </c>
      <c r="C209" s="7" t="s">
        <v>639</v>
      </c>
    </row>
    <row r="210" spans="2:12" ht="18" customHeight="1" x14ac:dyDescent="0.3">
      <c r="C210" s="7" t="s">
        <v>640</v>
      </c>
      <c r="D210" s="3" t="s">
        <v>15</v>
      </c>
      <c r="L210" s="12">
        <v>140.05000000000001</v>
      </c>
    </row>
    <row r="211" spans="2:12" ht="18" customHeight="1" x14ac:dyDescent="0.3">
      <c r="C211" s="7" t="s">
        <v>642</v>
      </c>
      <c r="D211" s="3" t="s">
        <v>15</v>
      </c>
      <c r="L211" s="12">
        <f>(10.72+12.67+11.03)+((4.2*0.45)+(9.1*0.8))</f>
        <v>43.59</v>
      </c>
    </row>
    <row r="212" spans="2:12" ht="18" customHeight="1" x14ac:dyDescent="0.3">
      <c r="C212" s="7" t="s">
        <v>643</v>
      </c>
      <c r="D212" s="3" t="s">
        <v>15</v>
      </c>
      <c r="L212" s="12">
        <f>(6.85+6.41+8.93)+((4.2+0.45)*2*0.45)+((9.1+0.8)*2*0.3)</f>
        <v>32.314999999999998</v>
      </c>
    </row>
    <row r="213" spans="2:12" ht="18" customHeight="1" x14ac:dyDescent="0.3">
      <c r="C213" s="7" t="s">
        <v>644</v>
      </c>
      <c r="D213" s="3" t="s">
        <v>15</v>
      </c>
      <c r="L213" s="12">
        <f>L212</f>
        <v>32.314999999999998</v>
      </c>
    </row>
    <row r="214" spans="2:12" ht="18" customHeight="1" x14ac:dyDescent="0.3">
      <c r="C214" s="7" t="s">
        <v>645</v>
      </c>
      <c r="D214" s="3" t="s">
        <v>641</v>
      </c>
      <c r="L214" s="12">
        <f>L211*0.35</f>
        <v>15.256500000000001</v>
      </c>
    </row>
  </sheetData>
  <mergeCells count="4">
    <mergeCell ref="E7:J7"/>
    <mergeCell ref="D7:D8"/>
    <mergeCell ref="C7:C8"/>
    <mergeCell ref="B7:B8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28"/>
  <sheetViews>
    <sheetView topLeftCell="A88" workbookViewId="0">
      <selection activeCell="Q94" sqref="Q94"/>
    </sheetView>
  </sheetViews>
  <sheetFormatPr defaultRowHeight="15" customHeight="1" x14ac:dyDescent="0.3"/>
  <cols>
    <col min="1" max="1" width="8.88671875" style="32"/>
    <col min="2" max="2" width="16.109375" style="32" customWidth="1"/>
    <col min="3" max="3" width="8.88671875" style="34"/>
    <col min="4" max="4" width="8.88671875" style="23"/>
    <col min="5" max="6" width="12.77734375" style="51" customWidth="1"/>
    <col min="7" max="9" width="8.88671875" style="32"/>
    <col min="10" max="10" width="19.21875" style="32" customWidth="1"/>
    <col min="11" max="12" width="8.88671875" style="32"/>
    <col min="13" max="13" width="12.77734375" style="238" customWidth="1"/>
    <col min="14" max="14" width="12.77734375" style="51" customWidth="1"/>
    <col min="15" max="19" width="8.88671875" style="32"/>
  </cols>
  <sheetData>
    <row r="2" spans="2:14" ht="15" customHeight="1" x14ac:dyDescent="0.3">
      <c r="B2" s="31" t="s">
        <v>102</v>
      </c>
    </row>
    <row r="3" spans="2:14" ht="15" customHeight="1" x14ac:dyDescent="0.3">
      <c r="B3" s="35" t="s">
        <v>101</v>
      </c>
      <c r="C3" s="36"/>
      <c r="D3" s="37"/>
      <c r="E3" s="224"/>
      <c r="F3" s="224"/>
      <c r="G3" s="35"/>
      <c r="H3" s="35"/>
      <c r="I3" s="35"/>
      <c r="J3" s="35"/>
    </row>
    <row r="6" spans="2:14" ht="15" customHeight="1" x14ac:dyDescent="0.3">
      <c r="B6" s="39" t="s">
        <v>103</v>
      </c>
      <c r="C6" s="36">
        <f>0.95*2.4</f>
        <v>2.2799999999999998</v>
      </c>
      <c r="D6" s="42" t="s">
        <v>15</v>
      </c>
      <c r="J6" s="39" t="s">
        <v>125</v>
      </c>
      <c r="K6" s="36">
        <f>3.57*2.4</f>
        <v>8.5679999999999996</v>
      </c>
      <c r="L6" s="23" t="s">
        <v>15</v>
      </c>
    </row>
    <row r="7" spans="2:14" ht="15" customHeight="1" x14ac:dyDescent="0.3">
      <c r="B7" s="40" t="s">
        <v>104</v>
      </c>
      <c r="C7" s="41"/>
      <c r="D7" s="42" t="s">
        <v>106</v>
      </c>
      <c r="J7" s="40" t="s">
        <v>126</v>
      </c>
      <c r="K7" s="41"/>
      <c r="L7" s="42" t="s">
        <v>127</v>
      </c>
    </row>
    <row r="8" spans="2:14" ht="15" customHeight="1" x14ac:dyDescent="0.3">
      <c r="B8" s="40"/>
      <c r="C8" s="41"/>
      <c r="D8" s="42"/>
      <c r="J8" s="40"/>
      <c r="K8" s="41"/>
      <c r="L8" s="42"/>
    </row>
    <row r="9" spans="2:14" ht="15" customHeight="1" x14ac:dyDescent="0.3">
      <c r="K9" s="34"/>
      <c r="L9" s="23"/>
    </row>
    <row r="10" spans="2:14" ht="15" customHeight="1" x14ac:dyDescent="0.3">
      <c r="B10" s="32" t="s">
        <v>105</v>
      </c>
      <c r="C10" s="34">
        <f>(2.4+2.4)+0.95</f>
        <v>5.75</v>
      </c>
      <c r="D10" s="23" t="s">
        <v>107</v>
      </c>
      <c r="E10" s="51">
        <f>AHS!H322</f>
        <v>183500</v>
      </c>
      <c r="F10" s="51">
        <f>C10*E10</f>
        <v>1055125</v>
      </c>
      <c r="J10" s="32" t="s">
        <v>105</v>
      </c>
      <c r="K10" s="34">
        <f>(3.57+1+1)+(2.4+2.4+2.25+2.25)</f>
        <v>14.870000000000001</v>
      </c>
      <c r="L10" s="23" t="s">
        <v>107</v>
      </c>
      <c r="M10" s="51">
        <f>AHS!$H$322</f>
        <v>183500</v>
      </c>
      <c r="N10" s="51">
        <f>K10*M10</f>
        <v>2728645</v>
      </c>
    </row>
    <row r="11" spans="2:14" ht="15" customHeight="1" x14ac:dyDescent="0.3">
      <c r="B11" s="32" t="s">
        <v>108</v>
      </c>
      <c r="C11" s="34">
        <f>0.85*2.35</f>
        <v>1.9975000000000001</v>
      </c>
      <c r="D11" s="23" t="s">
        <v>15</v>
      </c>
      <c r="E11" s="51">
        <f>AHS!H266</f>
        <v>1525200</v>
      </c>
      <c r="F11" s="51">
        <f t="shared" ref="F11:F14" si="0">C11*E11</f>
        <v>3046587</v>
      </c>
      <c r="J11" s="32" t="s">
        <v>128</v>
      </c>
      <c r="K11" s="34">
        <f>(0.75*2.35)*2</f>
        <v>3.5250000000000004</v>
      </c>
      <c r="L11" s="23" t="s">
        <v>15</v>
      </c>
      <c r="M11" s="238">
        <f>'HRG BAHAN'!E62</f>
        <v>600000</v>
      </c>
      <c r="N11" s="51">
        <f t="shared" ref="N11:N15" si="1">K11*M11</f>
        <v>2115000</v>
      </c>
    </row>
    <row r="12" spans="2:14" ht="15" customHeight="1" x14ac:dyDescent="0.3">
      <c r="B12" s="32" t="s">
        <v>271</v>
      </c>
      <c r="C12" s="34">
        <v>2</v>
      </c>
      <c r="D12" s="23" t="s">
        <v>267</v>
      </c>
      <c r="E12" s="51">
        <f>AHS!H361</f>
        <v>67100</v>
      </c>
      <c r="F12" s="51">
        <f t="shared" si="0"/>
        <v>134200</v>
      </c>
      <c r="J12" s="32" t="s">
        <v>137</v>
      </c>
      <c r="K12" s="34">
        <f>(0.9*2.15)*2</f>
        <v>3.87</v>
      </c>
      <c r="L12" s="23" t="s">
        <v>15</v>
      </c>
      <c r="M12" s="238">
        <f>'HRG BAHAN'!E60</f>
        <v>226400</v>
      </c>
      <c r="N12" s="51">
        <f t="shared" si="1"/>
        <v>876168</v>
      </c>
    </row>
    <row r="13" spans="2:14" ht="15" customHeight="1" x14ac:dyDescent="0.3">
      <c r="B13" s="32" t="s">
        <v>268</v>
      </c>
      <c r="C13" s="34">
        <v>1</v>
      </c>
      <c r="D13" s="23" t="s">
        <v>42</v>
      </c>
      <c r="E13" s="51">
        <f>AHS!G394</f>
        <v>328497.5</v>
      </c>
      <c r="F13" s="51">
        <f t="shared" si="0"/>
        <v>328497.5</v>
      </c>
      <c r="J13" s="32" t="s">
        <v>313</v>
      </c>
      <c r="K13" s="34">
        <v>2</v>
      </c>
      <c r="L13" s="23" t="s">
        <v>267</v>
      </c>
      <c r="M13" s="238">
        <f>'HRG BAHAN'!E15</f>
        <v>500000</v>
      </c>
      <c r="N13" s="51">
        <f t="shared" si="1"/>
        <v>1000000</v>
      </c>
    </row>
    <row r="14" spans="2:14" ht="15" customHeight="1" x14ac:dyDescent="0.3">
      <c r="B14" s="32" t="s">
        <v>269</v>
      </c>
      <c r="C14" s="34">
        <v>1</v>
      </c>
      <c r="D14" s="23" t="s">
        <v>270</v>
      </c>
      <c r="E14" s="51">
        <v>150000</v>
      </c>
      <c r="F14" s="51">
        <f t="shared" si="0"/>
        <v>150000</v>
      </c>
      <c r="J14" s="32" t="s">
        <v>314</v>
      </c>
      <c r="K14" s="34">
        <v>2</v>
      </c>
      <c r="L14" s="23" t="s">
        <v>267</v>
      </c>
      <c r="M14" s="238">
        <f>'HRG BAHAN'!E30</f>
        <v>290800</v>
      </c>
      <c r="N14" s="51">
        <f t="shared" si="1"/>
        <v>581600</v>
      </c>
    </row>
    <row r="15" spans="2:14" ht="15" customHeight="1" x14ac:dyDescent="0.3">
      <c r="E15" s="225" t="s">
        <v>12</v>
      </c>
      <c r="F15" s="225">
        <f>SUM(F10:F14)</f>
        <v>4714409.5</v>
      </c>
      <c r="J15" s="32" t="s">
        <v>269</v>
      </c>
      <c r="K15" s="34">
        <v>2</v>
      </c>
      <c r="L15" s="23" t="s">
        <v>270</v>
      </c>
      <c r="M15" s="241">
        <v>200000</v>
      </c>
      <c r="N15" s="224">
        <f t="shared" si="1"/>
        <v>400000</v>
      </c>
    </row>
    <row r="16" spans="2:14" ht="15" customHeight="1" x14ac:dyDescent="0.3">
      <c r="E16" s="50" t="s">
        <v>272</v>
      </c>
      <c r="F16" s="50">
        <f>F15*1.15</f>
        <v>5421570.9249999998</v>
      </c>
      <c r="G16" s="43"/>
      <c r="H16" s="43"/>
      <c r="K16" s="34"/>
      <c r="L16" s="23"/>
      <c r="M16" s="225" t="s">
        <v>12</v>
      </c>
      <c r="N16" s="225">
        <f>SUM(N10:N15)</f>
        <v>7701413</v>
      </c>
    </row>
    <row r="17" spans="2:14" ht="15" customHeight="1" x14ac:dyDescent="0.3">
      <c r="E17" s="50"/>
      <c r="F17" s="50"/>
      <c r="K17" s="34"/>
      <c r="L17" s="23"/>
      <c r="M17" s="50" t="s">
        <v>272</v>
      </c>
      <c r="N17" s="50">
        <f>N16*1.15</f>
        <v>8856624.9499999993</v>
      </c>
    </row>
    <row r="19" spans="2:14" ht="15" customHeight="1" x14ac:dyDescent="0.3">
      <c r="B19" s="39" t="s">
        <v>109</v>
      </c>
      <c r="C19" s="36">
        <f>1*2.4</f>
        <v>2.4</v>
      </c>
      <c r="D19" s="23" t="s">
        <v>15</v>
      </c>
      <c r="J19" s="39" t="s">
        <v>130</v>
      </c>
      <c r="K19" s="36">
        <f>1.15*1.6</f>
        <v>1.8399999999999999</v>
      </c>
      <c r="L19" s="23" t="s">
        <v>15</v>
      </c>
    </row>
    <row r="20" spans="2:14" ht="15" customHeight="1" x14ac:dyDescent="0.3">
      <c r="B20" s="40" t="s">
        <v>110</v>
      </c>
      <c r="C20" s="41"/>
      <c r="D20" s="42" t="s">
        <v>106</v>
      </c>
      <c r="E20" s="226"/>
      <c r="F20" s="226"/>
      <c r="J20" s="40" t="s">
        <v>131</v>
      </c>
      <c r="K20" s="41"/>
      <c r="L20" s="42" t="s">
        <v>132</v>
      </c>
    </row>
    <row r="21" spans="2:14" ht="15" customHeight="1" x14ac:dyDescent="0.3">
      <c r="K21" s="34"/>
      <c r="L21" s="23"/>
    </row>
    <row r="22" spans="2:14" ht="15" customHeight="1" x14ac:dyDescent="0.3">
      <c r="B22" s="32" t="s">
        <v>105</v>
      </c>
      <c r="C22" s="34">
        <f>(2.4+2.4)+1</f>
        <v>5.8</v>
      </c>
      <c r="D22" s="23" t="s">
        <v>107</v>
      </c>
      <c r="E22" s="51">
        <f>AHS!$H$322</f>
        <v>183500</v>
      </c>
      <c r="F22" s="51">
        <f>C22*E22</f>
        <v>1064300</v>
      </c>
      <c r="J22" s="32" t="s">
        <v>105</v>
      </c>
      <c r="K22" s="34">
        <f>(1.15*2)+(1.6*3)</f>
        <v>7.1000000000000005</v>
      </c>
      <c r="L22" s="23" t="s">
        <v>107</v>
      </c>
      <c r="M22" s="51">
        <f>AHS!$H$322</f>
        <v>183500</v>
      </c>
      <c r="N22" s="51">
        <f t="shared" ref="N22:N27" si="2">K22*M22</f>
        <v>1302850</v>
      </c>
    </row>
    <row r="23" spans="2:14" ht="15" customHeight="1" x14ac:dyDescent="0.3">
      <c r="B23" s="32" t="s">
        <v>108</v>
      </c>
      <c r="C23" s="34">
        <f>0.9*2.35</f>
        <v>2.1150000000000002</v>
      </c>
      <c r="D23" s="23" t="s">
        <v>15</v>
      </c>
      <c r="E23" s="51">
        <f>AHS!$H$266</f>
        <v>1525200</v>
      </c>
      <c r="F23" s="51">
        <f t="shared" ref="F23" si="3">C23*E23</f>
        <v>3225798.0000000005</v>
      </c>
      <c r="G23" s="43"/>
      <c r="H23" s="43"/>
      <c r="I23" s="43"/>
      <c r="J23" s="32" t="s">
        <v>129</v>
      </c>
      <c r="K23" s="34">
        <f>2*(0.5*1.5)</f>
        <v>1.5</v>
      </c>
      <c r="L23" s="23" t="s">
        <v>15</v>
      </c>
      <c r="M23" s="238">
        <f>AHS!$L$304</f>
        <v>1747558.5284280938</v>
      </c>
      <c r="N23" s="51">
        <f t="shared" si="2"/>
        <v>2621337.7926421408</v>
      </c>
    </row>
    <row r="24" spans="2:14" ht="15" customHeight="1" x14ac:dyDescent="0.3">
      <c r="B24" s="32" t="s">
        <v>271</v>
      </c>
      <c r="C24" s="34">
        <v>2</v>
      </c>
      <c r="D24" s="23" t="s">
        <v>267</v>
      </c>
      <c r="E24" s="51">
        <f>AHS!$H$361</f>
        <v>67100</v>
      </c>
      <c r="F24" s="51">
        <f t="shared" ref="F24:F26" si="4">C24*E24</f>
        <v>134200</v>
      </c>
      <c r="J24" s="32" t="s">
        <v>315</v>
      </c>
      <c r="K24" s="34">
        <v>2</v>
      </c>
      <c r="L24" s="23" t="s">
        <v>267</v>
      </c>
      <c r="M24" s="238">
        <f>'HRG BAHAN'!$E$10</f>
        <v>18900</v>
      </c>
      <c r="N24" s="51">
        <f t="shared" si="2"/>
        <v>37800</v>
      </c>
    </row>
    <row r="25" spans="2:14" ht="15" customHeight="1" x14ac:dyDescent="0.3">
      <c r="B25" s="32" t="s">
        <v>268</v>
      </c>
      <c r="C25" s="34">
        <v>1</v>
      </c>
      <c r="D25" s="23" t="s">
        <v>42</v>
      </c>
      <c r="E25" s="51">
        <f>AHS!$G$394</f>
        <v>328497.5</v>
      </c>
      <c r="F25" s="51">
        <f t="shared" si="4"/>
        <v>328497.5</v>
      </c>
      <c r="J25" s="32" t="s">
        <v>316</v>
      </c>
      <c r="K25" s="34">
        <v>2</v>
      </c>
      <c r="L25" s="23" t="s">
        <v>317</v>
      </c>
      <c r="M25" s="238">
        <f>'HRG BAHAN'!$E$16</f>
        <v>32600</v>
      </c>
      <c r="N25" s="51">
        <f t="shared" si="2"/>
        <v>65200</v>
      </c>
    </row>
    <row r="26" spans="2:14" ht="15" customHeight="1" x14ac:dyDescent="0.3">
      <c r="B26" s="32" t="s">
        <v>269</v>
      </c>
      <c r="C26" s="34">
        <v>1</v>
      </c>
      <c r="D26" s="23" t="s">
        <v>270</v>
      </c>
      <c r="E26" s="51">
        <v>150000</v>
      </c>
      <c r="F26" s="51">
        <f t="shared" si="4"/>
        <v>150000</v>
      </c>
      <c r="J26" s="32" t="s">
        <v>318</v>
      </c>
      <c r="K26" s="34">
        <v>2</v>
      </c>
      <c r="L26" s="23" t="s">
        <v>267</v>
      </c>
      <c r="M26" s="238">
        <f>'HRG BAHAN'!$E$21</f>
        <v>12000</v>
      </c>
      <c r="N26" s="51">
        <f t="shared" si="2"/>
        <v>24000</v>
      </c>
    </row>
    <row r="27" spans="2:14" ht="15" customHeight="1" x14ac:dyDescent="0.3">
      <c r="E27" s="225" t="s">
        <v>12</v>
      </c>
      <c r="F27" s="225">
        <f>SUM(F22:F26)</f>
        <v>4902795.5</v>
      </c>
      <c r="J27" s="32" t="s">
        <v>269</v>
      </c>
      <c r="K27" s="34">
        <v>2</v>
      </c>
      <c r="L27" s="23" t="s">
        <v>270</v>
      </c>
      <c r="M27" s="241">
        <v>125000</v>
      </c>
      <c r="N27" s="224">
        <f t="shared" si="2"/>
        <v>250000</v>
      </c>
    </row>
    <row r="28" spans="2:14" ht="15" customHeight="1" x14ac:dyDescent="0.3">
      <c r="E28" s="50" t="s">
        <v>272</v>
      </c>
      <c r="F28" s="50">
        <f>F27*1.15</f>
        <v>5638214.8249999993</v>
      </c>
      <c r="K28" s="34"/>
      <c r="L28" s="23"/>
      <c r="M28" s="238" t="s">
        <v>12</v>
      </c>
      <c r="N28" s="51">
        <f>SUM(N22:N27)</f>
        <v>4301187.7926421408</v>
      </c>
    </row>
    <row r="29" spans="2:14" ht="15" customHeight="1" x14ac:dyDescent="0.3">
      <c r="K29" s="34"/>
      <c r="L29" s="23"/>
      <c r="M29" s="231" t="s">
        <v>272</v>
      </c>
      <c r="N29" s="50">
        <f>N28*1.15</f>
        <v>4946365.961538461</v>
      </c>
    </row>
    <row r="30" spans="2:14" ht="15" customHeight="1" x14ac:dyDescent="0.3">
      <c r="G30" s="43"/>
      <c r="H30" s="43"/>
      <c r="I30" s="43"/>
      <c r="K30" s="34"/>
      <c r="L30" s="23"/>
    </row>
    <row r="32" spans="2:14" ht="15" customHeight="1" x14ac:dyDescent="0.3">
      <c r="B32" s="39" t="s">
        <v>111</v>
      </c>
      <c r="C32" s="36">
        <f>1.3*2.4</f>
        <v>3.12</v>
      </c>
      <c r="D32" s="23" t="s">
        <v>15</v>
      </c>
      <c r="J32" s="39" t="s">
        <v>133</v>
      </c>
      <c r="K32" s="36">
        <f>1.15*1.2</f>
        <v>1.38</v>
      </c>
      <c r="L32" s="23" t="s">
        <v>15</v>
      </c>
    </row>
    <row r="33" spans="2:14" ht="15" customHeight="1" x14ac:dyDescent="0.3">
      <c r="B33" s="40" t="s">
        <v>112</v>
      </c>
      <c r="C33" s="41"/>
      <c r="D33" s="42" t="s">
        <v>113</v>
      </c>
      <c r="E33" s="226"/>
      <c r="F33" s="226"/>
      <c r="J33" s="40" t="s">
        <v>134</v>
      </c>
      <c r="K33" s="41"/>
      <c r="L33" s="42" t="s">
        <v>132</v>
      </c>
    </row>
    <row r="34" spans="2:14" ht="15" customHeight="1" x14ac:dyDescent="0.3">
      <c r="K34" s="34"/>
      <c r="L34" s="23"/>
    </row>
    <row r="35" spans="2:14" ht="15" customHeight="1" x14ac:dyDescent="0.3">
      <c r="B35" s="32" t="s">
        <v>105</v>
      </c>
      <c r="C35" s="34">
        <f>(2.4+2.4)+1.3</f>
        <v>6.1</v>
      </c>
      <c r="D35" s="23" t="s">
        <v>107</v>
      </c>
      <c r="E35" s="51">
        <f>AHS!$H$322</f>
        <v>183500</v>
      </c>
      <c r="F35" s="51">
        <f>C35*E35</f>
        <v>1119350</v>
      </c>
      <c r="J35" s="32" t="s">
        <v>105</v>
      </c>
      <c r="K35" s="34">
        <f>(1.15*2)+(1.2*3)</f>
        <v>5.8999999999999995</v>
      </c>
      <c r="L35" s="23" t="s">
        <v>107</v>
      </c>
      <c r="M35" s="51">
        <f>AHS!$H$322</f>
        <v>183500</v>
      </c>
      <c r="N35" s="51">
        <f t="shared" ref="N35:N40" si="5">K35*M35</f>
        <v>1082650</v>
      </c>
    </row>
    <row r="36" spans="2:14" ht="15" customHeight="1" x14ac:dyDescent="0.3">
      <c r="B36" s="32" t="s">
        <v>108</v>
      </c>
      <c r="C36" s="34">
        <f>(0.4*2.35)+(0.8*2.35)</f>
        <v>2.8200000000000003</v>
      </c>
      <c r="D36" s="23" t="s">
        <v>15</v>
      </c>
      <c r="E36" s="51">
        <f>AHS!$H$266</f>
        <v>1525200</v>
      </c>
      <c r="F36" s="51">
        <f t="shared" ref="F36" si="6">C36*E36</f>
        <v>4301064</v>
      </c>
      <c r="J36" s="32" t="s">
        <v>129</v>
      </c>
      <c r="K36" s="34">
        <f>2*(0.5*1.1)</f>
        <v>1.1000000000000001</v>
      </c>
      <c r="L36" s="23" t="s">
        <v>15</v>
      </c>
      <c r="M36" s="238">
        <f>AHS!$L$304</f>
        <v>1747558.5284280938</v>
      </c>
      <c r="N36" s="51">
        <f t="shared" si="5"/>
        <v>1922314.3812709034</v>
      </c>
    </row>
    <row r="37" spans="2:14" ht="15" customHeight="1" x14ac:dyDescent="0.3">
      <c r="B37" s="32" t="s">
        <v>271</v>
      </c>
      <c r="C37" s="34">
        <v>3</v>
      </c>
      <c r="D37" s="23" t="s">
        <v>267</v>
      </c>
      <c r="E37" s="51">
        <f>AHS!$H$361</f>
        <v>67100</v>
      </c>
      <c r="F37" s="51">
        <f t="shared" ref="F37:F39" si="7">C37*E37</f>
        <v>201300</v>
      </c>
      <c r="J37" s="32" t="s">
        <v>315</v>
      </c>
      <c r="K37" s="34">
        <v>2</v>
      </c>
      <c r="L37" s="23" t="s">
        <v>267</v>
      </c>
      <c r="M37" s="238">
        <f>'HRG BAHAN'!$E$10</f>
        <v>18900</v>
      </c>
      <c r="N37" s="51">
        <f t="shared" si="5"/>
        <v>37800</v>
      </c>
    </row>
    <row r="38" spans="2:14" ht="15" customHeight="1" x14ac:dyDescent="0.3">
      <c r="B38" s="32" t="s">
        <v>268</v>
      </c>
      <c r="C38" s="34">
        <v>1</v>
      </c>
      <c r="D38" s="23" t="s">
        <v>42</v>
      </c>
      <c r="E38" s="51">
        <f>AHS!$G$394</f>
        <v>328497.5</v>
      </c>
      <c r="F38" s="51">
        <f t="shared" si="7"/>
        <v>328497.5</v>
      </c>
      <c r="G38" s="43"/>
      <c r="H38" s="43"/>
      <c r="J38" s="32" t="s">
        <v>316</v>
      </c>
      <c r="K38" s="34">
        <v>2</v>
      </c>
      <c r="L38" s="23" t="s">
        <v>317</v>
      </c>
      <c r="M38" s="238">
        <f>'HRG BAHAN'!$E$16</f>
        <v>32600</v>
      </c>
      <c r="N38" s="51">
        <f t="shared" si="5"/>
        <v>65200</v>
      </c>
    </row>
    <row r="39" spans="2:14" ht="15" customHeight="1" x14ac:dyDescent="0.3">
      <c r="B39" s="32" t="s">
        <v>269</v>
      </c>
      <c r="C39" s="34">
        <v>2</v>
      </c>
      <c r="D39" s="23" t="s">
        <v>270</v>
      </c>
      <c r="E39" s="51">
        <v>150000</v>
      </c>
      <c r="F39" s="51">
        <f t="shared" si="7"/>
        <v>300000</v>
      </c>
      <c r="J39" s="32" t="s">
        <v>318</v>
      </c>
      <c r="K39" s="34">
        <v>2</v>
      </c>
      <c r="L39" s="23" t="s">
        <v>267</v>
      </c>
      <c r="M39" s="238">
        <f>'HRG BAHAN'!$E$21</f>
        <v>12000</v>
      </c>
      <c r="N39" s="51">
        <f t="shared" si="5"/>
        <v>24000</v>
      </c>
    </row>
    <row r="40" spans="2:14" ht="15" customHeight="1" x14ac:dyDescent="0.3">
      <c r="E40" s="225" t="s">
        <v>12</v>
      </c>
      <c r="F40" s="225">
        <f>SUM(F35:F39)</f>
        <v>6250211.5</v>
      </c>
      <c r="J40" s="32" t="s">
        <v>269</v>
      </c>
      <c r="K40" s="34">
        <v>2</v>
      </c>
      <c r="L40" s="23" t="s">
        <v>270</v>
      </c>
      <c r="M40" s="241">
        <v>125000</v>
      </c>
      <c r="N40" s="224">
        <f t="shared" si="5"/>
        <v>250000</v>
      </c>
    </row>
    <row r="41" spans="2:14" ht="15" customHeight="1" x14ac:dyDescent="0.3">
      <c r="E41" s="50" t="s">
        <v>272</v>
      </c>
      <c r="F41" s="50">
        <f>F40*1.15</f>
        <v>7187743.2249999996</v>
      </c>
      <c r="K41" s="34"/>
      <c r="L41" s="23"/>
      <c r="M41" s="238" t="s">
        <v>12</v>
      </c>
      <c r="N41" s="51">
        <f>SUM(N35:N40)</f>
        <v>3381964.3812709032</v>
      </c>
    </row>
    <row r="42" spans="2:14" ht="15" customHeight="1" x14ac:dyDescent="0.3">
      <c r="K42" s="34"/>
      <c r="L42" s="23"/>
      <c r="M42" s="238" t="s">
        <v>272</v>
      </c>
      <c r="N42" s="50">
        <f>N41*1.15</f>
        <v>3889259.0384615385</v>
      </c>
    </row>
    <row r="45" spans="2:14" ht="15" customHeight="1" x14ac:dyDescent="0.3">
      <c r="B45" s="39" t="s">
        <v>114</v>
      </c>
      <c r="C45" s="36">
        <f>1.7*2.4</f>
        <v>4.08</v>
      </c>
      <c r="D45" s="23" t="s">
        <v>15</v>
      </c>
      <c r="J45" s="39" t="s">
        <v>135</v>
      </c>
      <c r="K45" s="36">
        <f>2.15*1.6</f>
        <v>3.44</v>
      </c>
      <c r="L45" s="23" t="s">
        <v>15</v>
      </c>
    </row>
    <row r="46" spans="2:14" ht="15" customHeight="1" x14ac:dyDescent="0.3">
      <c r="B46" s="40" t="s">
        <v>115</v>
      </c>
      <c r="C46" s="41"/>
      <c r="D46" s="42" t="s">
        <v>113</v>
      </c>
      <c r="E46" s="226"/>
      <c r="F46" s="226"/>
      <c r="G46" s="43"/>
      <c r="H46" s="43"/>
      <c r="J46" s="40" t="s">
        <v>136</v>
      </c>
      <c r="K46" s="41"/>
      <c r="L46" s="42" t="s">
        <v>132</v>
      </c>
    </row>
    <row r="47" spans="2:14" ht="15" customHeight="1" x14ac:dyDescent="0.3">
      <c r="K47" s="34"/>
      <c r="L47" s="23"/>
    </row>
    <row r="48" spans="2:14" ht="15" customHeight="1" x14ac:dyDescent="0.3">
      <c r="B48" s="32" t="s">
        <v>105</v>
      </c>
      <c r="C48" s="34">
        <f>(2.4+2.4)+1.7</f>
        <v>6.5</v>
      </c>
      <c r="D48" s="23" t="s">
        <v>107</v>
      </c>
      <c r="E48" s="51">
        <f>AHS!$H$322</f>
        <v>183500</v>
      </c>
      <c r="F48" s="51">
        <f>C48*E48</f>
        <v>1192750</v>
      </c>
      <c r="J48" s="32" t="s">
        <v>105</v>
      </c>
      <c r="K48" s="34">
        <f>(2.15*2)+(1.6*4)</f>
        <v>10.7</v>
      </c>
      <c r="L48" s="23" t="s">
        <v>107</v>
      </c>
      <c r="M48" s="51">
        <f>AHS!$H$322</f>
        <v>183500</v>
      </c>
      <c r="N48" s="51">
        <f t="shared" ref="N48:N50" si="8">K48*M48</f>
        <v>1963449.9999999998</v>
      </c>
    </row>
    <row r="49" spans="2:14" ht="15" customHeight="1" x14ac:dyDescent="0.3">
      <c r="B49" s="32" t="s">
        <v>108</v>
      </c>
      <c r="C49" s="34">
        <f>2*(0.8*2.35)</f>
        <v>3.7600000000000002</v>
      </c>
      <c r="D49" s="23" t="s">
        <v>15</v>
      </c>
      <c r="E49" s="51">
        <f>AHS!$H$266</f>
        <v>1525200</v>
      </c>
      <c r="F49" s="51">
        <f t="shared" ref="F49:F52" si="9">C49*E49</f>
        <v>5734752</v>
      </c>
      <c r="J49" s="32" t="s">
        <v>129</v>
      </c>
      <c r="K49" s="34">
        <f>2*(0.5*1.5)</f>
        <v>1.5</v>
      </c>
      <c r="L49" s="23" t="s">
        <v>15</v>
      </c>
      <c r="M49" s="238">
        <f>AHS!$L$304</f>
        <v>1747558.5284280938</v>
      </c>
      <c r="N49" s="51">
        <f t="shared" si="8"/>
        <v>2621337.7926421408</v>
      </c>
    </row>
    <row r="50" spans="2:14" ht="15" customHeight="1" x14ac:dyDescent="0.3">
      <c r="B50" s="32" t="s">
        <v>271</v>
      </c>
      <c r="C50" s="34">
        <v>3</v>
      </c>
      <c r="D50" s="23" t="s">
        <v>267</v>
      </c>
      <c r="E50" s="51">
        <f>AHS!$H$361</f>
        <v>67100</v>
      </c>
      <c r="F50" s="51">
        <f t="shared" si="9"/>
        <v>201300</v>
      </c>
      <c r="J50" s="32" t="s">
        <v>137</v>
      </c>
      <c r="K50" s="34">
        <f>(0.9*1.5)</f>
        <v>1.35</v>
      </c>
      <c r="L50" s="23" t="s">
        <v>15</v>
      </c>
      <c r="M50" s="238">
        <f>'HRG BAHAN'!E59</f>
        <v>237000</v>
      </c>
      <c r="N50" s="51">
        <f t="shared" si="8"/>
        <v>319950</v>
      </c>
    </row>
    <row r="51" spans="2:14" ht="15" customHeight="1" x14ac:dyDescent="0.3">
      <c r="B51" s="32" t="s">
        <v>268</v>
      </c>
      <c r="C51" s="34">
        <v>1</v>
      </c>
      <c r="D51" s="23" t="s">
        <v>42</v>
      </c>
      <c r="E51" s="51">
        <f>AHS!$G$394</f>
        <v>328497.5</v>
      </c>
      <c r="F51" s="51">
        <f t="shared" si="9"/>
        <v>328497.5</v>
      </c>
      <c r="J51" s="32" t="s">
        <v>315</v>
      </c>
      <c r="K51" s="34">
        <v>2</v>
      </c>
      <c r="L51" s="23" t="s">
        <v>267</v>
      </c>
      <c r="M51" s="238">
        <f>'HRG BAHAN'!$E$10</f>
        <v>18900</v>
      </c>
      <c r="N51" s="51">
        <f t="shared" ref="N51:N54" si="10">K51*M51</f>
        <v>37800</v>
      </c>
    </row>
    <row r="52" spans="2:14" ht="15" customHeight="1" x14ac:dyDescent="0.3">
      <c r="B52" s="32" t="s">
        <v>269</v>
      </c>
      <c r="C52" s="34">
        <v>2</v>
      </c>
      <c r="D52" s="23" t="s">
        <v>270</v>
      </c>
      <c r="E52" s="51">
        <v>150000</v>
      </c>
      <c r="F52" s="51">
        <f t="shared" si="9"/>
        <v>300000</v>
      </c>
      <c r="J52" s="32" t="s">
        <v>316</v>
      </c>
      <c r="K52" s="34">
        <v>2</v>
      </c>
      <c r="L52" s="23" t="s">
        <v>317</v>
      </c>
      <c r="M52" s="238">
        <f>'HRG BAHAN'!$E$16</f>
        <v>32600</v>
      </c>
      <c r="N52" s="51">
        <f t="shared" si="10"/>
        <v>65200</v>
      </c>
    </row>
    <row r="53" spans="2:14" ht="15" customHeight="1" x14ac:dyDescent="0.3">
      <c r="E53" s="225" t="s">
        <v>12</v>
      </c>
      <c r="F53" s="225">
        <f>SUM(F48:F52)</f>
        <v>7757299.5</v>
      </c>
      <c r="J53" s="32" t="s">
        <v>318</v>
      </c>
      <c r="K53" s="34">
        <v>2</v>
      </c>
      <c r="L53" s="23" t="s">
        <v>267</v>
      </c>
      <c r="M53" s="238">
        <f>'HRG BAHAN'!$E$21</f>
        <v>12000</v>
      </c>
      <c r="N53" s="51">
        <f t="shared" si="10"/>
        <v>24000</v>
      </c>
    </row>
    <row r="54" spans="2:14" ht="15" customHeight="1" x14ac:dyDescent="0.3">
      <c r="E54" s="50" t="s">
        <v>272</v>
      </c>
      <c r="F54" s="50">
        <f>F53*1.15</f>
        <v>8920894.4249999989</v>
      </c>
      <c r="J54" s="32" t="s">
        <v>269</v>
      </c>
      <c r="K54" s="34">
        <v>2</v>
      </c>
      <c r="L54" s="23" t="s">
        <v>270</v>
      </c>
      <c r="M54" s="241">
        <v>125000</v>
      </c>
      <c r="N54" s="224">
        <f t="shared" si="10"/>
        <v>250000</v>
      </c>
    </row>
    <row r="55" spans="2:14" ht="15" customHeight="1" x14ac:dyDescent="0.3">
      <c r="K55" s="34"/>
      <c r="L55" s="23"/>
      <c r="M55" s="238" t="s">
        <v>12</v>
      </c>
      <c r="N55" s="51">
        <f>SUM(N49:N54)</f>
        <v>3318287.7926421408</v>
      </c>
    </row>
    <row r="56" spans="2:14" ht="15" customHeight="1" x14ac:dyDescent="0.3">
      <c r="K56" s="34"/>
      <c r="L56" s="23"/>
      <c r="M56" s="231" t="s">
        <v>272</v>
      </c>
      <c r="N56" s="50">
        <f>N55*1.15</f>
        <v>3816030.9615384615</v>
      </c>
    </row>
    <row r="59" spans="2:14" ht="15" customHeight="1" x14ac:dyDescent="0.3">
      <c r="B59" s="39" t="s">
        <v>116</v>
      </c>
      <c r="C59" s="36">
        <f>1.7*2.4</f>
        <v>4.08</v>
      </c>
      <c r="D59" s="23" t="s">
        <v>15</v>
      </c>
      <c r="J59" s="39" t="s">
        <v>319</v>
      </c>
      <c r="K59" s="36">
        <f>2.15*1.2</f>
        <v>2.5799999999999996</v>
      </c>
      <c r="L59" s="23" t="s">
        <v>15</v>
      </c>
    </row>
    <row r="60" spans="2:14" ht="15" customHeight="1" x14ac:dyDescent="0.3">
      <c r="B60" s="40" t="s">
        <v>115</v>
      </c>
      <c r="C60" s="41"/>
      <c r="D60" s="42" t="s">
        <v>113</v>
      </c>
      <c r="E60" s="226"/>
      <c r="F60" s="226"/>
      <c r="J60" s="40" t="s">
        <v>320</v>
      </c>
      <c r="K60" s="41"/>
      <c r="L60" s="42" t="s">
        <v>132</v>
      </c>
    </row>
    <row r="61" spans="2:14" ht="15" customHeight="1" x14ac:dyDescent="0.3">
      <c r="K61" s="34"/>
      <c r="L61" s="23"/>
    </row>
    <row r="62" spans="2:14" ht="15" customHeight="1" x14ac:dyDescent="0.3">
      <c r="B62" s="32" t="s">
        <v>105</v>
      </c>
      <c r="C62" s="34">
        <f>(2.4+2.4)+1.7</f>
        <v>6.5</v>
      </c>
      <c r="D62" s="23" t="s">
        <v>107</v>
      </c>
      <c r="E62" s="51">
        <f>AHS!$H$322</f>
        <v>183500</v>
      </c>
      <c r="F62" s="51">
        <f>C62*E62</f>
        <v>1192750</v>
      </c>
      <c r="J62" s="32" t="s">
        <v>105</v>
      </c>
      <c r="K62" s="34">
        <f>(2.15*2)+(1.2*4)</f>
        <v>9.1</v>
      </c>
      <c r="L62" s="23" t="s">
        <v>107</v>
      </c>
      <c r="M62" s="51">
        <f>AHS!$H$322</f>
        <v>183500</v>
      </c>
      <c r="N62" s="51">
        <f t="shared" ref="N62:N68" si="11">K62*M62</f>
        <v>1669850</v>
      </c>
    </row>
    <row r="63" spans="2:14" ht="15" customHeight="1" x14ac:dyDescent="0.3">
      <c r="B63" s="32" t="s">
        <v>108</v>
      </c>
      <c r="C63" s="34">
        <f>2*(0.8*2.35)</f>
        <v>3.7600000000000002</v>
      </c>
      <c r="D63" s="23" t="s">
        <v>15</v>
      </c>
      <c r="E63" s="51">
        <f>AHS!$H$266</f>
        <v>1525200</v>
      </c>
      <c r="F63" s="51">
        <f t="shared" ref="F63:F66" si="12">C63*E63</f>
        <v>5734752</v>
      </c>
      <c r="J63" s="32" t="s">
        <v>129</v>
      </c>
      <c r="K63" s="34">
        <f>2*(0.5*1.1)</f>
        <v>1.1000000000000001</v>
      </c>
      <c r="L63" s="23" t="s">
        <v>15</v>
      </c>
      <c r="M63" s="238">
        <f>AHS!$L$304</f>
        <v>1747558.5284280938</v>
      </c>
      <c r="N63" s="51">
        <f t="shared" si="11"/>
        <v>1922314.3812709034</v>
      </c>
    </row>
    <row r="64" spans="2:14" ht="15" customHeight="1" x14ac:dyDescent="0.3">
      <c r="B64" s="32" t="s">
        <v>271</v>
      </c>
      <c r="C64" s="34">
        <v>3</v>
      </c>
      <c r="D64" s="23" t="s">
        <v>267</v>
      </c>
      <c r="E64" s="51">
        <f>AHS!$H$361</f>
        <v>67100</v>
      </c>
      <c r="F64" s="51">
        <f t="shared" si="12"/>
        <v>201300</v>
      </c>
      <c r="J64" s="32" t="s">
        <v>137</v>
      </c>
      <c r="K64" s="34">
        <f>(0.9*1.1)</f>
        <v>0.9900000000000001</v>
      </c>
      <c r="L64" s="23" t="s">
        <v>15</v>
      </c>
      <c r="M64" s="238">
        <f>'HRG BAHAN'!$E$59</f>
        <v>237000</v>
      </c>
      <c r="N64" s="51">
        <f t="shared" si="11"/>
        <v>234630.00000000003</v>
      </c>
    </row>
    <row r="65" spans="2:14" ht="15" customHeight="1" x14ac:dyDescent="0.3">
      <c r="B65" s="32" t="s">
        <v>268</v>
      </c>
      <c r="C65" s="34">
        <v>1</v>
      </c>
      <c r="D65" s="23" t="s">
        <v>42</v>
      </c>
      <c r="E65" s="51">
        <f>AHS!$G$394</f>
        <v>328497.5</v>
      </c>
      <c r="F65" s="51">
        <f t="shared" si="12"/>
        <v>328497.5</v>
      </c>
      <c r="J65" s="32" t="s">
        <v>315</v>
      </c>
      <c r="K65" s="34">
        <v>2</v>
      </c>
      <c r="L65" s="23" t="s">
        <v>267</v>
      </c>
      <c r="M65" s="238">
        <f>'HRG BAHAN'!$E$10</f>
        <v>18900</v>
      </c>
      <c r="N65" s="51">
        <f t="shared" si="11"/>
        <v>37800</v>
      </c>
    </row>
    <row r="66" spans="2:14" ht="15" customHeight="1" x14ac:dyDescent="0.3">
      <c r="B66" s="32" t="s">
        <v>269</v>
      </c>
      <c r="C66" s="34">
        <v>2</v>
      </c>
      <c r="D66" s="23" t="s">
        <v>270</v>
      </c>
      <c r="E66" s="51">
        <v>150000</v>
      </c>
      <c r="F66" s="51">
        <f t="shared" si="12"/>
        <v>300000</v>
      </c>
      <c r="J66" s="32" t="s">
        <v>316</v>
      </c>
      <c r="K66" s="34">
        <v>2</v>
      </c>
      <c r="L66" s="23" t="s">
        <v>317</v>
      </c>
      <c r="M66" s="238">
        <f>'HRG BAHAN'!$E$16</f>
        <v>32600</v>
      </c>
      <c r="N66" s="51">
        <f t="shared" si="11"/>
        <v>65200</v>
      </c>
    </row>
    <row r="67" spans="2:14" ht="15" customHeight="1" x14ac:dyDescent="0.3">
      <c r="E67" s="225" t="s">
        <v>12</v>
      </c>
      <c r="F67" s="225">
        <f>SUM(F62:F66)</f>
        <v>7757299.5</v>
      </c>
      <c r="J67" s="32" t="s">
        <v>318</v>
      </c>
      <c r="K67" s="34">
        <v>2</v>
      </c>
      <c r="L67" s="23" t="s">
        <v>267</v>
      </c>
      <c r="M67" s="238">
        <f>'HRG BAHAN'!$E$21</f>
        <v>12000</v>
      </c>
      <c r="N67" s="51">
        <f t="shared" si="11"/>
        <v>24000</v>
      </c>
    </row>
    <row r="68" spans="2:14" ht="15" customHeight="1" x14ac:dyDescent="0.3">
      <c r="E68" s="50" t="s">
        <v>272</v>
      </c>
      <c r="F68" s="50">
        <f>F67*1.15</f>
        <v>8920894.4249999989</v>
      </c>
      <c r="J68" s="32" t="s">
        <v>269</v>
      </c>
      <c r="K68" s="34">
        <v>2</v>
      </c>
      <c r="L68" s="23" t="s">
        <v>270</v>
      </c>
      <c r="M68" s="241">
        <v>125000</v>
      </c>
      <c r="N68" s="224">
        <f t="shared" si="11"/>
        <v>250000</v>
      </c>
    </row>
    <row r="69" spans="2:14" ht="15" customHeight="1" x14ac:dyDescent="0.3">
      <c r="K69" s="34"/>
      <c r="L69" s="23"/>
      <c r="M69" s="238" t="s">
        <v>12</v>
      </c>
      <c r="N69" s="51">
        <f>SUM(N63:N68)</f>
        <v>2533944.3812709036</v>
      </c>
    </row>
    <row r="70" spans="2:14" ht="15" customHeight="1" x14ac:dyDescent="0.3">
      <c r="B70" s="39" t="s">
        <v>117</v>
      </c>
      <c r="C70" s="36">
        <f>1.6*2.4</f>
        <v>3.84</v>
      </c>
      <c r="D70" s="23" t="s">
        <v>15</v>
      </c>
      <c r="K70" s="34"/>
      <c r="L70" s="23"/>
      <c r="M70" s="231" t="s">
        <v>272</v>
      </c>
      <c r="N70" s="50">
        <f>N69*1.15</f>
        <v>2914036.038461539</v>
      </c>
    </row>
    <row r="71" spans="2:14" ht="15" customHeight="1" x14ac:dyDescent="0.3">
      <c r="B71" s="40" t="s">
        <v>119</v>
      </c>
      <c r="C71" s="41"/>
      <c r="D71" s="42" t="s">
        <v>118</v>
      </c>
      <c r="E71" s="226"/>
      <c r="F71" s="226"/>
    </row>
    <row r="72" spans="2:14" ht="15" customHeight="1" x14ac:dyDescent="0.3">
      <c r="J72" s="39" t="s">
        <v>138</v>
      </c>
      <c r="K72" s="36">
        <f>2.15*2.25</f>
        <v>4.8374999999999995</v>
      </c>
      <c r="L72" s="23" t="s">
        <v>15</v>
      </c>
    </row>
    <row r="73" spans="2:14" ht="15" customHeight="1" x14ac:dyDescent="0.3">
      <c r="B73" s="32" t="s">
        <v>105</v>
      </c>
      <c r="C73" s="34">
        <f>(2.4+2.4)+1.6</f>
        <v>6.4</v>
      </c>
      <c r="D73" s="23" t="s">
        <v>107</v>
      </c>
      <c r="E73" s="51">
        <f>AHS!$H$322</f>
        <v>183500</v>
      </c>
      <c r="F73" s="51">
        <f>C73*E73</f>
        <v>1174400</v>
      </c>
      <c r="J73" s="40" t="s">
        <v>139</v>
      </c>
      <c r="K73" s="41"/>
      <c r="L73" s="42" t="s">
        <v>132</v>
      </c>
    </row>
    <row r="74" spans="2:14" ht="15" customHeight="1" x14ac:dyDescent="0.3">
      <c r="B74" s="32" t="s">
        <v>108</v>
      </c>
      <c r="C74" s="34">
        <f>2*(0.8*2.35)</f>
        <v>3.7600000000000002</v>
      </c>
      <c r="D74" s="23" t="s">
        <v>15</v>
      </c>
      <c r="E74" s="51">
        <f>AHS!$H$266</f>
        <v>1525200</v>
      </c>
      <c r="F74" s="51">
        <f t="shared" ref="F74:F78" si="13">C74*E74</f>
        <v>5734752</v>
      </c>
      <c r="K74" s="34"/>
      <c r="L74" s="23"/>
    </row>
    <row r="75" spans="2:14" ht="15" customHeight="1" x14ac:dyDescent="0.3">
      <c r="B75" s="32" t="s">
        <v>307</v>
      </c>
      <c r="C75" s="34">
        <v>2</v>
      </c>
      <c r="D75" s="23" t="s">
        <v>267</v>
      </c>
      <c r="E75" s="51">
        <f>AHS!$G$412</f>
        <v>403190</v>
      </c>
      <c r="F75" s="51">
        <f t="shared" si="13"/>
        <v>806380</v>
      </c>
      <c r="J75" s="32" t="s">
        <v>105</v>
      </c>
      <c r="K75" s="34">
        <f>(2.15*3)+(1.6*2)+(2.25*2)</f>
        <v>14.149999999999999</v>
      </c>
      <c r="L75" s="23" t="s">
        <v>107</v>
      </c>
      <c r="M75" s="51">
        <f>AHS!$H$322</f>
        <v>183500</v>
      </c>
      <c r="N75" s="51">
        <f t="shared" ref="N75:N77" si="14">K75*M75</f>
        <v>2596524.9999999995</v>
      </c>
    </row>
    <row r="76" spans="2:14" ht="15" customHeight="1" x14ac:dyDescent="0.3">
      <c r="B76" s="32" t="s">
        <v>308</v>
      </c>
      <c r="C76" s="34">
        <v>2</v>
      </c>
      <c r="D76" s="23" t="s">
        <v>267</v>
      </c>
      <c r="E76" s="51">
        <f>AHS!$G$394</f>
        <v>328497.5</v>
      </c>
      <c r="F76" s="51">
        <f t="shared" si="13"/>
        <v>656995</v>
      </c>
      <c r="J76" s="32" t="s">
        <v>129</v>
      </c>
      <c r="K76" s="34">
        <f>2*(0.5*1.5)</f>
        <v>1.5</v>
      </c>
      <c r="L76" s="23" t="s">
        <v>15</v>
      </c>
      <c r="M76" s="238">
        <f>AHS!$L$304</f>
        <v>1747558.5284280938</v>
      </c>
      <c r="N76" s="51">
        <f t="shared" si="14"/>
        <v>2621337.7926421408</v>
      </c>
    </row>
    <row r="77" spans="2:14" ht="15" customHeight="1" x14ac:dyDescent="0.3">
      <c r="B77" s="32" t="s">
        <v>309</v>
      </c>
      <c r="C77" s="34">
        <v>1</v>
      </c>
      <c r="D77" s="23" t="s">
        <v>42</v>
      </c>
      <c r="F77" s="51">
        <f t="shared" si="13"/>
        <v>0</v>
      </c>
      <c r="J77" s="32" t="s">
        <v>137</v>
      </c>
      <c r="K77" s="34">
        <f>(0.9*1.5)+(2.05*0.55)</f>
        <v>2.4775</v>
      </c>
      <c r="L77" s="23" t="s">
        <v>15</v>
      </c>
      <c r="M77" s="238">
        <f>'HRG BAHAN'!$E$59</f>
        <v>237000</v>
      </c>
      <c r="N77" s="51">
        <f t="shared" si="14"/>
        <v>587167.5</v>
      </c>
    </row>
    <row r="78" spans="2:14" ht="15" customHeight="1" x14ac:dyDescent="0.3">
      <c r="B78" s="32" t="s">
        <v>269</v>
      </c>
      <c r="C78" s="34">
        <v>2</v>
      </c>
      <c r="D78" s="23" t="s">
        <v>270</v>
      </c>
      <c r="E78" s="51">
        <v>150000</v>
      </c>
      <c r="F78" s="51">
        <f t="shared" si="13"/>
        <v>300000</v>
      </c>
      <c r="K78" s="34"/>
      <c r="L78" s="23"/>
      <c r="M78" s="381" t="s">
        <v>12</v>
      </c>
      <c r="N78" s="225">
        <f>SUM(N72:N77)</f>
        <v>5805030.2926421408</v>
      </c>
    </row>
    <row r="79" spans="2:14" ht="15" customHeight="1" x14ac:dyDescent="0.3">
      <c r="E79" s="225" t="s">
        <v>12</v>
      </c>
      <c r="F79" s="225">
        <f>SUM(F73:F78)</f>
        <v>8672527</v>
      </c>
      <c r="K79" s="34"/>
      <c r="L79" s="23"/>
      <c r="M79" s="231" t="s">
        <v>272</v>
      </c>
      <c r="N79" s="50">
        <f>N78*1.15</f>
        <v>6675784.836538461</v>
      </c>
    </row>
    <row r="80" spans="2:14" ht="15" customHeight="1" x14ac:dyDescent="0.3">
      <c r="E80" s="50" t="s">
        <v>272</v>
      </c>
      <c r="F80" s="50">
        <f>F79*1.15</f>
        <v>9973406.0499999989</v>
      </c>
      <c r="K80" s="34"/>
      <c r="L80" s="23"/>
    </row>
    <row r="81" spans="2:14" ht="15" customHeight="1" x14ac:dyDescent="0.3">
      <c r="K81" s="34"/>
      <c r="L81" s="23"/>
    </row>
    <row r="82" spans="2:14" ht="15" customHeight="1" x14ac:dyDescent="0.3">
      <c r="K82" s="34"/>
      <c r="L82" s="23"/>
    </row>
    <row r="84" spans="2:14" ht="15" customHeight="1" x14ac:dyDescent="0.3">
      <c r="B84" s="39" t="s">
        <v>120</v>
      </c>
      <c r="C84" s="36">
        <f>1.55*2.4</f>
        <v>3.7199999999999998</v>
      </c>
      <c r="D84" s="23" t="s">
        <v>15</v>
      </c>
      <c r="J84" s="39" t="s">
        <v>140</v>
      </c>
      <c r="K84" s="36">
        <f>5.1*4</f>
        <v>20.399999999999999</v>
      </c>
      <c r="L84" s="23" t="s">
        <v>15</v>
      </c>
    </row>
    <row r="85" spans="2:14" ht="15" customHeight="1" x14ac:dyDescent="0.3">
      <c r="B85" s="40" t="s">
        <v>121</v>
      </c>
      <c r="C85" s="41"/>
      <c r="D85" s="42" t="s">
        <v>122</v>
      </c>
      <c r="J85" s="40" t="s">
        <v>141</v>
      </c>
      <c r="K85" s="41"/>
      <c r="L85" s="42" t="s">
        <v>142</v>
      </c>
      <c r="M85" s="238" t="s">
        <v>143</v>
      </c>
    </row>
    <row r="86" spans="2:14" ht="15" customHeight="1" x14ac:dyDescent="0.3">
      <c r="K86" s="34"/>
      <c r="L86" s="23"/>
    </row>
    <row r="87" spans="2:14" ht="15" customHeight="1" x14ac:dyDescent="0.3">
      <c r="B87" s="32" t="s">
        <v>105</v>
      </c>
      <c r="C87" s="34">
        <f>(2.4+2.4)+1.65</f>
        <v>6.4499999999999993</v>
      </c>
      <c r="D87" s="23" t="s">
        <v>107</v>
      </c>
      <c r="E87" s="51">
        <f>AHS!$H$322</f>
        <v>183500</v>
      </c>
      <c r="F87" s="51">
        <f>C87*E87</f>
        <v>1183574.9999999998</v>
      </c>
      <c r="J87" s="32" t="s">
        <v>105</v>
      </c>
      <c r="K87" s="34">
        <f>(5.1*3)+(4*6)</f>
        <v>39.299999999999997</v>
      </c>
      <c r="L87" s="23" t="s">
        <v>107</v>
      </c>
      <c r="M87" s="51">
        <f>AHS!$H$322</f>
        <v>183500</v>
      </c>
      <c r="N87" s="51">
        <f t="shared" ref="N87:N88" si="15">K87*M87</f>
        <v>7211549.9999999991</v>
      </c>
    </row>
    <row r="88" spans="2:14" ht="15" customHeight="1" x14ac:dyDescent="0.3">
      <c r="B88" s="32" t="s">
        <v>108</v>
      </c>
      <c r="C88" s="34">
        <f>(1.55*2.35)</f>
        <v>3.6425000000000001</v>
      </c>
      <c r="D88" s="23" t="s">
        <v>15</v>
      </c>
      <c r="E88" s="51">
        <f>AHS!$H$266</f>
        <v>1525200</v>
      </c>
      <c r="F88" s="51">
        <f t="shared" ref="F88:F91" si="16">C88*E88</f>
        <v>5555541</v>
      </c>
      <c r="J88" s="32" t="s">
        <v>137</v>
      </c>
      <c r="K88" s="34">
        <f>(0.95*1.95)</f>
        <v>1.8524999999999998</v>
      </c>
      <c r="L88" s="23" t="s">
        <v>15</v>
      </c>
      <c r="M88" s="238">
        <f>'HRG BAHAN'!$E$59</f>
        <v>237000</v>
      </c>
      <c r="N88" s="51">
        <f t="shared" si="15"/>
        <v>439042.49999999994</v>
      </c>
    </row>
    <row r="89" spans="2:14" ht="15" customHeight="1" x14ac:dyDescent="0.3">
      <c r="B89" s="32" t="s">
        <v>307</v>
      </c>
      <c r="C89" s="34">
        <v>1</v>
      </c>
      <c r="D89" s="23" t="s">
        <v>267</v>
      </c>
      <c r="E89" s="51">
        <f>AHS!$G$412</f>
        <v>403190</v>
      </c>
      <c r="F89" s="51">
        <f t="shared" si="16"/>
        <v>403190</v>
      </c>
      <c r="K89" s="34"/>
      <c r="L89" s="23"/>
      <c r="M89" s="381" t="s">
        <v>12</v>
      </c>
      <c r="N89" s="225">
        <f>SUM(N83:N88)</f>
        <v>7650592.4999999991</v>
      </c>
    </row>
    <row r="90" spans="2:14" ht="15" customHeight="1" x14ac:dyDescent="0.3">
      <c r="B90" s="32" t="s">
        <v>308</v>
      </c>
      <c r="C90" s="34">
        <v>1</v>
      </c>
      <c r="D90" s="23" t="s">
        <v>267</v>
      </c>
      <c r="E90" s="51">
        <f>AHS!$G$394</f>
        <v>328497.5</v>
      </c>
      <c r="F90" s="51">
        <f t="shared" si="16"/>
        <v>328497.5</v>
      </c>
      <c r="K90" s="34"/>
      <c r="L90" s="23"/>
      <c r="M90" s="231" t="s">
        <v>272</v>
      </c>
      <c r="N90" s="50">
        <f>N89*1.15</f>
        <v>8798181.3749999981</v>
      </c>
    </row>
    <row r="91" spans="2:14" ht="15" customHeight="1" x14ac:dyDescent="0.3">
      <c r="B91" s="32" t="s">
        <v>309</v>
      </c>
      <c r="C91" s="34">
        <v>1</v>
      </c>
      <c r="D91" s="23" t="s">
        <v>42</v>
      </c>
      <c r="F91" s="51">
        <f t="shared" si="16"/>
        <v>0</v>
      </c>
      <c r="K91" s="34"/>
      <c r="L91" s="23"/>
    </row>
    <row r="92" spans="2:14" ht="15" customHeight="1" x14ac:dyDescent="0.3">
      <c r="B92" s="32" t="s">
        <v>269</v>
      </c>
      <c r="C92" s="34">
        <v>1</v>
      </c>
      <c r="D92" s="23" t="s">
        <v>270</v>
      </c>
      <c r="E92" s="51">
        <v>150000</v>
      </c>
      <c r="F92" s="51">
        <f t="shared" ref="F92" si="17">C92*E92</f>
        <v>150000</v>
      </c>
      <c r="K92" s="34"/>
      <c r="L92" s="23"/>
    </row>
    <row r="93" spans="2:14" ht="15" customHeight="1" x14ac:dyDescent="0.3">
      <c r="E93" s="225" t="s">
        <v>12</v>
      </c>
      <c r="F93" s="225">
        <f>SUM(F87:F92)</f>
        <v>7620803.5</v>
      </c>
    </row>
    <row r="94" spans="2:14" ht="15" customHeight="1" x14ac:dyDescent="0.3">
      <c r="E94" s="50" t="s">
        <v>272</v>
      </c>
      <c r="F94" s="50">
        <f>F93*1.15</f>
        <v>8763924.0249999985</v>
      </c>
    </row>
    <row r="95" spans="2:14" ht="15" customHeight="1" x14ac:dyDescent="0.3">
      <c r="J95" s="39" t="s">
        <v>144</v>
      </c>
      <c r="K95" s="36">
        <f>1.5*2.65</f>
        <v>3.9749999999999996</v>
      </c>
      <c r="L95" s="23" t="s">
        <v>15</v>
      </c>
    </row>
    <row r="96" spans="2:14" ht="15" customHeight="1" x14ac:dyDescent="0.3">
      <c r="J96" s="40" t="s">
        <v>145</v>
      </c>
      <c r="K96" s="41"/>
      <c r="L96" s="42" t="s">
        <v>142</v>
      </c>
    </row>
    <row r="97" spans="2:14" ht="15" customHeight="1" x14ac:dyDescent="0.3">
      <c r="B97" s="39" t="s">
        <v>123</v>
      </c>
      <c r="C97" s="36">
        <f>0.95*2.4</f>
        <v>2.2799999999999998</v>
      </c>
      <c r="D97" s="23" t="s">
        <v>15</v>
      </c>
      <c r="K97" s="34"/>
      <c r="L97" s="23"/>
    </row>
    <row r="98" spans="2:14" ht="15" customHeight="1" x14ac:dyDescent="0.3">
      <c r="B98" s="40" t="s">
        <v>104</v>
      </c>
      <c r="C98" s="41"/>
      <c r="D98" s="42" t="s">
        <v>122</v>
      </c>
      <c r="J98" s="32" t="s">
        <v>105</v>
      </c>
      <c r="K98" s="34">
        <f>(1.5*2)+(2.65*2)</f>
        <v>8.3000000000000007</v>
      </c>
      <c r="L98" s="23" t="s">
        <v>107</v>
      </c>
      <c r="M98" s="51">
        <f>AHS!$H$322</f>
        <v>183500</v>
      </c>
      <c r="N98" s="51">
        <f t="shared" ref="N98:N99" si="18">K98*M98</f>
        <v>1523050.0000000002</v>
      </c>
    </row>
    <row r="99" spans="2:14" ht="15" customHeight="1" x14ac:dyDescent="0.3">
      <c r="J99" s="32" t="s">
        <v>137</v>
      </c>
      <c r="K99" s="34">
        <f>(1.4*2.55)</f>
        <v>3.5699999999999994</v>
      </c>
      <c r="L99" s="23" t="s">
        <v>15</v>
      </c>
      <c r="M99" s="238">
        <f>'HRG BAHAN'!$E$59</f>
        <v>237000</v>
      </c>
      <c r="N99" s="51">
        <f t="shared" si="18"/>
        <v>846089.99999999988</v>
      </c>
    </row>
    <row r="100" spans="2:14" ht="15" customHeight="1" x14ac:dyDescent="0.3">
      <c r="B100" s="32" t="s">
        <v>105</v>
      </c>
      <c r="C100" s="34">
        <f>(2.4+2.4)+0.95</f>
        <v>5.75</v>
      </c>
      <c r="D100" s="23" t="s">
        <v>107</v>
      </c>
      <c r="E100" s="51">
        <f>AHS!$H$322</f>
        <v>183500</v>
      </c>
      <c r="F100" s="51">
        <f>C100*E100</f>
        <v>1055125</v>
      </c>
      <c r="K100" s="34"/>
      <c r="L100" s="23"/>
      <c r="M100" s="381" t="s">
        <v>12</v>
      </c>
      <c r="N100" s="225">
        <f>SUM(N94:N99)</f>
        <v>2369140</v>
      </c>
    </row>
    <row r="101" spans="2:14" ht="15" customHeight="1" x14ac:dyDescent="0.3">
      <c r="B101" s="32" t="s">
        <v>108</v>
      </c>
      <c r="C101" s="34">
        <f>(0.9*2.35)</f>
        <v>2.1150000000000002</v>
      </c>
      <c r="D101" s="23" t="s">
        <v>15</v>
      </c>
      <c r="E101" s="51">
        <f>AHS!$H$266</f>
        <v>1525200</v>
      </c>
      <c r="F101" s="51">
        <f t="shared" ref="F101:F104" si="19">C101*E101</f>
        <v>3225798.0000000005</v>
      </c>
      <c r="K101" s="34"/>
      <c r="L101" s="23"/>
      <c r="M101" s="231" t="s">
        <v>272</v>
      </c>
      <c r="N101" s="50">
        <f>N100*1.15</f>
        <v>2724511</v>
      </c>
    </row>
    <row r="102" spans="2:14" ht="15" customHeight="1" x14ac:dyDescent="0.3">
      <c r="B102" s="32" t="s">
        <v>307</v>
      </c>
      <c r="C102" s="34">
        <v>1</v>
      </c>
      <c r="D102" s="23" t="s">
        <v>267</v>
      </c>
      <c r="E102" s="51">
        <f>AHS!$G$412</f>
        <v>403190</v>
      </c>
      <c r="F102" s="51">
        <f t="shared" si="19"/>
        <v>403190</v>
      </c>
      <c r="K102" s="34"/>
      <c r="L102" s="23"/>
    </row>
    <row r="103" spans="2:14" ht="15" customHeight="1" x14ac:dyDescent="0.3">
      <c r="B103" s="32" t="s">
        <v>308</v>
      </c>
      <c r="C103" s="34">
        <v>1</v>
      </c>
      <c r="D103" s="23" t="s">
        <v>267</v>
      </c>
      <c r="E103" s="51">
        <f>AHS!$G$394</f>
        <v>328497.5</v>
      </c>
      <c r="F103" s="51">
        <f t="shared" si="19"/>
        <v>328497.5</v>
      </c>
    </row>
    <row r="104" spans="2:14" ht="15" customHeight="1" x14ac:dyDescent="0.3">
      <c r="B104" s="32" t="s">
        <v>309</v>
      </c>
      <c r="C104" s="34">
        <v>1</v>
      </c>
      <c r="D104" s="23" t="s">
        <v>42</v>
      </c>
      <c r="F104" s="51">
        <f t="shared" si="19"/>
        <v>0</v>
      </c>
    </row>
    <row r="105" spans="2:14" ht="15" customHeight="1" x14ac:dyDescent="0.3">
      <c r="B105" s="32" t="s">
        <v>269</v>
      </c>
      <c r="C105" s="34">
        <v>1</v>
      </c>
      <c r="D105" s="23" t="s">
        <v>270</v>
      </c>
      <c r="E105" s="51">
        <v>150000</v>
      </c>
      <c r="F105" s="51">
        <f t="shared" ref="F105" si="20">C105*E105</f>
        <v>150000</v>
      </c>
      <c r="J105" s="39" t="s">
        <v>146</v>
      </c>
      <c r="K105" s="36">
        <f>2.95*2.65</f>
        <v>7.8174999999999999</v>
      </c>
      <c r="L105" s="23" t="s">
        <v>15</v>
      </c>
    </row>
    <row r="106" spans="2:14" ht="15" customHeight="1" x14ac:dyDescent="0.3">
      <c r="E106" s="225" t="s">
        <v>12</v>
      </c>
      <c r="F106" s="225">
        <f>SUM(F100:F105)</f>
        <v>5162610.5</v>
      </c>
      <c r="J106" s="40" t="s">
        <v>147</v>
      </c>
      <c r="K106" s="41"/>
      <c r="L106" s="42" t="s">
        <v>142</v>
      </c>
    </row>
    <row r="107" spans="2:14" ht="15" customHeight="1" x14ac:dyDescent="0.3">
      <c r="E107" s="50" t="s">
        <v>272</v>
      </c>
      <c r="F107" s="50">
        <f>F106*1.15</f>
        <v>5937002.0749999993</v>
      </c>
      <c r="K107" s="34"/>
      <c r="L107" s="23"/>
    </row>
    <row r="108" spans="2:14" ht="15" customHeight="1" x14ac:dyDescent="0.3">
      <c r="J108" s="32" t="s">
        <v>105</v>
      </c>
      <c r="K108" s="34">
        <f>(2.95*2)+(2.65*3)</f>
        <v>13.85</v>
      </c>
      <c r="L108" s="23" t="s">
        <v>107</v>
      </c>
      <c r="M108" s="51">
        <f>AHS!$H$322</f>
        <v>183500</v>
      </c>
      <c r="N108" s="51">
        <f t="shared" ref="N108:N109" si="21">K108*M108</f>
        <v>2541475</v>
      </c>
    </row>
    <row r="109" spans="2:14" ht="15" customHeight="1" x14ac:dyDescent="0.3">
      <c r="J109" s="32" t="s">
        <v>137</v>
      </c>
      <c r="K109" s="34">
        <f>(1.4*2.55)*2</f>
        <v>7.1399999999999988</v>
      </c>
      <c r="L109" s="23" t="s">
        <v>15</v>
      </c>
      <c r="M109" s="238">
        <f>'HRG BAHAN'!$E$59</f>
        <v>237000</v>
      </c>
      <c r="N109" s="51">
        <f t="shared" si="21"/>
        <v>1692179.9999999998</v>
      </c>
    </row>
    <row r="110" spans="2:14" ht="15" customHeight="1" x14ac:dyDescent="0.3">
      <c r="B110" s="39" t="s">
        <v>124</v>
      </c>
      <c r="C110" s="36">
        <f>1*2.4</f>
        <v>2.4</v>
      </c>
      <c r="D110" s="23" t="s">
        <v>15</v>
      </c>
      <c r="M110" s="381" t="s">
        <v>12</v>
      </c>
      <c r="N110" s="225">
        <f>SUM(N104:N109)</f>
        <v>4233655</v>
      </c>
    </row>
    <row r="111" spans="2:14" ht="15" customHeight="1" x14ac:dyDescent="0.3">
      <c r="B111" s="40" t="s">
        <v>110</v>
      </c>
      <c r="C111" s="41"/>
      <c r="D111" s="42" t="s">
        <v>122</v>
      </c>
      <c r="M111" s="231" t="s">
        <v>272</v>
      </c>
      <c r="N111" s="50">
        <f>N110*1.15</f>
        <v>4868703.25</v>
      </c>
    </row>
    <row r="113" spans="2:14" ht="15" customHeight="1" x14ac:dyDescent="0.3">
      <c r="B113" s="32" t="s">
        <v>105</v>
      </c>
      <c r="C113" s="34">
        <f>(2.4+2.4)+1</f>
        <v>5.8</v>
      </c>
      <c r="D113" s="23" t="s">
        <v>107</v>
      </c>
      <c r="E113" s="51">
        <f>AHS!$H$322</f>
        <v>183500</v>
      </c>
      <c r="F113" s="51">
        <f>C113*E113</f>
        <v>1064300</v>
      </c>
    </row>
    <row r="114" spans="2:14" ht="15" customHeight="1" x14ac:dyDescent="0.3">
      <c r="B114" s="32" t="s">
        <v>108</v>
      </c>
      <c r="C114" s="34">
        <f>(0.95*2.35)</f>
        <v>2.2324999999999999</v>
      </c>
      <c r="D114" s="23" t="s">
        <v>15</v>
      </c>
      <c r="E114" s="51">
        <f>AHS!$H$266</f>
        <v>1525200</v>
      </c>
      <c r="F114" s="51">
        <f t="shared" ref="F114:F118" si="22">C114*E114</f>
        <v>3405009</v>
      </c>
    </row>
    <row r="115" spans="2:14" ht="15" customHeight="1" x14ac:dyDescent="0.3">
      <c r="B115" s="32" t="s">
        <v>307</v>
      </c>
      <c r="C115" s="34">
        <v>1</v>
      </c>
      <c r="D115" s="23" t="s">
        <v>267</v>
      </c>
      <c r="E115" s="51">
        <f>AHS!$G$412</f>
        <v>403190</v>
      </c>
      <c r="F115" s="51">
        <f t="shared" si="22"/>
        <v>403190</v>
      </c>
      <c r="J115" s="39" t="s">
        <v>565</v>
      </c>
      <c r="K115" s="36">
        <f>0.9*1.3</f>
        <v>1.1700000000000002</v>
      </c>
      <c r="L115" s="23" t="s">
        <v>15</v>
      </c>
    </row>
    <row r="116" spans="2:14" ht="15" customHeight="1" x14ac:dyDescent="0.3">
      <c r="B116" s="32" t="s">
        <v>308</v>
      </c>
      <c r="C116" s="34">
        <v>1</v>
      </c>
      <c r="D116" s="23" t="s">
        <v>267</v>
      </c>
      <c r="E116" s="51">
        <f>AHS!$G$394</f>
        <v>328497.5</v>
      </c>
      <c r="F116" s="51">
        <f t="shared" si="22"/>
        <v>328497.5</v>
      </c>
      <c r="J116" s="40" t="s">
        <v>566</v>
      </c>
      <c r="K116" s="41"/>
      <c r="L116" s="42" t="s">
        <v>142</v>
      </c>
    </row>
    <row r="117" spans="2:14" ht="15" customHeight="1" x14ac:dyDescent="0.3">
      <c r="B117" s="32" t="s">
        <v>309</v>
      </c>
      <c r="C117" s="34">
        <v>1</v>
      </c>
      <c r="D117" s="23" t="s">
        <v>42</v>
      </c>
      <c r="F117" s="51">
        <f t="shared" si="22"/>
        <v>0</v>
      </c>
      <c r="K117" s="34"/>
      <c r="L117" s="23"/>
    </row>
    <row r="118" spans="2:14" ht="15" customHeight="1" x14ac:dyDescent="0.3">
      <c r="B118" s="32" t="s">
        <v>269</v>
      </c>
      <c r="C118" s="34">
        <v>1</v>
      </c>
      <c r="D118" s="23" t="s">
        <v>270</v>
      </c>
      <c r="E118" s="51">
        <v>150000</v>
      </c>
      <c r="F118" s="51">
        <f t="shared" si="22"/>
        <v>150000</v>
      </c>
      <c r="J118" s="32" t="s">
        <v>105</v>
      </c>
      <c r="K118" s="34">
        <f>(0.9+1.3)*2</f>
        <v>4.4000000000000004</v>
      </c>
      <c r="L118" s="23" t="s">
        <v>107</v>
      </c>
      <c r="M118" s="51">
        <f>AHS!$H$322</f>
        <v>183500</v>
      </c>
      <c r="N118" s="51">
        <f t="shared" ref="N118:N119" si="23">K118*M118</f>
        <v>807400.00000000012</v>
      </c>
    </row>
    <row r="119" spans="2:14" ht="15" customHeight="1" x14ac:dyDescent="0.3">
      <c r="E119" s="225" t="s">
        <v>12</v>
      </c>
      <c r="F119" s="225">
        <f>SUM(F113:F118)</f>
        <v>5350996.5</v>
      </c>
      <c r="J119" s="32" t="s">
        <v>137</v>
      </c>
      <c r="K119" s="34">
        <f>0.9*1.15</f>
        <v>1.0349999999999999</v>
      </c>
      <c r="L119" s="23" t="s">
        <v>15</v>
      </c>
      <c r="M119" s="238">
        <f>'HRG BAHAN'!$E$59</f>
        <v>237000</v>
      </c>
      <c r="N119" s="51">
        <f t="shared" si="23"/>
        <v>245294.99999999997</v>
      </c>
    </row>
    <row r="120" spans="2:14" ht="15" customHeight="1" x14ac:dyDescent="0.3">
      <c r="E120" s="50" t="s">
        <v>272</v>
      </c>
      <c r="F120" s="50">
        <f>F119*1.15</f>
        <v>6153645.9749999996</v>
      </c>
      <c r="M120" s="381" t="s">
        <v>12</v>
      </c>
      <c r="N120" s="225">
        <f>SUM(N114:N119)</f>
        <v>1052695</v>
      </c>
    </row>
    <row r="121" spans="2:14" ht="15" customHeight="1" x14ac:dyDescent="0.3">
      <c r="M121" s="231" t="s">
        <v>272</v>
      </c>
      <c r="N121" s="50">
        <f>N120*1.15</f>
        <v>1210599.25</v>
      </c>
    </row>
    <row r="122" spans="2:14" ht="15" customHeight="1" x14ac:dyDescent="0.3">
      <c r="J122" s="39" t="s">
        <v>567</v>
      </c>
      <c r="K122" s="36">
        <f>2.5*0.7</f>
        <v>1.75</v>
      </c>
      <c r="L122" s="23" t="s">
        <v>15</v>
      </c>
    </row>
    <row r="123" spans="2:14" ht="15" customHeight="1" x14ac:dyDescent="0.3">
      <c r="J123" s="40" t="s">
        <v>568</v>
      </c>
      <c r="K123" s="41"/>
      <c r="L123" s="42" t="s">
        <v>142</v>
      </c>
    </row>
    <row r="124" spans="2:14" ht="15" customHeight="1" x14ac:dyDescent="0.3">
      <c r="K124" s="34"/>
      <c r="L124" s="23"/>
    </row>
    <row r="125" spans="2:14" ht="15" customHeight="1" x14ac:dyDescent="0.3">
      <c r="J125" s="32" t="s">
        <v>105</v>
      </c>
      <c r="K125" s="34">
        <f>(2.5*2)+(0.7*4)</f>
        <v>7.8</v>
      </c>
      <c r="L125" s="23" t="s">
        <v>107</v>
      </c>
      <c r="M125" s="51">
        <f>AHS!$H$322</f>
        <v>183500</v>
      </c>
      <c r="N125" s="51">
        <f t="shared" ref="N125:N126" si="24">K125*M125</f>
        <v>1431300</v>
      </c>
    </row>
    <row r="126" spans="2:14" ht="15" customHeight="1" x14ac:dyDescent="0.3">
      <c r="J126" s="32" t="s">
        <v>137</v>
      </c>
      <c r="K126" s="34">
        <f>2.4*0.6</f>
        <v>1.44</v>
      </c>
      <c r="L126" s="23" t="s">
        <v>15</v>
      </c>
      <c r="M126" s="238">
        <f>'HRG BAHAN'!$E$59</f>
        <v>237000</v>
      </c>
      <c r="N126" s="51">
        <f t="shared" si="24"/>
        <v>341280</v>
      </c>
    </row>
    <row r="127" spans="2:14" ht="15" customHeight="1" x14ac:dyDescent="0.3">
      <c r="M127" s="381" t="s">
        <v>12</v>
      </c>
      <c r="N127" s="225">
        <f>SUM(N121:N126)</f>
        <v>2983179.25</v>
      </c>
    </row>
    <row r="128" spans="2:14" ht="15" customHeight="1" x14ac:dyDescent="0.3">
      <c r="M128" s="231" t="s">
        <v>272</v>
      </c>
      <c r="N128" s="50">
        <f>N127*1.15</f>
        <v>3430656.1374999997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2D1B-0C1B-4274-BE37-BC3FA46147C2}">
  <dimension ref="A2:E69"/>
  <sheetViews>
    <sheetView topLeftCell="A34" workbookViewId="0">
      <selection activeCell="I39" sqref="I39"/>
    </sheetView>
  </sheetViews>
  <sheetFormatPr defaultRowHeight="14.4" x14ac:dyDescent="0.3"/>
  <cols>
    <col min="1" max="1" width="9" style="248" bestFit="1" customWidth="1"/>
    <col min="2" max="2" width="8.88671875" style="248"/>
    <col min="3" max="3" width="31.5546875" style="248" bestFit="1" customWidth="1"/>
    <col min="4" max="4" width="8.88671875" style="248"/>
    <col min="5" max="5" width="15.6640625" style="248" bestFit="1" customWidth="1"/>
  </cols>
  <sheetData>
    <row r="2" spans="1:5" x14ac:dyDescent="0.3">
      <c r="A2" s="242" t="s">
        <v>13</v>
      </c>
      <c r="B2" s="388" t="s">
        <v>353</v>
      </c>
      <c r="C2" s="389"/>
      <c r="D2" s="243"/>
      <c r="E2" s="244"/>
    </row>
    <row r="3" spans="1:5" x14ac:dyDescent="0.3">
      <c r="A3" s="245">
        <v>1</v>
      </c>
      <c r="B3" s="246"/>
      <c r="C3" s="247" t="s">
        <v>354</v>
      </c>
      <c r="D3" s="243" t="s">
        <v>209</v>
      </c>
      <c r="E3" s="244">
        <v>180900</v>
      </c>
    </row>
    <row r="4" spans="1:5" x14ac:dyDescent="0.3">
      <c r="A4" s="245">
        <v>2</v>
      </c>
      <c r="B4" s="246"/>
      <c r="C4" s="247" t="s">
        <v>355</v>
      </c>
      <c r="D4" s="243" t="s">
        <v>209</v>
      </c>
      <c r="E4" s="244">
        <v>117900</v>
      </c>
    </row>
    <row r="5" spans="1:5" x14ac:dyDescent="0.3">
      <c r="A5" s="245">
        <v>3</v>
      </c>
      <c r="B5" s="246"/>
      <c r="C5" s="247" t="s">
        <v>356</v>
      </c>
      <c r="D5" s="243" t="s">
        <v>209</v>
      </c>
      <c r="E5" s="244">
        <v>279000</v>
      </c>
    </row>
    <row r="6" spans="1:5" x14ac:dyDescent="0.3">
      <c r="A6" s="245">
        <v>4</v>
      </c>
      <c r="B6" s="246"/>
      <c r="C6" s="247" t="s">
        <v>357</v>
      </c>
      <c r="D6" s="243" t="s">
        <v>209</v>
      </c>
      <c r="E6" s="244">
        <v>167500</v>
      </c>
    </row>
    <row r="7" spans="1:5" x14ac:dyDescent="0.3">
      <c r="A7" s="245">
        <v>5</v>
      </c>
      <c r="B7" s="246"/>
      <c r="C7" s="247" t="s">
        <v>358</v>
      </c>
      <c r="D7" s="243" t="s">
        <v>209</v>
      </c>
      <c r="E7" s="244">
        <v>81000</v>
      </c>
    </row>
    <row r="8" spans="1:5" x14ac:dyDescent="0.3">
      <c r="A8" s="245">
        <v>6</v>
      </c>
      <c r="B8" s="246"/>
      <c r="C8" s="247" t="s">
        <v>359</v>
      </c>
      <c r="D8" s="243" t="s">
        <v>209</v>
      </c>
      <c r="E8" s="244">
        <v>58500</v>
      </c>
    </row>
    <row r="9" spans="1:5" x14ac:dyDescent="0.3">
      <c r="A9" s="245">
        <v>7</v>
      </c>
      <c r="B9" s="246"/>
      <c r="C9" s="247" t="s">
        <v>360</v>
      </c>
      <c r="D9" s="243" t="s">
        <v>209</v>
      </c>
      <c r="E9" s="244">
        <v>27400</v>
      </c>
    </row>
    <row r="10" spans="1:5" x14ac:dyDescent="0.3">
      <c r="A10" s="245">
        <v>8</v>
      </c>
      <c r="B10" s="246"/>
      <c r="C10" s="247" t="s">
        <v>361</v>
      </c>
      <c r="D10" s="243" t="s">
        <v>209</v>
      </c>
      <c r="E10" s="244">
        <v>18900</v>
      </c>
    </row>
    <row r="11" spans="1:5" x14ac:dyDescent="0.3">
      <c r="A11" s="245">
        <v>9</v>
      </c>
      <c r="B11" s="246"/>
      <c r="C11" s="247" t="s">
        <v>362</v>
      </c>
      <c r="D11" s="243" t="s">
        <v>209</v>
      </c>
      <c r="E11" s="244">
        <v>41700</v>
      </c>
    </row>
    <row r="12" spans="1:5" x14ac:dyDescent="0.3">
      <c r="A12" s="245">
        <v>10</v>
      </c>
      <c r="B12" s="246"/>
      <c r="C12" s="247" t="s">
        <v>363</v>
      </c>
      <c r="D12" s="243" t="s">
        <v>209</v>
      </c>
      <c r="E12" s="244">
        <v>26500</v>
      </c>
    </row>
    <row r="13" spans="1:5" x14ac:dyDescent="0.3">
      <c r="A13" s="245">
        <v>11</v>
      </c>
      <c r="B13" s="246"/>
      <c r="C13" s="247" t="s">
        <v>303</v>
      </c>
      <c r="D13" s="243" t="s">
        <v>209</v>
      </c>
      <c r="E13" s="244">
        <v>31500</v>
      </c>
    </row>
    <row r="14" spans="1:5" x14ac:dyDescent="0.3">
      <c r="A14" s="245">
        <v>12</v>
      </c>
      <c r="B14" s="246"/>
      <c r="C14" s="247" t="s">
        <v>364</v>
      </c>
      <c r="D14" s="243" t="s">
        <v>209</v>
      </c>
      <c r="E14" s="244">
        <v>23700</v>
      </c>
    </row>
    <row r="15" spans="1:5" x14ac:dyDescent="0.3">
      <c r="A15" s="245">
        <v>13</v>
      </c>
      <c r="B15" s="246"/>
      <c r="C15" s="247" t="s">
        <v>365</v>
      </c>
      <c r="D15" s="243" t="s">
        <v>209</v>
      </c>
      <c r="E15" s="244">
        <v>500000</v>
      </c>
    </row>
    <row r="16" spans="1:5" x14ac:dyDescent="0.3">
      <c r="A16" s="245">
        <v>14</v>
      </c>
      <c r="B16" s="246"/>
      <c r="C16" s="247" t="s">
        <v>366</v>
      </c>
      <c r="D16" s="243" t="s">
        <v>209</v>
      </c>
      <c r="E16" s="244">
        <v>32600</v>
      </c>
    </row>
    <row r="17" spans="1:5" x14ac:dyDescent="0.3">
      <c r="A17" s="245">
        <v>15</v>
      </c>
      <c r="B17" s="246"/>
      <c r="C17" s="247" t="s">
        <v>367</v>
      </c>
      <c r="D17" s="243" t="s">
        <v>209</v>
      </c>
      <c r="E17" s="244">
        <v>15000</v>
      </c>
    </row>
    <row r="18" spans="1:5" x14ac:dyDescent="0.3">
      <c r="A18" s="245">
        <v>16</v>
      </c>
      <c r="B18" s="246"/>
      <c r="C18" s="247" t="s">
        <v>368</v>
      </c>
      <c r="D18" s="243" t="s">
        <v>209</v>
      </c>
      <c r="E18" s="244">
        <v>150000</v>
      </c>
    </row>
    <row r="19" spans="1:5" x14ac:dyDescent="0.3">
      <c r="A19" s="245">
        <v>17</v>
      </c>
      <c r="B19" s="246"/>
      <c r="C19" s="247" t="s">
        <v>369</v>
      </c>
      <c r="D19" s="243" t="s">
        <v>209</v>
      </c>
      <c r="E19" s="244">
        <v>140800</v>
      </c>
    </row>
    <row r="20" spans="1:5" x14ac:dyDescent="0.3">
      <c r="A20" s="245">
        <v>18</v>
      </c>
      <c r="B20" s="246"/>
      <c r="C20" s="247" t="s">
        <v>370</v>
      </c>
      <c r="D20" s="243" t="s">
        <v>283</v>
      </c>
      <c r="E20" s="244">
        <v>58500</v>
      </c>
    </row>
    <row r="21" spans="1:5" x14ac:dyDescent="0.3">
      <c r="A21" s="245">
        <v>19</v>
      </c>
      <c r="B21" s="246"/>
      <c r="C21" s="247" t="s">
        <v>371</v>
      </c>
      <c r="D21" s="243" t="s">
        <v>209</v>
      </c>
      <c r="E21" s="244">
        <v>12000</v>
      </c>
    </row>
    <row r="22" spans="1:5" x14ac:dyDescent="0.3">
      <c r="A22" s="245">
        <v>20</v>
      </c>
      <c r="B22" s="246"/>
      <c r="C22" s="247" t="s">
        <v>372</v>
      </c>
      <c r="D22" s="243" t="s">
        <v>209</v>
      </c>
      <c r="E22" s="244">
        <v>14100</v>
      </c>
    </row>
    <row r="23" spans="1:5" x14ac:dyDescent="0.3">
      <c r="A23" s="245">
        <v>21</v>
      </c>
      <c r="B23" s="246"/>
      <c r="C23" s="247" t="s">
        <v>373</v>
      </c>
      <c r="D23" s="243" t="s">
        <v>209</v>
      </c>
      <c r="E23" s="244">
        <v>70000</v>
      </c>
    </row>
    <row r="24" spans="1:5" x14ac:dyDescent="0.3">
      <c r="A24" s="245">
        <v>22</v>
      </c>
      <c r="B24" s="246"/>
      <c r="C24" s="247" t="s">
        <v>374</v>
      </c>
      <c r="D24" s="243" t="s">
        <v>209</v>
      </c>
      <c r="E24" s="244">
        <v>101300</v>
      </c>
    </row>
    <row r="25" spans="1:5" x14ac:dyDescent="0.3">
      <c r="A25" s="245">
        <v>23</v>
      </c>
      <c r="B25" s="246"/>
      <c r="C25" s="247" t="s">
        <v>375</v>
      </c>
      <c r="D25" s="243" t="s">
        <v>209</v>
      </c>
      <c r="E25" s="244">
        <v>65800</v>
      </c>
    </row>
    <row r="26" spans="1:5" x14ac:dyDescent="0.3">
      <c r="A26" s="245">
        <v>24</v>
      </c>
      <c r="B26" s="246"/>
      <c r="C26" s="247" t="s">
        <v>376</v>
      </c>
      <c r="D26" s="243" t="s">
        <v>209</v>
      </c>
      <c r="E26" s="244">
        <v>144300</v>
      </c>
    </row>
    <row r="27" spans="1:5" x14ac:dyDescent="0.3">
      <c r="A27" s="245">
        <v>25</v>
      </c>
      <c r="B27" s="246"/>
      <c r="C27" s="247" t="s">
        <v>306</v>
      </c>
      <c r="D27" s="243" t="s">
        <v>209</v>
      </c>
      <c r="E27" s="244">
        <v>65800</v>
      </c>
    </row>
    <row r="28" spans="1:5" x14ac:dyDescent="0.3">
      <c r="A28" s="245">
        <v>26</v>
      </c>
      <c r="B28" s="246"/>
      <c r="C28" s="247" t="s">
        <v>377</v>
      </c>
      <c r="D28" s="243" t="s">
        <v>209</v>
      </c>
      <c r="E28" s="244">
        <v>75000</v>
      </c>
    </row>
    <row r="29" spans="1:5" x14ac:dyDescent="0.3">
      <c r="A29" s="245">
        <v>27</v>
      </c>
      <c r="B29" s="246"/>
      <c r="C29" s="247" t="s">
        <v>378</v>
      </c>
      <c r="D29" s="243" t="s">
        <v>209</v>
      </c>
      <c r="E29" s="244">
        <v>46900</v>
      </c>
    </row>
    <row r="30" spans="1:5" x14ac:dyDescent="0.3">
      <c r="A30" s="245">
        <v>28</v>
      </c>
      <c r="B30" s="246"/>
      <c r="C30" s="247" t="s">
        <v>379</v>
      </c>
      <c r="D30" s="243" t="s">
        <v>209</v>
      </c>
      <c r="E30" s="244">
        <v>290800</v>
      </c>
    </row>
    <row r="31" spans="1:5" x14ac:dyDescent="0.3">
      <c r="A31" s="245">
        <v>29</v>
      </c>
      <c r="B31" s="246"/>
      <c r="C31" s="247" t="s">
        <v>380</v>
      </c>
      <c r="D31" s="243" t="s">
        <v>209</v>
      </c>
      <c r="E31" s="244">
        <v>435200</v>
      </c>
    </row>
    <row r="32" spans="1:5" x14ac:dyDescent="0.3">
      <c r="A32" s="245">
        <v>30</v>
      </c>
      <c r="B32" s="246"/>
      <c r="C32" s="247" t="s">
        <v>312</v>
      </c>
      <c r="D32" s="243" t="s">
        <v>381</v>
      </c>
      <c r="E32" s="244">
        <v>243100</v>
      </c>
    </row>
    <row r="33" spans="1:5" x14ac:dyDescent="0.3">
      <c r="A33" s="245">
        <v>31</v>
      </c>
      <c r="B33" s="246"/>
      <c r="C33" s="247" t="s">
        <v>382</v>
      </c>
      <c r="D33" s="243" t="s">
        <v>209</v>
      </c>
      <c r="E33" s="244">
        <v>21600</v>
      </c>
    </row>
    <row r="34" spans="1:5" x14ac:dyDescent="0.3">
      <c r="A34" s="245">
        <v>32</v>
      </c>
      <c r="B34" s="246"/>
      <c r="C34" s="247" t="s">
        <v>383</v>
      </c>
      <c r="D34" s="243" t="s">
        <v>209</v>
      </c>
      <c r="E34" s="244">
        <v>60000</v>
      </c>
    </row>
    <row r="35" spans="1:5" x14ac:dyDescent="0.3">
      <c r="A35" s="245">
        <v>33</v>
      </c>
      <c r="B35" s="246"/>
      <c r="C35" s="247" t="s">
        <v>384</v>
      </c>
      <c r="D35" s="243" t="s">
        <v>277</v>
      </c>
      <c r="E35" s="244">
        <v>140000</v>
      </c>
    </row>
    <row r="37" spans="1:5" x14ac:dyDescent="0.3">
      <c r="A37" s="242" t="s">
        <v>385</v>
      </c>
      <c r="B37" s="388" t="s">
        <v>386</v>
      </c>
      <c r="C37" s="389"/>
      <c r="D37" s="243"/>
      <c r="E37" s="244"/>
    </row>
    <row r="38" spans="1:5" x14ac:dyDescent="0.3">
      <c r="A38" s="245">
        <v>1</v>
      </c>
      <c r="B38" s="246"/>
      <c r="C38" s="247" t="s">
        <v>387</v>
      </c>
      <c r="D38" s="243" t="s">
        <v>209</v>
      </c>
      <c r="E38" s="244">
        <v>2500</v>
      </c>
    </row>
    <row r="39" spans="1:5" x14ac:dyDescent="0.3">
      <c r="A39" s="245">
        <v>2</v>
      </c>
      <c r="B39" s="246"/>
      <c r="C39" s="247" t="s">
        <v>388</v>
      </c>
      <c r="D39" s="243" t="s">
        <v>389</v>
      </c>
      <c r="E39" s="244">
        <v>400000</v>
      </c>
    </row>
    <row r="40" spans="1:5" x14ac:dyDescent="0.3">
      <c r="A40" s="245">
        <v>3</v>
      </c>
      <c r="B40" s="246"/>
      <c r="C40" s="247" t="s">
        <v>390</v>
      </c>
      <c r="D40" s="243" t="s">
        <v>209</v>
      </c>
      <c r="E40" s="244">
        <v>400000</v>
      </c>
    </row>
    <row r="41" spans="1:5" x14ac:dyDescent="0.3">
      <c r="A41" s="245">
        <v>4</v>
      </c>
      <c r="B41" s="246"/>
      <c r="C41" s="247" t="s">
        <v>286</v>
      </c>
      <c r="D41" s="243" t="s">
        <v>283</v>
      </c>
      <c r="E41" s="244">
        <v>2000000</v>
      </c>
    </row>
    <row r="42" spans="1:5" x14ac:dyDescent="0.3">
      <c r="A42" s="245">
        <v>5</v>
      </c>
      <c r="B42" s="246"/>
      <c r="C42" s="247" t="s">
        <v>391</v>
      </c>
      <c r="D42" s="243" t="s">
        <v>283</v>
      </c>
      <c r="E42" s="244">
        <v>596000</v>
      </c>
    </row>
    <row r="43" spans="1:5" x14ac:dyDescent="0.3">
      <c r="A43" s="245">
        <v>6</v>
      </c>
      <c r="B43" s="246"/>
      <c r="C43" s="247" t="s">
        <v>392</v>
      </c>
      <c r="D43" s="243" t="s">
        <v>277</v>
      </c>
      <c r="E43" s="244">
        <v>242000</v>
      </c>
    </row>
    <row r="44" spans="1:5" x14ac:dyDescent="0.3">
      <c r="A44" s="245">
        <v>7</v>
      </c>
      <c r="B44" s="246"/>
      <c r="C44" s="247" t="s">
        <v>393</v>
      </c>
      <c r="D44" s="243" t="s">
        <v>277</v>
      </c>
      <c r="E44" s="244">
        <v>317000</v>
      </c>
    </row>
    <row r="45" spans="1:5" x14ac:dyDescent="0.3">
      <c r="A45" s="245">
        <v>8</v>
      </c>
      <c r="B45" s="246"/>
      <c r="C45" s="247" t="s">
        <v>394</v>
      </c>
      <c r="D45" s="243" t="s">
        <v>277</v>
      </c>
      <c r="E45" s="244">
        <v>221400</v>
      </c>
    </row>
    <row r="46" spans="1:5" x14ac:dyDescent="0.3">
      <c r="A46" s="245">
        <v>9</v>
      </c>
      <c r="B46" s="246"/>
      <c r="C46" s="247" t="s">
        <v>395</v>
      </c>
      <c r="D46" s="243" t="s">
        <v>277</v>
      </c>
      <c r="E46" s="244">
        <v>270900</v>
      </c>
    </row>
    <row r="47" spans="1:5" x14ac:dyDescent="0.3">
      <c r="A47" s="245">
        <v>10</v>
      </c>
      <c r="B47" s="246"/>
      <c r="C47" s="247" t="s">
        <v>396</v>
      </c>
      <c r="D47" s="243" t="s">
        <v>277</v>
      </c>
      <c r="E47" s="244">
        <v>796100</v>
      </c>
    </row>
    <row r="48" spans="1:5" x14ac:dyDescent="0.3">
      <c r="A48" s="245">
        <v>11</v>
      </c>
      <c r="B48" s="246"/>
      <c r="C48" s="247" t="s">
        <v>397</v>
      </c>
      <c r="D48" s="243" t="s">
        <v>277</v>
      </c>
      <c r="E48" s="244">
        <v>85000</v>
      </c>
    </row>
    <row r="49" spans="1:5" x14ac:dyDescent="0.3">
      <c r="A49" s="245">
        <v>12</v>
      </c>
      <c r="B49" s="246"/>
      <c r="C49" s="247" t="s">
        <v>398</v>
      </c>
      <c r="D49" s="243" t="s">
        <v>277</v>
      </c>
      <c r="E49" s="244">
        <v>95000</v>
      </c>
    </row>
    <row r="50" spans="1:5" x14ac:dyDescent="0.3">
      <c r="A50" s="245">
        <v>13</v>
      </c>
      <c r="B50" s="246"/>
      <c r="C50" s="247" t="s">
        <v>399</v>
      </c>
      <c r="D50" s="243" t="s">
        <v>277</v>
      </c>
      <c r="E50" s="244">
        <v>794400</v>
      </c>
    </row>
    <row r="51" spans="1:5" x14ac:dyDescent="0.3">
      <c r="A51" s="245">
        <v>14</v>
      </c>
      <c r="B51" s="246"/>
      <c r="C51" s="247" t="s">
        <v>400</v>
      </c>
      <c r="D51" s="243" t="s">
        <v>277</v>
      </c>
      <c r="E51" s="244">
        <v>750000</v>
      </c>
    </row>
    <row r="52" spans="1:5" x14ac:dyDescent="0.3">
      <c r="A52" s="245">
        <v>15</v>
      </c>
      <c r="B52" s="246"/>
      <c r="C52" s="247" t="s">
        <v>401</v>
      </c>
      <c r="D52" s="243" t="s">
        <v>277</v>
      </c>
      <c r="E52" s="244">
        <v>900000</v>
      </c>
    </row>
    <row r="53" spans="1:5" x14ac:dyDescent="0.3">
      <c r="A53" s="245">
        <v>16</v>
      </c>
      <c r="B53" s="246"/>
      <c r="C53" s="247" t="s">
        <v>402</v>
      </c>
      <c r="D53" s="243" t="s">
        <v>277</v>
      </c>
      <c r="E53" s="244">
        <v>700000</v>
      </c>
    </row>
    <row r="54" spans="1:5" x14ac:dyDescent="0.3">
      <c r="A54" s="245">
        <v>17</v>
      </c>
      <c r="B54" s="246"/>
      <c r="C54" s="247" t="s">
        <v>403</v>
      </c>
      <c r="D54" s="243" t="s">
        <v>277</v>
      </c>
      <c r="E54" s="244">
        <v>688700</v>
      </c>
    </row>
    <row r="55" spans="1:5" x14ac:dyDescent="0.3">
      <c r="A55" s="245">
        <v>18</v>
      </c>
      <c r="B55" s="246"/>
      <c r="C55" s="247" t="s">
        <v>404</v>
      </c>
      <c r="D55" s="243" t="s">
        <v>277</v>
      </c>
      <c r="E55" s="244">
        <v>1516300</v>
      </c>
    </row>
    <row r="56" spans="1:5" x14ac:dyDescent="0.3">
      <c r="A56" s="245">
        <v>19</v>
      </c>
      <c r="B56" s="246"/>
      <c r="C56" s="247" t="s">
        <v>405</v>
      </c>
      <c r="D56" s="243" t="s">
        <v>277</v>
      </c>
      <c r="E56" s="244">
        <v>120000</v>
      </c>
    </row>
    <row r="57" spans="1:5" x14ac:dyDescent="0.3">
      <c r="A57" s="245">
        <v>20</v>
      </c>
      <c r="B57" s="246"/>
      <c r="C57" s="247" t="s">
        <v>406</v>
      </c>
      <c r="D57" s="243" t="s">
        <v>277</v>
      </c>
      <c r="E57" s="244">
        <v>120000</v>
      </c>
    </row>
    <row r="58" spans="1:5" x14ac:dyDescent="0.3">
      <c r="A58" s="245">
        <v>21</v>
      </c>
      <c r="B58" s="246"/>
      <c r="C58" s="247" t="s">
        <v>407</v>
      </c>
      <c r="D58" s="243" t="s">
        <v>277</v>
      </c>
      <c r="E58" s="244">
        <v>198000</v>
      </c>
    </row>
    <row r="59" spans="1:5" x14ac:dyDescent="0.3">
      <c r="A59" s="245">
        <v>22</v>
      </c>
      <c r="B59" s="246"/>
      <c r="C59" s="247" t="s">
        <v>408</v>
      </c>
      <c r="D59" s="243" t="s">
        <v>277</v>
      </c>
      <c r="E59" s="244">
        <v>237000</v>
      </c>
    </row>
    <row r="60" spans="1:5" x14ac:dyDescent="0.3">
      <c r="A60" s="245">
        <v>23</v>
      </c>
      <c r="B60" s="246"/>
      <c r="C60" s="247" t="s">
        <v>409</v>
      </c>
      <c r="D60" s="243" t="s">
        <v>277</v>
      </c>
      <c r="E60" s="244">
        <v>226400</v>
      </c>
    </row>
    <row r="61" spans="1:5" x14ac:dyDescent="0.3">
      <c r="A61" s="245">
        <v>24</v>
      </c>
      <c r="B61" s="246"/>
      <c r="C61" s="247" t="s">
        <v>410</v>
      </c>
      <c r="D61" s="243" t="s">
        <v>277</v>
      </c>
      <c r="E61" s="244">
        <v>3447000</v>
      </c>
    </row>
    <row r="62" spans="1:5" x14ac:dyDescent="0.3">
      <c r="A62" s="245">
        <v>25</v>
      </c>
      <c r="B62" s="246"/>
      <c r="C62" s="247" t="s">
        <v>411</v>
      </c>
      <c r="D62" s="243" t="s">
        <v>277</v>
      </c>
      <c r="E62" s="244">
        <v>600000</v>
      </c>
    </row>
    <row r="63" spans="1:5" x14ac:dyDescent="0.3">
      <c r="A63" s="245">
        <v>26</v>
      </c>
      <c r="B63" s="246"/>
      <c r="C63" s="247" t="s">
        <v>412</v>
      </c>
      <c r="D63" s="243" t="s">
        <v>277</v>
      </c>
      <c r="E63" s="244">
        <v>3179400</v>
      </c>
    </row>
    <row r="64" spans="1:5" x14ac:dyDescent="0.3">
      <c r="A64" s="245">
        <v>27</v>
      </c>
      <c r="B64" s="246"/>
      <c r="C64" s="247" t="s">
        <v>413</v>
      </c>
      <c r="D64" s="243" t="s">
        <v>277</v>
      </c>
      <c r="E64" s="244">
        <v>3702800</v>
      </c>
    </row>
    <row r="65" spans="1:5" x14ac:dyDescent="0.3">
      <c r="A65" s="245">
        <v>28</v>
      </c>
      <c r="B65" s="246"/>
      <c r="C65" s="247" t="s">
        <v>414</v>
      </c>
      <c r="D65" s="243" t="s">
        <v>277</v>
      </c>
      <c r="E65" s="244">
        <v>144800</v>
      </c>
    </row>
    <row r="66" spans="1:5" x14ac:dyDescent="0.3">
      <c r="A66" s="245">
        <v>29</v>
      </c>
      <c r="B66" s="246"/>
      <c r="C66" s="247" t="s">
        <v>415</v>
      </c>
      <c r="D66" s="243" t="s">
        <v>416</v>
      </c>
      <c r="E66" s="244">
        <v>14500</v>
      </c>
    </row>
    <row r="67" spans="1:5" x14ac:dyDescent="0.3">
      <c r="A67" s="245">
        <v>30</v>
      </c>
      <c r="B67" s="246"/>
      <c r="C67" s="247" t="s">
        <v>417</v>
      </c>
      <c r="D67" s="243" t="s">
        <v>277</v>
      </c>
      <c r="E67" s="244">
        <v>15000</v>
      </c>
    </row>
    <row r="68" spans="1:5" x14ac:dyDescent="0.3">
      <c r="A68" s="245">
        <v>31</v>
      </c>
      <c r="B68" s="246"/>
      <c r="C68" s="247" t="s">
        <v>418</v>
      </c>
      <c r="D68" s="243" t="s">
        <v>277</v>
      </c>
      <c r="E68" s="244">
        <v>85100</v>
      </c>
    </row>
    <row r="69" spans="1:5" x14ac:dyDescent="0.3">
      <c r="A69" s="245">
        <v>32</v>
      </c>
      <c r="B69" s="246"/>
      <c r="C69" s="247" t="s">
        <v>419</v>
      </c>
      <c r="D69" s="243" t="s">
        <v>277</v>
      </c>
      <c r="E69" s="244">
        <v>112400</v>
      </c>
    </row>
  </sheetData>
  <mergeCells count="2">
    <mergeCell ref="B2:C2"/>
    <mergeCell ref="B37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7906-DB35-4165-9011-06E23A6773FF}">
  <dimension ref="B5:Q704"/>
  <sheetViews>
    <sheetView topLeftCell="A681" workbookViewId="0">
      <selection activeCell="I693" sqref="I693"/>
    </sheetView>
  </sheetViews>
  <sheetFormatPr defaultRowHeight="14.4" x14ac:dyDescent="0.3"/>
  <cols>
    <col min="2" max="2" width="7.33203125" bestFit="1" customWidth="1"/>
    <col min="3" max="3" width="31.21875" customWidth="1"/>
    <col min="4" max="4" width="5.44140625" bestFit="1" customWidth="1"/>
    <col min="5" max="5" width="7.5546875" style="185" bestFit="1" customWidth="1"/>
    <col min="6" max="6" width="11.6640625" style="89" bestFit="1" customWidth="1"/>
    <col min="7" max="8" width="16.33203125" style="89" bestFit="1" customWidth="1"/>
    <col min="9" max="9" width="12.6640625" style="77" bestFit="1" customWidth="1"/>
    <col min="10" max="11" width="8.88671875" style="56"/>
    <col min="12" max="12" width="28.88671875" style="77" customWidth="1"/>
    <col min="13" max="13" width="8.88671875" style="56"/>
    <col min="15" max="15" width="9" style="89" bestFit="1" customWidth="1"/>
    <col min="16" max="17" width="10.109375" style="89" bestFit="1" customWidth="1"/>
  </cols>
  <sheetData>
    <row r="5" spans="2:17" ht="55.8" thickBot="1" x14ac:dyDescent="0.35">
      <c r="B5" s="91" t="s">
        <v>264</v>
      </c>
      <c r="C5" s="199" t="s">
        <v>265</v>
      </c>
      <c r="D5" s="199"/>
      <c r="E5" s="199"/>
      <c r="F5" s="210"/>
      <c r="G5" s="210"/>
      <c r="H5" s="160">
        <f>ROUNDDOWN(G22,-2)</f>
        <v>129000</v>
      </c>
      <c r="K5" s="227" t="s">
        <v>481</v>
      </c>
      <c r="L5" s="312" t="s">
        <v>482</v>
      </c>
      <c r="M5" s="313"/>
      <c r="N5" s="313"/>
      <c r="O5" s="316"/>
      <c r="P5" s="316"/>
      <c r="Q5" s="160">
        <f>ROUNDDOWN(P21,-2)</f>
        <v>153400</v>
      </c>
    </row>
    <row r="6" spans="2:17" ht="42" thickTop="1" x14ac:dyDescent="0.3">
      <c r="B6" s="94" t="s">
        <v>191</v>
      </c>
      <c r="C6" s="95" t="s">
        <v>192</v>
      </c>
      <c r="D6" s="95" t="s">
        <v>193</v>
      </c>
      <c r="E6" s="95" t="s">
        <v>194</v>
      </c>
      <c r="F6" s="119" t="s">
        <v>195</v>
      </c>
      <c r="G6" s="120" t="s">
        <v>196</v>
      </c>
      <c r="H6" s="121"/>
      <c r="K6" s="57" t="s">
        <v>191</v>
      </c>
      <c r="L6" s="58" t="s">
        <v>192</v>
      </c>
      <c r="M6" s="58" t="s">
        <v>193</v>
      </c>
      <c r="N6" s="58" t="s">
        <v>194</v>
      </c>
      <c r="O6" s="78" t="s">
        <v>195</v>
      </c>
      <c r="P6" s="79" t="s">
        <v>196</v>
      </c>
      <c r="Q6" s="77"/>
    </row>
    <row r="7" spans="2:17" x14ac:dyDescent="0.3">
      <c r="B7" s="96" t="s">
        <v>197</v>
      </c>
      <c r="C7" s="97" t="s">
        <v>198</v>
      </c>
      <c r="D7" s="98"/>
      <c r="E7" s="98"/>
      <c r="F7" s="122"/>
      <c r="G7" s="123"/>
      <c r="H7" s="121"/>
      <c r="K7" s="59" t="s">
        <v>197</v>
      </c>
      <c r="L7" s="60" t="s">
        <v>198</v>
      </c>
      <c r="M7" s="61"/>
      <c r="N7" s="61"/>
      <c r="O7" s="80"/>
      <c r="P7" s="81"/>
      <c r="Q7" s="77"/>
    </row>
    <row r="8" spans="2:17" x14ac:dyDescent="0.3">
      <c r="B8" s="99">
        <v>1</v>
      </c>
      <c r="C8" s="97" t="s">
        <v>199</v>
      </c>
      <c r="D8" s="100" t="s">
        <v>200</v>
      </c>
      <c r="E8" s="101">
        <v>0.2</v>
      </c>
      <c r="F8" s="124">
        <v>100000</v>
      </c>
      <c r="G8" s="83">
        <f t="shared" ref="G8:G11" si="0">E8*F8</f>
        <v>20000</v>
      </c>
      <c r="H8" s="121"/>
      <c r="K8" s="62">
        <v>1</v>
      </c>
      <c r="L8" s="60" t="s">
        <v>199</v>
      </c>
      <c r="M8" s="63" t="s">
        <v>200</v>
      </c>
      <c r="N8" s="209">
        <v>0.16769999999999999</v>
      </c>
      <c r="O8" s="82">
        <v>100000</v>
      </c>
      <c r="P8" s="83">
        <f>N8*O8</f>
        <v>16770</v>
      </c>
      <c r="Q8" s="77"/>
    </row>
    <row r="9" spans="2:17" x14ac:dyDescent="0.3">
      <c r="B9" s="99">
        <v>2</v>
      </c>
      <c r="C9" s="97" t="s">
        <v>201</v>
      </c>
      <c r="D9" s="100" t="s">
        <v>200</v>
      </c>
      <c r="E9" s="101">
        <v>0.1</v>
      </c>
      <c r="F9" s="124">
        <v>145000</v>
      </c>
      <c r="G9" s="83">
        <f t="shared" si="0"/>
        <v>14500</v>
      </c>
      <c r="H9" s="121"/>
      <c r="K9" s="62">
        <v>2</v>
      </c>
      <c r="L9" s="60" t="s">
        <v>201</v>
      </c>
      <c r="M9" s="63" t="s">
        <v>200</v>
      </c>
      <c r="N9" s="209">
        <v>8.3299999999999999E-2</v>
      </c>
      <c r="O9" s="82">
        <v>145000</v>
      </c>
      <c r="P9" s="83">
        <f t="shared" ref="P9:P11" si="1">N9*O9</f>
        <v>12078.5</v>
      </c>
      <c r="Q9" s="77"/>
    </row>
    <row r="10" spans="2:17" x14ac:dyDescent="0.3">
      <c r="B10" s="99">
        <v>3</v>
      </c>
      <c r="C10" s="97" t="s">
        <v>202</v>
      </c>
      <c r="D10" s="100" t="s">
        <v>200</v>
      </c>
      <c r="E10" s="101">
        <v>0.01</v>
      </c>
      <c r="F10" s="124">
        <v>175000</v>
      </c>
      <c r="G10" s="83">
        <f t="shared" si="0"/>
        <v>1750</v>
      </c>
      <c r="H10" s="121"/>
      <c r="K10" s="62">
        <v>3</v>
      </c>
      <c r="L10" s="60" t="s">
        <v>202</v>
      </c>
      <c r="M10" s="63" t="s">
        <v>200</v>
      </c>
      <c r="N10" s="209">
        <v>8.3000000000000001E-3</v>
      </c>
      <c r="O10" s="82">
        <v>175000</v>
      </c>
      <c r="P10" s="83">
        <f t="shared" si="1"/>
        <v>1452.5</v>
      </c>
      <c r="Q10" s="77"/>
    </row>
    <row r="11" spans="2:17" x14ac:dyDescent="0.3">
      <c r="B11" s="99">
        <v>4</v>
      </c>
      <c r="C11" s="97" t="s">
        <v>203</v>
      </c>
      <c r="D11" s="100" t="s">
        <v>200</v>
      </c>
      <c r="E11" s="101">
        <v>3.3E-3</v>
      </c>
      <c r="F11" s="124">
        <v>200000</v>
      </c>
      <c r="G11" s="83">
        <f t="shared" si="0"/>
        <v>660</v>
      </c>
      <c r="H11" s="121"/>
      <c r="K11" s="62">
        <v>4</v>
      </c>
      <c r="L11" s="60" t="s">
        <v>203</v>
      </c>
      <c r="M11" s="63" t="s">
        <v>200</v>
      </c>
      <c r="N11" s="209">
        <v>2.8E-3</v>
      </c>
      <c r="O11" s="82">
        <v>200000</v>
      </c>
      <c r="P11" s="83">
        <f t="shared" si="1"/>
        <v>560</v>
      </c>
      <c r="Q11" s="77"/>
    </row>
    <row r="12" spans="2:17" x14ac:dyDescent="0.3">
      <c r="B12" s="102" t="s">
        <v>204</v>
      </c>
      <c r="C12" s="103"/>
      <c r="D12" s="103"/>
      <c r="E12" s="103"/>
      <c r="F12" s="126"/>
      <c r="G12" s="125">
        <f>SUM(G8:G11)</f>
        <v>36910</v>
      </c>
      <c r="H12" s="121"/>
      <c r="K12" s="64" t="s">
        <v>204</v>
      </c>
      <c r="L12" s="65"/>
      <c r="M12" s="65"/>
      <c r="N12" s="314"/>
      <c r="O12" s="84"/>
      <c r="P12" s="83">
        <f>SUM(P8:P11)</f>
        <v>30861</v>
      </c>
      <c r="Q12" s="77"/>
    </row>
    <row r="13" spans="2:17" x14ac:dyDescent="0.3">
      <c r="B13" s="96" t="s">
        <v>205</v>
      </c>
      <c r="C13" s="97" t="s">
        <v>206</v>
      </c>
      <c r="D13" s="98"/>
      <c r="E13" s="98"/>
      <c r="F13" s="122"/>
      <c r="G13" s="123"/>
      <c r="H13" s="121"/>
      <c r="K13" s="59" t="s">
        <v>205</v>
      </c>
      <c r="L13" s="60" t="s">
        <v>206</v>
      </c>
      <c r="M13" s="61"/>
      <c r="N13" s="315"/>
      <c r="O13" s="80"/>
      <c r="P13" s="81"/>
      <c r="Q13" s="77"/>
    </row>
    <row r="14" spans="2:17" x14ac:dyDescent="0.3">
      <c r="B14" s="99">
        <v>1</v>
      </c>
      <c r="C14" s="97" t="s">
        <v>266</v>
      </c>
      <c r="D14" s="100" t="s">
        <v>209</v>
      </c>
      <c r="E14" s="105">
        <v>71.91</v>
      </c>
      <c r="F14" s="124">
        <v>700</v>
      </c>
      <c r="G14" s="83">
        <f t="shared" ref="G14:G16" si="2">E14*F14</f>
        <v>50337</v>
      </c>
      <c r="H14" s="121"/>
      <c r="K14" s="62">
        <v>1</v>
      </c>
      <c r="L14" s="60" t="s">
        <v>483</v>
      </c>
      <c r="M14" s="63" t="s">
        <v>209</v>
      </c>
      <c r="N14" s="201">
        <v>8.75</v>
      </c>
      <c r="O14" s="82">
        <v>11000</v>
      </c>
      <c r="P14" s="83">
        <f t="shared" ref="P14:P15" si="3">N14*O14</f>
        <v>96250</v>
      </c>
      <c r="Q14" s="77"/>
    </row>
    <row r="15" spans="2:17" x14ac:dyDescent="0.3">
      <c r="B15" s="99">
        <v>2</v>
      </c>
      <c r="C15" s="97" t="s">
        <v>211</v>
      </c>
      <c r="D15" s="100" t="s">
        <v>212</v>
      </c>
      <c r="E15" s="105">
        <v>9.68</v>
      </c>
      <c r="F15" s="124">
        <v>1300</v>
      </c>
      <c r="G15" s="83">
        <f t="shared" si="2"/>
        <v>12584</v>
      </c>
      <c r="H15" s="121"/>
      <c r="K15" s="62">
        <v>2</v>
      </c>
      <c r="L15" s="60" t="s">
        <v>484</v>
      </c>
      <c r="M15" s="63" t="s">
        <v>212</v>
      </c>
      <c r="N15" s="201">
        <v>3.4289999999999998</v>
      </c>
      <c r="O15" s="82">
        <v>1850</v>
      </c>
      <c r="P15" s="83">
        <f t="shared" si="3"/>
        <v>6343.65</v>
      </c>
      <c r="Q15" s="77"/>
    </row>
    <row r="16" spans="2:17" x14ac:dyDescent="0.3">
      <c r="B16" s="99">
        <v>3</v>
      </c>
      <c r="C16" s="106" t="s">
        <v>214</v>
      </c>
      <c r="D16" s="100" t="s">
        <v>215</v>
      </c>
      <c r="E16" s="105">
        <v>4.4999999999999998E-2</v>
      </c>
      <c r="F16" s="124">
        <v>275000</v>
      </c>
      <c r="G16" s="83">
        <f t="shared" si="2"/>
        <v>12375</v>
      </c>
      <c r="H16" s="121"/>
      <c r="K16" s="64" t="s">
        <v>218</v>
      </c>
      <c r="L16" s="65"/>
      <c r="M16" s="65"/>
      <c r="N16" s="314"/>
      <c r="O16" s="84"/>
      <c r="P16" s="83">
        <f>SUM(P14:P15)</f>
        <v>102593.65</v>
      </c>
      <c r="Q16" s="77"/>
    </row>
    <row r="17" spans="2:17" x14ac:dyDescent="0.3">
      <c r="B17" s="102" t="s">
        <v>218</v>
      </c>
      <c r="C17" s="103"/>
      <c r="D17" s="103"/>
      <c r="E17" s="103"/>
      <c r="F17" s="126"/>
      <c r="G17" s="125">
        <f>SUM(G14:G16)</f>
        <v>75296</v>
      </c>
      <c r="H17" s="121"/>
      <c r="K17" s="68" t="s">
        <v>219</v>
      </c>
      <c r="L17" s="60" t="s">
        <v>220</v>
      </c>
      <c r="M17" s="61"/>
      <c r="N17" s="61"/>
      <c r="O17" s="80"/>
      <c r="P17" s="81"/>
      <c r="Q17" s="77"/>
    </row>
    <row r="18" spans="2:17" x14ac:dyDescent="0.3">
      <c r="B18" s="107" t="s">
        <v>219</v>
      </c>
      <c r="C18" s="97" t="s">
        <v>220</v>
      </c>
      <c r="D18" s="98"/>
      <c r="E18" s="98"/>
      <c r="F18" s="122"/>
      <c r="G18" s="123"/>
      <c r="H18" s="121"/>
      <c r="K18" s="64" t="s">
        <v>221</v>
      </c>
      <c r="L18" s="65"/>
      <c r="M18" s="65"/>
      <c r="N18" s="314"/>
      <c r="O18" s="84"/>
      <c r="P18" s="69">
        <v>0</v>
      </c>
      <c r="Q18" s="77"/>
    </row>
    <row r="19" spans="2:17" x14ac:dyDescent="0.3">
      <c r="B19" s="102" t="s">
        <v>221</v>
      </c>
      <c r="C19" s="103"/>
      <c r="D19" s="103"/>
      <c r="E19" s="103"/>
      <c r="F19" s="126"/>
      <c r="G19" s="108">
        <v>0</v>
      </c>
      <c r="H19" s="121"/>
      <c r="K19" s="70" t="s">
        <v>222</v>
      </c>
      <c r="L19" s="71" t="s">
        <v>223</v>
      </c>
      <c r="M19" s="72"/>
      <c r="N19" s="72"/>
      <c r="O19" s="85"/>
      <c r="P19" s="83">
        <f>P16+P12</f>
        <v>133454.65</v>
      </c>
      <c r="Q19" s="77"/>
    </row>
    <row r="20" spans="2:17" x14ac:dyDescent="0.3">
      <c r="B20" s="109" t="s">
        <v>222</v>
      </c>
      <c r="C20" s="110" t="s">
        <v>223</v>
      </c>
      <c r="D20" s="111"/>
      <c r="E20" s="111"/>
      <c r="F20" s="127"/>
      <c r="G20" s="77">
        <f>G12+G17+G19</f>
        <v>112206</v>
      </c>
      <c r="H20" s="121"/>
      <c r="K20" s="70" t="s">
        <v>224</v>
      </c>
      <c r="L20" s="71" t="s">
        <v>225</v>
      </c>
      <c r="M20" s="72"/>
      <c r="N20" s="206"/>
      <c r="O20" s="86">
        <v>0.1</v>
      </c>
      <c r="P20" s="77">
        <f>P19*0.15</f>
        <v>20018.197499999998</v>
      </c>
      <c r="Q20" s="77"/>
    </row>
    <row r="21" spans="2:17" ht="15" thickBot="1" x14ac:dyDescent="0.35">
      <c r="B21" s="109" t="s">
        <v>224</v>
      </c>
      <c r="C21" s="110" t="s">
        <v>225</v>
      </c>
      <c r="D21" s="111"/>
      <c r="E21" s="112"/>
      <c r="F21" s="129">
        <v>0.1</v>
      </c>
      <c r="G21" s="77">
        <f>G20*0.15</f>
        <v>16830.899999999998</v>
      </c>
      <c r="H21" s="121"/>
      <c r="K21" s="73" t="s">
        <v>226</v>
      </c>
      <c r="L21" s="74" t="s">
        <v>227</v>
      </c>
      <c r="M21" s="75"/>
      <c r="N21" s="75"/>
      <c r="O21" s="87"/>
      <c r="P21" s="88">
        <f>P19+P20</f>
        <v>153472.8475</v>
      </c>
      <c r="Q21" s="77"/>
    </row>
    <row r="22" spans="2:17" ht="15.6" thickTop="1" thickBot="1" x14ac:dyDescent="0.35">
      <c r="B22" s="113" t="s">
        <v>226</v>
      </c>
      <c r="C22" s="114" t="s">
        <v>227</v>
      </c>
      <c r="D22" s="115"/>
      <c r="E22" s="115"/>
      <c r="F22" s="130"/>
      <c r="G22" s="90">
        <f>G20+G21</f>
        <v>129036.9</v>
      </c>
      <c r="H22" s="121"/>
      <c r="I22" s="90"/>
    </row>
    <row r="23" spans="2:17" ht="15" thickTop="1" x14ac:dyDescent="0.3"/>
    <row r="28" spans="2:17" s="56" customFormat="1" ht="28.2" thickBot="1" x14ac:dyDescent="0.35">
      <c r="B28" s="53" t="s">
        <v>189</v>
      </c>
      <c r="C28" s="54" t="s">
        <v>190</v>
      </c>
      <c r="D28" s="55"/>
      <c r="E28" s="162"/>
      <c r="F28" s="76"/>
      <c r="G28" s="76"/>
      <c r="H28" s="160">
        <f>ROUNDDOWN(G46,-2)</f>
        <v>427000</v>
      </c>
      <c r="I28" s="77"/>
      <c r="K28" s="132" t="s">
        <v>350</v>
      </c>
      <c r="L28" s="199" t="s">
        <v>485</v>
      </c>
      <c r="M28" s="199"/>
      <c r="N28" s="199"/>
      <c r="O28" s="210"/>
      <c r="P28" s="210"/>
      <c r="Q28" s="160">
        <f>ROUNDDOWN(P46,-2)</f>
        <v>104000</v>
      </c>
    </row>
    <row r="29" spans="2:17" s="56" customFormat="1" ht="42" thickTop="1" x14ac:dyDescent="0.3">
      <c r="B29" s="57" t="s">
        <v>191</v>
      </c>
      <c r="C29" s="58" t="s">
        <v>192</v>
      </c>
      <c r="D29" s="58" t="s">
        <v>193</v>
      </c>
      <c r="E29" s="163" t="s">
        <v>194</v>
      </c>
      <c r="F29" s="78" t="s">
        <v>195</v>
      </c>
      <c r="G29" s="79" t="s">
        <v>196</v>
      </c>
      <c r="H29" s="77"/>
      <c r="I29" s="77"/>
      <c r="K29" s="94" t="s">
        <v>191</v>
      </c>
      <c r="L29" s="95" t="s">
        <v>192</v>
      </c>
      <c r="M29" s="95" t="s">
        <v>193</v>
      </c>
      <c r="N29" s="95" t="s">
        <v>194</v>
      </c>
      <c r="O29" s="119" t="s">
        <v>195</v>
      </c>
      <c r="P29" s="120" t="s">
        <v>196</v>
      </c>
      <c r="Q29" s="121"/>
    </row>
    <row r="30" spans="2:17" s="56" customFormat="1" ht="13.8" x14ac:dyDescent="0.3">
      <c r="B30" s="59" t="s">
        <v>197</v>
      </c>
      <c r="C30" s="60" t="s">
        <v>198</v>
      </c>
      <c r="D30" s="61"/>
      <c r="E30" s="164"/>
      <c r="F30" s="80"/>
      <c r="G30" s="81"/>
      <c r="H30" s="77"/>
      <c r="I30" s="77"/>
      <c r="K30" s="96" t="s">
        <v>197</v>
      </c>
      <c r="L30" s="97" t="s">
        <v>198</v>
      </c>
      <c r="M30" s="98"/>
      <c r="N30" s="98"/>
      <c r="O30" s="122"/>
      <c r="P30" s="123"/>
      <c r="Q30" s="121"/>
    </row>
    <row r="31" spans="2:17" s="56" customFormat="1" ht="13.8" x14ac:dyDescent="0.3">
      <c r="B31" s="62">
        <v>1</v>
      </c>
      <c r="C31" s="60" t="s">
        <v>199</v>
      </c>
      <c r="D31" s="63" t="s">
        <v>200</v>
      </c>
      <c r="E31" s="165">
        <v>0.16669999999999999</v>
      </c>
      <c r="F31" s="82">
        <v>100000</v>
      </c>
      <c r="G31" s="83">
        <f t="shared" ref="G31:G34" si="4">E31*F31</f>
        <v>16670</v>
      </c>
      <c r="H31" s="77"/>
      <c r="I31" s="77"/>
      <c r="K31" s="99">
        <v>1</v>
      </c>
      <c r="L31" s="97" t="s">
        <v>199</v>
      </c>
      <c r="M31" s="100" t="s">
        <v>200</v>
      </c>
      <c r="N31" s="101">
        <v>0.2</v>
      </c>
      <c r="O31" s="124">
        <v>100000</v>
      </c>
      <c r="P31" s="125">
        <f>N31*O31</f>
        <v>20000</v>
      </c>
      <c r="Q31" s="77"/>
    </row>
    <row r="32" spans="2:17" s="56" customFormat="1" ht="13.8" x14ac:dyDescent="0.3">
      <c r="B32" s="62">
        <v>2</v>
      </c>
      <c r="C32" s="60" t="s">
        <v>201</v>
      </c>
      <c r="D32" s="63" t="s">
        <v>200</v>
      </c>
      <c r="E32" s="165">
        <v>8.3299999999999999E-2</v>
      </c>
      <c r="F32" s="82">
        <v>145000</v>
      </c>
      <c r="G32" s="83">
        <f t="shared" si="4"/>
        <v>12078.5</v>
      </c>
      <c r="H32" s="77"/>
      <c r="I32" s="77"/>
      <c r="K32" s="99">
        <v>2</v>
      </c>
      <c r="L32" s="97" t="s">
        <v>201</v>
      </c>
      <c r="M32" s="100" t="s">
        <v>200</v>
      </c>
      <c r="N32" s="101">
        <v>0.1</v>
      </c>
      <c r="O32" s="124">
        <v>145000</v>
      </c>
      <c r="P32" s="125">
        <f t="shared" ref="P32:P34" si="5">N32*O32</f>
        <v>14500</v>
      </c>
      <c r="Q32" s="77"/>
    </row>
    <row r="33" spans="2:17" s="56" customFormat="1" ht="13.8" x14ac:dyDescent="0.3">
      <c r="B33" s="62">
        <v>3</v>
      </c>
      <c r="C33" s="60" t="s">
        <v>202</v>
      </c>
      <c r="D33" s="63" t="s">
        <v>200</v>
      </c>
      <c r="E33" s="165">
        <v>8.3000000000000001E-3</v>
      </c>
      <c r="F33" s="82">
        <v>175000</v>
      </c>
      <c r="G33" s="83">
        <f t="shared" si="4"/>
        <v>1452.5</v>
      </c>
      <c r="H33" s="77"/>
      <c r="I33" s="77"/>
      <c r="K33" s="99">
        <v>3</v>
      </c>
      <c r="L33" s="97" t="s">
        <v>202</v>
      </c>
      <c r="M33" s="100" t="s">
        <v>200</v>
      </c>
      <c r="N33" s="101">
        <v>0.01</v>
      </c>
      <c r="O33" s="124">
        <v>175000</v>
      </c>
      <c r="P33" s="125">
        <f t="shared" si="5"/>
        <v>1750</v>
      </c>
      <c r="Q33" s="77"/>
    </row>
    <row r="34" spans="2:17" s="56" customFormat="1" ht="13.8" x14ac:dyDescent="0.3">
      <c r="B34" s="62">
        <v>4</v>
      </c>
      <c r="C34" s="60" t="s">
        <v>203</v>
      </c>
      <c r="D34" s="63" t="s">
        <v>200</v>
      </c>
      <c r="E34" s="165">
        <v>2.8E-3</v>
      </c>
      <c r="F34" s="82">
        <v>200000</v>
      </c>
      <c r="G34" s="83">
        <f t="shared" si="4"/>
        <v>560</v>
      </c>
      <c r="H34" s="77"/>
      <c r="I34" s="77"/>
      <c r="K34" s="99">
        <v>4</v>
      </c>
      <c r="L34" s="97" t="s">
        <v>203</v>
      </c>
      <c r="M34" s="100" t="s">
        <v>200</v>
      </c>
      <c r="N34" s="101">
        <v>3.0000000000000001E-3</v>
      </c>
      <c r="O34" s="124">
        <v>200000</v>
      </c>
      <c r="P34" s="125">
        <f t="shared" si="5"/>
        <v>600</v>
      </c>
      <c r="Q34" s="77"/>
    </row>
    <row r="35" spans="2:17" s="56" customFormat="1" ht="13.8" x14ac:dyDescent="0.3">
      <c r="B35" s="64" t="s">
        <v>204</v>
      </c>
      <c r="C35" s="65"/>
      <c r="D35" s="65"/>
      <c r="E35" s="166"/>
      <c r="F35" s="84"/>
      <c r="G35" s="83">
        <f>SUM(G31:G34)</f>
        <v>30761</v>
      </c>
      <c r="H35" s="77"/>
      <c r="I35" s="77"/>
      <c r="K35" s="102" t="s">
        <v>204</v>
      </c>
      <c r="L35" s="103"/>
      <c r="M35" s="103"/>
      <c r="N35" s="116"/>
      <c r="O35" s="126"/>
      <c r="P35" s="125">
        <f>SUM(P31:P34)</f>
        <v>36850</v>
      </c>
      <c r="Q35" s="77"/>
    </row>
    <row r="36" spans="2:17" s="56" customFormat="1" ht="13.8" x14ac:dyDescent="0.3">
      <c r="B36" s="59" t="s">
        <v>205</v>
      </c>
      <c r="C36" s="60" t="s">
        <v>206</v>
      </c>
      <c r="D36" s="61"/>
      <c r="E36" s="164"/>
      <c r="F36" s="80"/>
      <c r="G36" s="81"/>
      <c r="H36" s="77"/>
      <c r="I36" s="77"/>
      <c r="K36" s="96" t="s">
        <v>205</v>
      </c>
      <c r="L36" s="97" t="s">
        <v>206</v>
      </c>
      <c r="M36" s="98"/>
      <c r="N36" s="239"/>
      <c r="O36" s="122"/>
      <c r="P36" s="123"/>
      <c r="Q36" s="77"/>
    </row>
    <row r="37" spans="2:17" s="56" customFormat="1" ht="13.8" x14ac:dyDescent="0.3">
      <c r="B37" s="66" t="s">
        <v>207</v>
      </c>
      <c r="C37" s="60" t="s">
        <v>208</v>
      </c>
      <c r="D37" s="63" t="s">
        <v>209</v>
      </c>
      <c r="E37" s="165">
        <v>12.5</v>
      </c>
      <c r="F37" s="82">
        <v>12000</v>
      </c>
      <c r="G37" s="83">
        <f t="shared" ref="G37:G40" si="6">E37*F37</f>
        <v>150000</v>
      </c>
      <c r="H37" s="77"/>
      <c r="I37" s="77"/>
      <c r="K37" s="240" t="s">
        <v>207</v>
      </c>
      <c r="L37" s="97" t="s">
        <v>486</v>
      </c>
      <c r="M37" s="100" t="s">
        <v>209</v>
      </c>
      <c r="N37" s="105">
        <v>0.73899999999999999</v>
      </c>
      <c r="O37" s="124">
        <v>70000</v>
      </c>
      <c r="P37" s="125">
        <f t="shared" ref="P37:P40" si="7">N37*O37</f>
        <v>51730</v>
      </c>
      <c r="Q37" s="77"/>
    </row>
    <row r="38" spans="2:17" s="56" customFormat="1" ht="13.8" x14ac:dyDescent="0.3">
      <c r="B38" s="66" t="s">
        <v>210</v>
      </c>
      <c r="C38" s="60" t="s">
        <v>211</v>
      </c>
      <c r="D38" s="63" t="s">
        <v>212</v>
      </c>
      <c r="E38" s="165">
        <v>22.74</v>
      </c>
      <c r="F38" s="82">
        <v>1300</v>
      </c>
      <c r="G38" s="83">
        <f t="shared" si="6"/>
        <v>29561.999999999996</v>
      </c>
      <c r="H38" s="77"/>
      <c r="I38" s="77"/>
      <c r="K38" s="240" t="s">
        <v>210</v>
      </c>
      <c r="L38" s="97" t="s">
        <v>351</v>
      </c>
      <c r="M38" s="100" t="s">
        <v>212</v>
      </c>
      <c r="N38" s="105">
        <v>0</v>
      </c>
      <c r="O38" s="124">
        <v>290000</v>
      </c>
      <c r="P38" s="125">
        <f t="shared" si="7"/>
        <v>0</v>
      </c>
      <c r="Q38" s="77"/>
    </row>
    <row r="39" spans="2:17" s="56" customFormat="1" ht="13.8" x14ac:dyDescent="0.3">
      <c r="B39" s="66" t="s">
        <v>213</v>
      </c>
      <c r="C39" s="67" t="s">
        <v>214</v>
      </c>
      <c r="D39" s="63" t="s">
        <v>215</v>
      </c>
      <c r="E39" s="165">
        <v>0.55000000000000004</v>
      </c>
      <c r="F39" s="82">
        <v>275000</v>
      </c>
      <c r="G39" s="83">
        <f t="shared" si="6"/>
        <v>151250</v>
      </c>
      <c r="H39" s="77"/>
      <c r="I39" s="77"/>
      <c r="K39" s="240" t="s">
        <v>213</v>
      </c>
      <c r="L39" s="106" t="s">
        <v>249</v>
      </c>
      <c r="M39" s="100" t="s">
        <v>215</v>
      </c>
      <c r="N39" s="105">
        <v>0.05</v>
      </c>
      <c r="O39" s="124">
        <v>30090</v>
      </c>
      <c r="P39" s="125">
        <f t="shared" si="7"/>
        <v>1504.5</v>
      </c>
      <c r="Q39" s="77"/>
    </row>
    <row r="40" spans="2:17" s="56" customFormat="1" ht="13.8" x14ac:dyDescent="0.3">
      <c r="B40" s="66" t="s">
        <v>216</v>
      </c>
      <c r="C40" s="67" t="s">
        <v>217</v>
      </c>
      <c r="D40" s="63" t="s">
        <v>212</v>
      </c>
      <c r="E40" s="165">
        <v>0.28000000000000003</v>
      </c>
      <c r="F40" s="82">
        <v>35000</v>
      </c>
      <c r="G40" s="83">
        <f t="shared" si="6"/>
        <v>9800.0000000000018</v>
      </c>
      <c r="H40" s="77"/>
      <c r="I40" s="77"/>
      <c r="K40" s="240" t="s">
        <v>216</v>
      </c>
      <c r="L40" s="106" t="s">
        <v>352</v>
      </c>
      <c r="M40" s="100" t="s">
        <v>212</v>
      </c>
      <c r="N40" s="105">
        <v>0.106</v>
      </c>
      <c r="O40" s="124">
        <v>3500</v>
      </c>
      <c r="P40" s="125">
        <f t="shared" si="7"/>
        <v>371</v>
      </c>
      <c r="Q40" s="77"/>
    </row>
    <row r="41" spans="2:17" s="56" customFormat="1" ht="13.8" x14ac:dyDescent="0.3">
      <c r="B41" s="64" t="s">
        <v>218</v>
      </c>
      <c r="C41" s="65"/>
      <c r="D41" s="65"/>
      <c r="E41" s="166"/>
      <c r="F41" s="84"/>
      <c r="G41" s="83">
        <f>SUM(G37:G40)</f>
        <v>340612</v>
      </c>
      <c r="H41" s="77"/>
      <c r="I41" s="77"/>
      <c r="K41" s="102" t="s">
        <v>218</v>
      </c>
      <c r="L41" s="103"/>
      <c r="M41" s="103"/>
      <c r="N41" s="104"/>
      <c r="O41" s="126"/>
      <c r="P41" s="125">
        <f>SUM(P37:P40)</f>
        <v>53605.5</v>
      </c>
      <c r="Q41" s="77"/>
    </row>
    <row r="42" spans="2:17" s="56" customFormat="1" ht="13.8" x14ac:dyDescent="0.3">
      <c r="B42" s="68" t="s">
        <v>219</v>
      </c>
      <c r="C42" s="60" t="s">
        <v>220</v>
      </c>
      <c r="D42" s="61"/>
      <c r="E42" s="164"/>
      <c r="F42" s="80"/>
      <c r="G42" s="81"/>
      <c r="H42" s="77"/>
      <c r="I42" s="77"/>
      <c r="K42" s="107" t="s">
        <v>219</v>
      </c>
      <c r="L42" s="97" t="s">
        <v>220</v>
      </c>
      <c r="M42" s="98"/>
      <c r="N42" s="98"/>
      <c r="O42" s="122"/>
      <c r="P42" s="123"/>
      <c r="Q42" s="77"/>
    </row>
    <row r="43" spans="2:17" s="56" customFormat="1" ht="13.8" x14ac:dyDescent="0.3">
      <c r="B43" s="64" t="s">
        <v>221</v>
      </c>
      <c r="C43" s="65"/>
      <c r="D43" s="65"/>
      <c r="E43" s="166"/>
      <c r="F43" s="84"/>
      <c r="G43" s="69">
        <v>0</v>
      </c>
      <c r="H43" s="77"/>
      <c r="I43" s="77"/>
      <c r="K43" s="102" t="s">
        <v>221</v>
      </c>
      <c r="L43" s="103"/>
      <c r="M43" s="103"/>
      <c r="N43" s="104"/>
      <c r="O43" s="126"/>
      <c r="P43" s="108">
        <v>0</v>
      </c>
      <c r="Q43" s="77"/>
    </row>
    <row r="44" spans="2:17" s="56" customFormat="1" ht="13.8" x14ac:dyDescent="0.3">
      <c r="B44" s="70" t="s">
        <v>222</v>
      </c>
      <c r="C44" s="71" t="s">
        <v>223</v>
      </c>
      <c r="D44" s="72"/>
      <c r="E44" s="167"/>
      <c r="F44" s="85"/>
      <c r="G44" s="77">
        <f>G35+G41+G43</f>
        <v>371373</v>
      </c>
      <c r="H44" s="77"/>
      <c r="I44" s="77"/>
      <c r="K44" s="109" t="s">
        <v>222</v>
      </c>
      <c r="L44" s="110" t="s">
        <v>223</v>
      </c>
      <c r="M44" s="111"/>
      <c r="N44" s="111"/>
      <c r="O44" s="127"/>
      <c r="P44" s="125">
        <f>P41+P35</f>
        <v>90455.5</v>
      </c>
      <c r="Q44" s="77"/>
    </row>
    <row r="45" spans="2:17" s="56" customFormat="1" ht="13.8" x14ac:dyDescent="0.3">
      <c r="B45" s="70" t="s">
        <v>224</v>
      </c>
      <c r="C45" s="71" t="s">
        <v>225</v>
      </c>
      <c r="D45" s="72"/>
      <c r="E45" s="168"/>
      <c r="F45" s="86">
        <v>0.1</v>
      </c>
      <c r="G45" s="77">
        <f>G44*0.15</f>
        <v>55705.95</v>
      </c>
      <c r="H45" s="77"/>
      <c r="I45" s="77"/>
      <c r="K45" s="109" t="s">
        <v>224</v>
      </c>
      <c r="L45" s="110" t="s">
        <v>225</v>
      </c>
      <c r="M45" s="111"/>
      <c r="N45" s="112"/>
      <c r="O45" s="129">
        <v>0.1</v>
      </c>
      <c r="P45" s="77">
        <f>P44*0.15</f>
        <v>13568.324999999999</v>
      </c>
      <c r="Q45" s="77"/>
    </row>
    <row r="46" spans="2:17" s="56" customFormat="1" thickBot="1" x14ac:dyDescent="0.35">
      <c r="B46" s="73" t="s">
        <v>226</v>
      </c>
      <c r="C46" s="74" t="s">
        <v>227</v>
      </c>
      <c r="D46" s="75"/>
      <c r="E46" s="169"/>
      <c r="F46" s="87"/>
      <c r="G46" s="90">
        <f>G44+G45</f>
        <v>427078.95</v>
      </c>
      <c r="H46" s="77"/>
      <c r="I46" s="90"/>
      <c r="K46" s="113" t="s">
        <v>226</v>
      </c>
      <c r="L46" s="114" t="s">
        <v>227</v>
      </c>
      <c r="M46" s="115"/>
      <c r="N46" s="115"/>
      <c r="O46" s="130"/>
      <c r="P46" s="131">
        <f>SUM(P43:P45)</f>
        <v>104023.825</v>
      </c>
      <c r="Q46" s="77"/>
    </row>
    <row r="47" spans="2:17" s="56" customFormat="1" thickTop="1" x14ac:dyDescent="0.3">
      <c r="E47" s="170"/>
      <c r="F47" s="77"/>
      <c r="G47" s="77"/>
      <c r="H47" s="77"/>
      <c r="I47" s="77"/>
      <c r="L47" s="77"/>
      <c r="O47" s="77"/>
      <c r="P47" s="77"/>
      <c r="Q47" s="77"/>
    </row>
    <row r="50" spans="2:8" ht="15" thickBot="1" x14ac:dyDescent="0.35">
      <c r="B50" s="91" t="s">
        <v>228</v>
      </c>
      <c r="C50" s="92" t="s">
        <v>229</v>
      </c>
      <c r="D50" s="93"/>
      <c r="E50" s="171"/>
      <c r="F50" s="117"/>
      <c r="G50" s="117"/>
      <c r="H50" s="160">
        <f>ROUNDDOWN(G66,-2)</f>
        <v>64000</v>
      </c>
    </row>
    <row r="51" spans="2:8" ht="42" thickTop="1" x14ac:dyDescent="0.3">
      <c r="B51" s="94" t="s">
        <v>191</v>
      </c>
      <c r="C51" s="95" t="s">
        <v>192</v>
      </c>
      <c r="D51" s="95" t="s">
        <v>193</v>
      </c>
      <c r="E51" s="172" t="s">
        <v>194</v>
      </c>
      <c r="F51" s="119" t="s">
        <v>195</v>
      </c>
      <c r="G51" s="120" t="s">
        <v>196</v>
      </c>
      <c r="H51" s="121"/>
    </row>
    <row r="52" spans="2:8" x14ac:dyDescent="0.3">
      <c r="B52" s="96" t="s">
        <v>197</v>
      </c>
      <c r="C52" s="97" t="s">
        <v>198</v>
      </c>
      <c r="D52" s="98"/>
      <c r="E52" s="173"/>
      <c r="F52" s="122"/>
      <c r="G52" s="123"/>
      <c r="H52" s="121"/>
    </row>
    <row r="53" spans="2:8" x14ac:dyDescent="0.3">
      <c r="B53" s="99">
        <v>1</v>
      </c>
      <c r="C53" s="97" t="s">
        <v>199</v>
      </c>
      <c r="D53" s="100" t="s">
        <v>200</v>
      </c>
      <c r="E53" s="174">
        <v>0.2</v>
      </c>
      <c r="F53" s="124">
        <v>100000</v>
      </c>
      <c r="G53" s="83">
        <f t="shared" ref="G53:G56" si="8">E53*F53</f>
        <v>20000</v>
      </c>
      <c r="H53" s="121"/>
    </row>
    <row r="54" spans="2:8" x14ac:dyDescent="0.3">
      <c r="B54" s="99">
        <v>2</v>
      </c>
      <c r="C54" s="97" t="s">
        <v>201</v>
      </c>
      <c r="D54" s="100" t="s">
        <v>200</v>
      </c>
      <c r="E54" s="174">
        <v>0.1</v>
      </c>
      <c r="F54" s="124">
        <v>145000</v>
      </c>
      <c r="G54" s="83">
        <f t="shared" si="8"/>
        <v>14500</v>
      </c>
      <c r="H54" s="121"/>
    </row>
    <row r="55" spans="2:8" x14ac:dyDescent="0.3">
      <c r="B55" s="99">
        <v>3</v>
      </c>
      <c r="C55" s="97" t="s">
        <v>202</v>
      </c>
      <c r="D55" s="100" t="s">
        <v>200</v>
      </c>
      <c r="E55" s="174">
        <v>0.01</v>
      </c>
      <c r="F55" s="124">
        <v>175000</v>
      </c>
      <c r="G55" s="83">
        <f t="shared" si="8"/>
        <v>1750</v>
      </c>
      <c r="H55" s="121"/>
    </row>
    <row r="56" spans="2:8" x14ac:dyDescent="0.3">
      <c r="B56" s="99">
        <v>4</v>
      </c>
      <c r="C56" s="97" t="s">
        <v>203</v>
      </c>
      <c r="D56" s="100" t="s">
        <v>200</v>
      </c>
      <c r="E56" s="174">
        <v>3.3E-3</v>
      </c>
      <c r="F56" s="124">
        <v>200000</v>
      </c>
      <c r="G56" s="83">
        <f t="shared" si="8"/>
        <v>660</v>
      </c>
      <c r="H56" s="121"/>
    </row>
    <row r="57" spans="2:8" x14ac:dyDescent="0.3">
      <c r="B57" s="102" t="s">
        <v>204</v>
      </c>
      <c r="C57" s="103"/>
      <c r="D57" s="103"/>
      <c r="E57" s="175"/>
      <c r="F57" s="126"/>
      <c r="G57" s="125">
        <f>SUM(G53:G56)</f>
        <v>36910</v>
      </c>
      <c r="H57" s="121"/>
    </row>
    <row r="58" spans="2:8" x14ac:dyDescent="0.3">
      <c r="B58" s="96" t="s">
        <v>205</v>
      </c>
      <c r="C58" s="97" t="s">
        <v>206</v>
      </c>
      <c r="D58" s="98"/>
      <c r="E58" s="173"/>
      <c r="F58" s="122"/>
      <c r="G58" s="123"/>
      <c r="H58" s="121"/>
    </row>
    <row r="59" spans="2:8" x14ac:dyDescent="0.3">
      <c r="B59" s="99">
        <v>1</v>
      </c>
      <c r="C59" s="97" t="s">
        <v>211</v>
      </c>
      <c r="D59" s="100" t="s">
        <v>212</v>
      </c>
      <c r="E59" s="174">
        <v>10.224</v>
      </c>
      <c r="F59" s="124">
        <v>1300</v>
      </c>
      <c r="G59" s="83">
        <f t="shared" ref="G59:G60" si="9">E59*F59</f>
        <v>13291.2</v>
      </c>
      <c r="H59" s="121"/>
    </row>
    <row r="60" spans="2:8" x14ac:dyDescent="0.3">
      <c r="B60" s="99">
        <v>2</v>
      </c>
      <c r="C60" s="106" t="s">
        <v>214</v>
      </c>
      <c r="D60" s="100" t="s">
        <v>215</v>
      </c>
      <c r="E60" s="174">
        <v>0.02</v>
      </c>
      <c r="F60" s="124">
        <v>275000</v>
      </c>
      <c r="G60" s="83">
        <f t="shared" si="9"/>
        <v>5500</v>
      </c>
      <c r="H60" s="121"/>
    </row>
    <row r="61" spans="2:8" x14ac:dyDescent="0.3">
      <c r="B61" s="102" t="s">
        <v>218</v>
      </c>
      <c r="C61" s="103"/>
      <c r="D61" s="103"/>
      <c r="E61" s="175"/>
      <c r="F61" s="126"/>
      <c r="G61" s="125">
        <f>SUM(G59:G60)</f>
        <v>18791.2</v>
      </c>
      <c r="H61" s="121"/>
    </row>
    <row r="62" spans="2:8" x14ac:dyDescent="0.3">
      <c r="B62" s="107" t="s">
        <v>219</v>
      </c>
      <c r="C62" s="97" t="s">
        <v>220</v>
      </c>
      <c r="D62" s="98"/>
      <c r="E62" s="173"/>
      <c r="F62" s="122"/>
      <c r="G62" s="123"/>
      <c r="H62" s="121"/>
    </row>
    <row r="63" spans="2:8" x14ac:dyDescent="0.3">
      <c r="B63" s="102" t="s">
        <v>221</v>
      </c>
      <c r="C63" s="103"/>
      <c r="D63" s="103"/>
      <c r="E63" s="175"/>
      <c r="F63" s="126"/>
      <c r="G63" s="108">
        <v>0</v>
      </c>
      <c r="H63" s="121"/>
    </row>
    <row r="64" spans="2:8" x14ac:dyDescent="0.3">
      <c r="B64" s="109" t="s">
        <v>222</v>
      </c>
      <c r="C64" s="110" t="s">
        <v>223</v>
      </c>
      <c r="D64" s="111"/>
      <c r="E64" s="176"/>
      <c r="F64" s="127"/>
      <c r="G64" s="77">
        <f>G57+G61+G63</f>
        <v>55701.2</v>
      </c>
      <c r="H64" s="128"/>
    </row>
    <row r="65" spans="2:9" x14ac:dyDescent="0.3">
      <c r="B65" s="109" t="s">
        <v>224</v>
      </c>
      <c r="C65" s="110" t="s">
        <v>225</v>
      </c>
      <c r="D65" s="111"/>
      <c r="E65" s="177"/>
      <c r="F65" s="129">
        <v>0.1</v>
      </c>
      <c r="G65" s="77">
        <f>G64*0.15</f>
        <v>8355.1799999999985</v>
      </c>
      <c r="H65" s="128"/>
    </row>
    <row r="66" spans="2:9" ht="15" thickBot="1" x14ac:dyDescent="0.35">
      <c r="B66" s="113" t="s">
        <v>226</v>
      </c>
      <c r="C66" s="114" t="s">
        <v>227</v>
      </c>
      <c r="D66" s="115"/>
      <c r="E66" s="178"/>
      <c r="F66" s="130"/>
      <c r="G66" s="90">
        <f>G64+G65</f>
        <v>64056.38</v>
      </c>
      <c r="H66" s="128"/>
      <c r="I66" s="90"/>
    </row>
    <row r="67" spans="2:9" ht="15" thickTop="1" x14ac:dyDescent="0.3"/>
    <row r="69" spans="2:9" ht="15" thickBot="1" x14ac:dyDescent="0.35">
      <c r="B69" s="91" t="s">
        <v>230</v>
      </c>
      <c r="C69" s="92" t="s">
        <v>231</v>
      </c>
      <c r="D69" s="93"/>
      <c r="E69" s="171"/>
      <c r="F69" s="117"/>
      <c r="G69" s="117"/>
      <c r="H69" s="160">
        <f>ROUNDDOWN(G84,-2)</f>
        <v>47300</v>
      </c>
    </row>
    <row r="70" spans="2:9" ht="42" thickTop="1" x14ac:dyDescent="0.3">
      <c r="B70" s="94" t="s">
        <v>191</v>
      </c>
      <c r="C70" s="95" t="s">
        <v>192</v>
      </c>
      <c r="D70" s="95" t="s">
        <v>193</v>
      </c>
      <c r="E70" s="172" t="s">
        <v>194</v>
      </c>
      <c r="F70" s="119" t="s">
        <v>195</v>
      </c>
      <c r="G70" s="120" t="s">
        <v>196</v>
      </c>
      <c r="H70" s="121"/>
    </row>
    <row r="71" spans="2:9" x14ac:dyDescent="0.3">
      <c r="B71" s="96" t="s">
        <v>197</v>
      </c>
      <c r="C71" s="97" t="s">
        <v>198</v>
      </c>
      <c r="D71" s="98"/>
      <c r="E71" s="173"/>
      <c r="F71" s="122"/>
      <c r="G71" s="123"/>
      <c r="H71" s="121"/>
    </row>
    <row r="72" spans="2:9" x14ac:dyDescent="0.3">
      <c r="B72" s="99">
        <v>1</v>
      </c>
      <c r="C72" s="97" t="s">
        <v>199</v>
      </c>
      <c r="D72" s="100" t="s">
        <v>200</v>
      </c>
      <c r="E72" s="174">
        <v>0.2</v>
      </c>
      <c r="F72" s="124">
        <v>100000</v>
      </c>
      <c r="G72" s="83">
        <f t="shared" ref="G72:G75" si="10">E72*F72</f>
        <v>20000</v>
      </c>
      <c r="H72" s="128"/>
    </row>
    <row r="73" spans="2:9" x14ac:dyDescent="0.3">
      <c r="B73" s="99">
        <v>2</v>
      </c>
      <c r="C73" s="97" t="s">
        <v>201</v>
      </c>
      <c r="D73" s="100" t="s">
        <v>200</v>
      </c>
      <c r="E73" s="174">
        <v>0.1</v>
      </c>
      <c r="F73" s="124">
        <v>145000</v>
      </c>
      <c r="G73" s="83">
        <f t="shared" si="10"/>
        <v>14500</v>
      </c>
      <c r="H73" s="128"/>
    </row>
    <row r="74" spans="2:9" x14ac:dyDescent="0.3">
      <c r="B74" s="99">
        <v>3</v>
      </c>
      <c r="C74" s="97" t="s">
        <v>202</v>
      </c>
      <c r="D74" s="100" t="s">
        <v>200</v>
      </c>
      <c r="E74" s="174">
        <v>0.01</v>
      </c>
      <c r="F74" s="124">
        <v>175000</v>
      </c>
      <c r="G74" s="83">
        <f t="shared" si="10"/>
        <v>1750</v>
      </c>
      <c r="H74" s="128"/>
    </row>
    <row r="75" spans="2:9" x14ac:dyDescent="0.3">
      <c r="B75" s="99">
        <v>4</v>
      </c>
      <c r="C75" s="97" t="s">
        <v>203</v>
      </c>
      <c r="D75" s="100" t="s">
        <v>200</v>
      </c>
      <c r="E75" s="174">
        <v>3.3E-3</v>
      </c>
      <c r="F75" s="124">
        <v>200000</v>
      </c>
      <c r="G75" s="83">
        <f t="shared" si="10"/>
        <v>660</v>
      </c>
      <c r="H75" s="128"/>
    </row>
    <row r="76" spans="2:9" x14ac:dyDescent="0.3">
      <c r="B76" s="102" t="s">
        <v>204</v>
      </c>
      <c r="C76" s="103"/>
      <c r="D76" s="103"/>
      <c r="E76" s="175"/>
      <c r="F76" s="126"/>
      <c r="G76" s="125">
        <f>SUM(G72:G75)</f>
        <v>36910</v>
      </c>
      <c r="H76" s="128"/>
    </row>
    <row r="77" spans="2:9" x14ac:dyDescent="0.3">
      <c r="B77" s="96" t="s">
        <v>205</v>
      </c>
      <c r="C77" s="97" t="s">
        <v>206</v>
      </c>
      <c r="D77" s="98"/>
      <c r="E77" s="173"/>
      <c r="F77" s="122"/>
      <c r="G77" s="123"/>
      <c r="H77" s="128"/>
    </row>
    <row r="78" spans="2:9" x14ac:dyDescent="0.3">
      <c r="B78" s="99">
        <v>1</v>
      </c>
      <c r="C78" s="97" t="s">
        <v>211</v>
      </c>
      <c r="D78" s="100" t="s">
        <v>212</v>
      </c>
      <c r="E78" s="174">
        <v>3.25</v>
      </c>
      <c r="F78" s="124">
        <v>1300</v>
      </c>
      <c r="G78" s="83">
        <f>E78*F78</f>
        <v>4225</v>
      </c>
      <c r="H78" s="128"/>
    </row>
    <row r="79" spans="2:9" x14ac:dyDescent="0.3">
      <c r="B79" s="102" t="s">
        <v>218</v>
      </c>
      <c r="C79" s="103"/>
      <c r="D79" s="103"/>
      <c r="E79" s="175"/>
      <c r="F79" s="126"/>
      <c r="G79" s="125">
        <f>SUM(G78)</f>
        <v>4225</v>
      </c>
      <c r="H79" s="121"/>
    </row>
    <row r="80" spans="2:9" x14ac:dyDescent="0.3">
      <c r="B80" s="107" t="s">
        <v>219</v>
      </c>
      <c r="C80" s="97" t="s">
        <v>220</v>
      </c>
      <c r="D80" s="98"/>
      <c r="E80" s="173"/>
      <c r="F80" s="122"/>
      <c r="G80" s="123"/>
      <c r="H80" s="121"/>
    </row>
    <row r="81" spans="2:9" x14ac:dyDescent="0.3">
      <c r="B81" s="102" t="s">
        <v>221</v>
      </c>
      <c r="C81" s="103"/>
      <c r="D81" s="103"/>
      <c r="E81" s="175"/>
      <c r="F81" s="126"/>
      <c r="G81" s="108">
        <v>0</v>
      </c>
      <c r="H81" s="121"/>
    </row>
    <row r="82" spans="2:9" x14ac:dyDescent="0.3">
      <c r="B82" s="109" t="s">
        <v>222</v>
      </c>
      <c r="C82" s="110" t="s">
        <v>223</v>
      </c>
      <c r="D82" s="111"/>
      <c r="E82" s="176"/>
      <c r="F82" s="127"/>
      <c r="G82" s="77">
        <f>G76+G79+G81</f>
        <v>41135</v>
      </c>
      <c r="H82" s="128"/>
    </row>
    <row r="83" spans="2:9" x14ac:dyDescent="0.3">
      <c r="B83" s="109" t="s">
        <v>224</v>
      </c>
      <c r="C83" s="110" t="s">
        <v>225</v>
      </c>
      <c r="D83" s="111"/>
      <c r="E83" s="177"/>
      <c r="F83" s="129">
        <v>0.1</v>
      </c>
      <c r="G83" s="77">
        <f>G82*0.15</f>
        <v>6170.25</v>
      </c>
      <c r="H83" s="128"/>
    </row>
    <row r="84" spans="2:9" ht="15" thickBot="1" x14ac:dyDescent="0.35">
      <c r="B84" s="113" t="s">
        <v>226</v>
      </c>
      <c r="C84" s="114" t="s">
        <v>227</v>
      </c>
      <c r="D84" s="115"/>
      <c r="E84" s="178"/>
      <c r="F84" s="130"/>
      <c r="G84" s="90">
        <f>G82+G83</f>
        <v>47305.25</v>
      </c>
      <c r="H84" s="128"/>
      <c r="I84" s="90"/>
    </row>
    <row r="85" spans="2:9" ht="15" thickTop="1" x14ac:dyDescent="0.3"/>
    <row r="87" spans="2:9" ht="28.2" thickBot="1" x14ac:dyDescent="0.35">
      <c r="B87" s="132" t="s">
        <v>338</v>
      </c>
      <c r="C87" s="133" t="s">
        <v>340</v>
      </c>
      <c r="D87" s="133"/>
      <c r="E87" s="133"/>
      <c r="F87" s="151"/>
      <c r="G87" s="151"/>
      <c r="H87" s="160">
        <f>ROUNDDOWN(G105,-3)</f>
        <v>222000</v>
      </c>
    </row>
    <row r="88" spans="2:9" ht="28.2" thickTop="1" x14ac:dyDescent="0.3">
      <c r="B88" s="94" t="s">
        <v>191</v>
      </c>
      <c r="C88" s="95" t="s">
        <v>192</v>
      </c>
      <c r="D88" s="95" t="s">
        <v>193</v>
      </c>
      <c r="E88" s="95" t="s">
        <v>194</v>
      </c>
      <c r="F88" s="119" t="s">
        <v>195</v>
      </c>
      <c r="G88" s="120" t="s">
        <v>196</v>
      </c>
      <c r="H88" s="121"/>
    </row>
    <row r="89" spans="2:9" x14ac:dyDescent="0.3">
      <c r="B89" s="134" t="s">
        <v>197</v>
      </c>
      <c r="C89" s="135" t="s">
        <v>198</v>
      </c>
      <c r="D89" s="136"/>
      <c r="E89" s="136"/>
      <c r="F89" s="152"/>
      <c r="G89" s="153"/>
      <c r="H89" s="121"/>
    </row>
    <row r="90" spans="2:9" x14ac:dyDescent="0.3">
      <c r="B90" s="137">
        <v>1</v>
      </c>
      <c r="C90" s="135" t="s">
        <v>199</v>
      </c>
      <c r="D90" s="138" t="s">
        <v>200</v>
      </c>
      <c r="E90" s="233">
        <v>0.1429</v>
      </c>
      <c r="F90" s="154">
        <v>100000</v>
      </c>
      <c r="G90" s="155">
        <f>E90*F90</f>
        <v>14290</v>
      </c>
      <c r="H90" s="121"/>
    </row>
    <row r="91" spans="2:9" x14ac:dyDescent="0.3">
      <c r="B91" s="137">
        <v>2</v>
      </c>
      <c r="C91" s="135" t="s">
        <v>201</v>
      </c>
      <c r="D91" s="138" t="s">
        <v>200</v>
      </c>
      <c r="E91" s="233">
        <v>7.1400000000000005E-2</v>
      </c>
      <c r="F91" s="154">
        <v>145000</v>
      </c>
      <c r="G91" s="155">
        <f t="shared" ref="G91:G93" si="11">E91*F91</f>
        <v>10353</v>
      </c>
      <c r="H91" s="121"/>
    </row>
    <row r="92" spans="2:9" x14ac:dyDescent="0.3">
      <c r="B92" s="137">
        <v>3</v>
      </c>
      <c r="C92" s="135" t="s">
        <v>202</v>
      </c>
      <c r="D92" s="138" t="s">
        <v>200</v>
      </c>
      <c r="E92" s="233">
        <v>7.1000000000000004E-3</v>
      </c>
      <c r="F92" s="154">
        <v>175000</v>
      </c>
      <c r="G92" s="155">
        <f t="shared" si="11"/>
        <v>1242.5</v>
      </c>
      <c r="H92" s="121"/>
    </row>
    <row r="93" spans="2:9" x14ac:dyDescent="0.3">
      <c r="B93" s="137">
        <v>4</v>
      </c>
      <c r="C93" s="135" t="s">
        <v>203</v>
      </c>
      <c r="D93" s="138" t="s">
        <v>200</v>
      </c>
      <c r="E93" s="233">
        <v>2.3999999999999998E-3</v>
      </c>
      <c r="F93" s="154">
        <v>200000</v>
      </c>
      <c r="G93" s="155">
        <f t="shared" si="11"/>
        <v>479.99999999999994</v>
      </c>
      <c r="H93" s="121"/>
    </row>
    <row r="94" spans="2:9" x14ac:dyDescent="0.3">
      <c r="B94" s="102" t="s">
        <v>234</v>
      </c>
      <c r="C94" s="103"/>
      <c r="D94" s="103"/>
      <c r="E94" s="116"/>
      <c r="F94" s="126"/>
      <c r="G94" s="155">
        <f>SUM(G90:G93)</f>
        <v>26365.5</v>
      </c>
      <c r="H94" s="161"/>
    </row>
    <row r="95" spans="2:9" x14ac:dyDescent="0.3">
      <c r="B95" s="134" t="s">
        <v>205</v>
      </c>
      <c r="C95" s="135" t="s">
        <v>206</v>
      </c>
      <c r="D95" s="136"/>
      <c r="E95" s="136"/>
      <c r="F95" s="152"/>
      <c r="G95" s="153"/>
      <c r="H95" s="121"/>
    </row>
    <row r="96" spans="2:9" x14ac:dyDescent="0.3">
      <c r="B96" s="139" t="s">
        <v>207</v>
      </c>
      <c r="C96" s="141" t="s">
        <v>339</v>
      </c>
      <c r="D96" s="138" t="s">
        <v>209</v>
      </c>
      <c r="E96" s="140">
        <v>25</v>
      </c>
      <c r="F96" s="154">
        <f>130000/25</f>
        <v>5200</v>
      </c>
      <c r="G96" s="155">
        <f t="shared" ref="G96:G99" si="12">E96*F96</f>
        <v>130000</v>
      </c>
      <c r="H96" s="121"/>
    </row>
    <row r="97" spans="2:8" x14ac:dyDescent="0.3">
      <c r="B97" s="139" t="s">
        <v>210</v>
      </c>
      <c r="C97" s="135" t="s">
        <v>240</v>
      </c>
      <c r="D97" s="138" t="s">
        <v>212</v>
      </c>
      <c r="E97" s="140">
        <v>13.632</v>
      </c>
      <c r="F97" s="154">
        <v>1300</v>
      </c>
      <c r="G97" s="155">
        <f t="shared" si="12"/>
        <v>17721.599999999999</v>
      </c>
      <c r="H97" s="121"/>
    </row>
    <row r="98" spans="2:8" x14ac:dyDescent="0.3">
      <c r="B98" s="139" t="s">
        <v>213</v>
      </c>
      <c r="C98" s="135" t="s">
        <v>236</v>
      </c>
      <c r="D98" s="138" t="s">
        <v>212</v>
      </c>
      <c r="E98" s="140">
        <v>1.5</v>
      </c>
      <c r="F98" s="154">
        <v>7800</v>
      </c>
      <c r="G98" s="155">
        <f t="shared" si="12"/>
        <v>11700</v>
      </c>
      <c r="H98" s="121"/>
    </row>
    <row r="99" spans="2:8" x14ac:dyDescent="0.3">
      <c r="B99" s="139" t="s">
        <v>216</v>
      </c>
      <c r="C99" s="141" t="s">
        <v>214</v>
      </c>
      <c r="D99" s="138" t="s">
        <v>215</v>
      </c>
      <c r="E99" s="140">
        <v>2.7E-2</v>
      </c>
      <c r="F99" s="154">
        <v>275000</v>
      </c>
      <c r="G99" s="155">
        <f t="shared" si="12"/>
        <v>7425</v>
      </c>
      <c r="H99" s="121"/>
    </row>
    <row r="100" spans="2:8" x14ac:dyDescent="0.3">
      <c r="B100" s="102" t="s">
        <v>218</v>
      </c>
      <c r="C100" s="103"/>
      <c r="D100" s="103"/>
      <c r="E100" s="103"/>
      <c r="F100" s="126"/>
      <c r="G100" s="155">
        <f>SUM(G96:G99)</f>
        <v>166846.6</v>
      </c>
      <c r="H100" s="121"/>
    </row>
    <row r="101" spans="2:8" x14ac:dyDescent="0.3">
      <c r="B101" s="142" t="s">
        <v>219</v>
      </c>
      <c r="C101" s="135" t="s">
        <v>220</v>
      </c>
      <c r="D101" s="136"/>
      <c r="E101" s="136"/>
      <c r="F101" s="152"/>
      <c r="G101" s="153"/>
      <c r="H101" s="121"/>
    </row>
    <row r="102" spans="2:8" x14ac:dyDescent="0.3">
      <c r="B102" s="102" t="s">
        <v>221</v>
      </c>
      <c r="C102" s="103"/>
      <c r="D102" s="103"/>
      <c r="E102" s="103"/>
      <c r="F102" s="126"/>
      <c r="G102" s="143">
        <v>0</v>
      </c>
      <c r="H102" s="121"/>
    </row>
    <row r="103" spans="2:8" x14ac:dyDescent="0.3">
      <c r="B103" s="144" t="s">
        <v>222</v>
      </c>
      <c r="C103" s="145" t="s">
        <v>223</v>
      </c>
      <c r="D103" s="146"/>
      <c r="E103" s="146"/>
      <c r="F103" s="156"/>
      <c r="G103" s="155">
        <f>G100+G94</f>
        <v>193212.1</v>
      </c>
      <c r="H103" s="121"/>
    </row>
    <row r="104" spans="2:8" x14ac:dyDescent="0.3">
      <c r="B104" s="144" t="s">
        <v>224</v>
      </c>
      <c r="C104" s="145" t="s">
        <v>225</v>
      </c>
      <c r="D104" s="146"/>
      <c r="E104" s="147"/>
      <c r="F104" s="157">
        <v>0.1</v>
      </c>
      <c r="G104" s="317">
        <f>G103*0.15</f>
        <v>28981.814999999999</v>
      </c>
      <c r="H104" s="121"/>
    </row>
    <row r="105" spans="2:8" ht="15" thickBot="1" x14ac:dyDescent="0.35">
      <c r="B105" s="148" t="s">
        <v>226</v>
      </c>
      <c r="C105" s="149" t="s">
        <v>227</v>
      </c>
      <c r="D105" s="150"/>
      <c r="E105" s="150"/>
      <c r="F105" s="158"/>
      <c r="G105" s="159">
        <f>G103+G104</f>
        <v>222193.91500000001</v>
      </c>
      <c r="H105" s="121"/>
    </row>
    <row r="106" spans="2:8" ht="15" thickTop="1" x14ac:dyDescent="0.3"/>
    <row r="109" spans="2:8" ht="42" thickBot="1" x14ac:dyDescent="0.35">
      <c r="B109" s="132" t="s">
        <v>232</v>
      </c>
      <c r="C109" s="133" t="s">
        <v>233</v>
      </c>
      <c r="D109" s="133"/>
      <c r="E109" s="179"/>
      <c r="F109" s="151"/>
      <c r="G109" s="151"/>
      <c r="H109" s="160">
        <f>ROUNDDOWN(G127,-2)</f>
        <v>354000</v>
      </c>
    </row>
    <row r="110" spans="2:8" ht="42" thickTop="1" x14ac:dyDescent="0.3">
      <c r="B110" s="94" t="s">
        <v>191</v>
      </c>
      <c r="C110" s="95" t="s">
        <v>192</v>
      </c>
      <c r="D110" s="95" t="s">
        <v>193</v>
      </c>
      <c r="E110" s="172" t="s">
        <v>194</v>
      </c>
      <c r="F110" s="119" t="s">
        <v>195</v>
      </c>
      <c r="G110" s="120" t="s">
        <v>196</v>
      </c>
      <c r="H110" s="121"/>
    </row>
    <row r="111" spans="2:8" x14ac:dyDescent="0.3">
      <c r="B111" s="134" t="s">
        <v>197</v>
      </c>
      <c r="C111" s="135" t="s">
        <v>198</v>
      </c>
      <c r="D111" s="136"/>
      <c r="E111" s="180"/>
      <c r="F111" s="152"/>
      <c r="G111" s="153"/>
      <c r="H111" s="121"/>
    </row>
    <row r="112" spans="2:8" x14ac:dyDescent="0.3">
      <c r="B112" s="137">
        <v>1</v>
      </c>
      <c r="C112" s="135" t="s">
        <v>199</v>
      </c>
      <c r="D112" s="138" t="s">
        <v>200</v>
      </c>
      <c r="E112" s="181">
        <v>0.25</v>
      </c>
      <c r="F112" s="154">
        <v>100000</v>
      </c>
      <c r="G112" s="155">
        <f t="shared" ref="G112:G115" si="13">E112*F112</f>
        <v>25000</v>
      </c>
      <c r="H112" s="121"/>
    </row>
    <row r="113" spans="2:9" x14ac:dyDescent="0.3">
      <c r="B113" s="137">
        <v>2</v>
      </c>
      <c r="C113" s="135" t="s">
        <v>201</v>
      </c>
      <c r="D113" s="138" t="s">
        <v>200</v>
      </c>
      <c r="E113" s="181">
        <v>8.3299999999999999E-2</v>
      </c>
      <c r="F113" s="154">
        <v>145000</v>
      </c>
      <c r="G113" s="155">
        <f t="shared" si="13"/>
        <v>12078.5</v>
      </c>
      <c r="H113" s="121"/>
    </row>
    <row r="114" spans="2:9" x14ac:dyDescent="0.3">
      <c r="B114" s="137">
        <v>3</v>
      </c>
      <c r="C114" s="135" t="s">
        <v>202</v>
      </c>
      <c r="D114" s="138" t="s">
        <v>200</v>
      </c>
      <c r="E114" s="181">
        <v>8.3000000000000001E-3</v>
      </c>
      <c r="F114" s="154">
        <v>175000</v>
      </c>
      <c r="G114" s="155">
        <f t="shared" si="13"/>
        <v>1452.5</v>
      </c>
      <c r="H114" s="121"/>
    </row>
    <row r="115" spans="2:9" x14ac:dyDescent="0.3">
      <c r="B115" s="137">
        <v>4</v>
      </c>
      <c r="C115" s="135" t="s">
        <v>203</v>
      </c>
      <c r="D115" s="138" t="s">
        <v>200</v>
      </c>
      <c r="E115" s="181">
        <v>2.8E-3</v>
      </c>
      <c r="F115" s="154">
        <v>200000</v>
      </c>
      <c r="G115" s="155">
        <f t="shared" si="13"/>
        <v>560</v>
      </c>
      <c r="H115" s="121"/>
    </row>
    <row r="116" spans="2:9" x14ac:dyDescent="0.3">
      <c r="B116" s="102" t="s">
        <v>234</v>
      </c>
      <c r="C116" s="103"/>
      <c r="D116" s="103"/>
      <c r="E116" s="175"/>
      <c r="F116" s="126"/>
      <c r="G116" s="155">
        <f>SUM(G112:G115)</f>
        <v>39091</v>
      </c>
      <c r="H116" s="161"/>
    </row>
    <row r="117" spans="2:9" x14ac:dyDescent="0.3">
      <c r="B117" s="134" t="s">
        <v>205</v>
      </c>
      <c r="C117" s="135" t="s">
        <v>206</v>
      </c>
      <c r="D117" s="136"/>
      <c r="E117" s="180"/>
      <c r="F117" s="152"/>
      <c r="G117" s="153"/>
      <c r="H117" s="121"/>
    </row>
    <row r="118" spans="2:9" x14ac:dyDescent="0.3">
      <c r="B118" s="139" t="s">
        <v>207</v>
      </c>
      <c r="C118" s="135" t="s">
        <v>235</v>
      </c>
      <c r="D118" s="138" t="s">
        <v>209</v>
      </c>
      <c r="E118" s="181">
        <v>2.9169999999999998</v>
      </c>
      <c r="F118" s="154">
        <f>238500/3</f>
        <v>79500</v>
      </c>
      <c r="G118" s="155">
        <f t="shared" ref="G118:G121" si="14">E118*F118</f>
        <v>231901.49999999997</v>
      </c>
      <c r="H118" s="121"/>
    </row>
    <row r="119" spans="2:9" x14ac:dyDescent="0.3">
      <c r="B119" s="139" t="s">
        <v>210</v>
      </c>
      <c r="C119" s="135" t="s">
        <v>211</v>
      </c>
      <c r="D119" s="138" t="s">
        <v>212</v>
      </c>
      <c r="E119" s="181">
        <v>13.632</v>
      </c>
      <c r="F119" s="154">
        <v>1300</v>
      </c>
      <c r="G119" s="155">
        <f t="shared" si="14"/>
        <v>17721.599999999999</v>
      </c>
      <c r="H119" s="121"/>
    </row>
    <row r="120" spans="2:9" x14ac:dyDescent="0.3">
      <c r="B120" s="139" t="s">
        <v>213</v>
      </c>
      <c r="C120" s="135" t="s">
        <v>236</v>
      </c>
      <c r="D120" s="138" t="s">
        <v>212</v>
      </c>
      <c r="E120" s="181">
        <v>1.5</v>
      </c>
      <c r="F120" s="154">
        <v>7800</v>
      </c>
      <c r="G120" s="155">
        <f t="shared" si="14"/>
        <v>11700</v>
      </c>
      <c r="H120" s="121"/>
    </row>
    <row r="121" spans="2:9" x14ac:dyDescent="0.3">
      <c r="B121" s="139" t="s">
        <v>216</v>
      </c>
      <c r="C121" s="141" t="s">
        <v>214</v>
      </c>
      <c r="D121" s="138" t="s">
        <v>215</v>
      </c>
      <c r="E121" s="181">
        <v>2.7E-2</v>
      </c>
      <c r="F121" s="154">
        <v>275000</v>
      </c>
      <c r="G121" s="155">
        <f t="shared" si="14"/>
        <v>7425</v>
      </c>
      <c r="H121" s="121"/>
    </row>
    <row r="122" spans="2:9" x14ac:dyDescent="0.3">
      <c r="B122" s="102" t="s">
        <v>218</v>
      </c>
      <c r="C122" s="103"/>
      <c r="D122" s="103"/>
      <c r="E122" s="175"/>
      <c r="F122" s="126"/>
      <c r="G122" s="155">
        <f>SUM(G118:G121)</f>
        <v>268748.09999999998</v>
      </c>
      <c r="H122" s="121"/>
    </row>
    <row r="123" spans="2:9" x14ac:dyDescent="0.3">
      <c r="B123" s="142" t="s">
        <v>219</v>
      </c>
      <c r="C123" s="135" t="s">
        <v>220</v>
      </c>
      <c r="D123" s="136"/>
      <c r="E123" s="180"/>
      <c r="F123" s="152"/>
      <c r="G123" s="153"/>
      <c r="H123" s="121"/>
    </row>
    <row r="124" spans="2:9" x14ac:dyDescent="0.3">
      <c r="B124" s="102" t="s">
        <v>221</v>
      </c>
      <c r="C124" s="103"/>
      <c r="D124" s="103"/>
      <c r="E124" s="175"/>
      <c r="F124" s="126"/>
      <c r="G124" s="143">
        <v>0</v>
      </c>
      <c r="H124" s="121"/>
    </row>
    <row r="125" spans="2:9" x14ac:dyDescent="0.3">
      <c r="B125" s="144" t="s">
        <v>222</v>
      </c>
      <c r="C125" s="145" t="s">
        <v>223</v>
      </c>
      <c r="D125" s="146"/>
      <c r="E125" s="182"/>
      <c r="F125" s="156"/>
      <c r="G125" s="155">
        <f>G122+G116</f>
        <v>307839.09999999998</v>
      </c>
      <c r="H125" s="121"/>
    </row>
    <row r="126" spans="2:9" x14ac:dyDescent="0.3">
      <c r="B126" s="144" t="s">
        <v>224</v>
      </c>
      <c r="C126" s="145" t="s">
        <v>225</v>
      </c>
      <c r="D126" s="146"/>
      <c r="E126" s="183"/>
      <c r="F126" s="157">
        <v>0.1</v>
      </c>
      <c r="G126" s="317">
        <f>G125*0.15</f>
        <v>46175.864999999998</v>
      </c>
      <c r="H126" s="121"/>
    </row>
    <row r="127" spans="2:9" ht="15" thickBot="1" x14ac:dyDescent="0.35">
      <c r="B127" s="148" t="s">
        <v>226</v>
      </c>
      <c r="C127" s="149" t="s">
        <v>227</v>
      </c>
      <c r="D127" s="150"/>
      <c r="E127" s="184"/>
      <c r="F127" s="158"/>
      <c r="G127" s="159">
        <f>G125+G126</f>
        <v>354014.96499999997</v>
      </c>
      <c r="H127" s="121"/>
      <c r="I127" s="90"/>
    </row>
    <row r="130" spans="2:8" ht="42" thickBot="1" x14ac:dyDescent="0.35">
      <c r="B130" s="132" t="s">
        <v>237</v>
      </c>
      <c r="C130" s="133" t="s">
        <v>238</v>
      </c>
      <c r="D130" s="133"/>
      <c r="E130" s="179"/>
      <c r="F130" s="151"/>
      <c r="G130" s="151"/>
      <c r="H130" s="160">
        <f>ROUNDDOWN(G148,-2)</f>
        <v>40400</v>
      </c>
    </row>
    <row r="131" spans="2:8" ht="42" thickTop="1" x14ac:dyDescent="0.3">
      <c r="B131" s="94" t="s">
        <v>191</v>
      </c>
      <c r="C131" s="95" t="s">
        <v>192</v>
      </c>
      <c r="D131" s="95" t="s">
        <v>193</v>
      </c>
      <c r="E131" s="172" t="s">
        <v>194</v>
      </c>
      <c r="F131" s="119" t="s">
        <v>195</v>
      </c>
      <c r="G131" s="120" t="s">
        <v>196</v>
      </c>
      <c r="H131" s="121"/>
    </row>
    <row r="132" spans="2:8" x14ac:dyDescent="0.3">
      <c r="B132" s="134" t="s">
        <v>197</v>
      </c>
      <c r="C132" s="135" t="s">
        <v>198</v>
      </c>
      <c r="D132" s="136"/>
      <c r="E132" s="180"/>
      <c r="F132" s="152"/>
      <c r="G132" s="153"/>
      <c r="H132" s="121"/>
    </row>
    <row r="133" spans="2:8" x14ac:dyDescent="0.3">
      <c r="B133" s="137">
        <v>1</v>
      </c>
      <c r="C133" s="135" t="s">
        <v>199</v>
      </c>
      <c r="D133" s="138" t="s">
        <v>200</v>
      </c>
      <c r="E133" s="181">
        <v>7.1400000000000005E-2</v>
      </c>
      <c r="F133" s="154">
        <v>100000</v>
      </c>
      <c r="G133" s="155">
        <f t="shared" ref="G133:G136" si="15">E133*F133</f>
        <v>7140.0000000000009</v>
      </c>
      <c r="H133" s="121"/>
    </row>
    <row r="134" spans="2:8" x14ac:dyDescent="0.3">
      <c r="B134" s="137">
        <v>2</v>
      </c>
      <c r="C134" s="135" t="s">
        <v>201</v>
      </c>
      <c r="D134" s="138" t="s">
        <v>200</v>
      </c>
      <c r="E134" s="181">
        <v>3.5700000000000003E-2</v>
      </c>
      <c r="F134" s="154">
        <v>145000</v>
      </c>
      <c r="G134" s="155">
        <f t="shared" si="15"/>
        <v>5176.5</v>
      </c>
      <c r="H134" s="121"/>
    </row>
    <row r="135" spans="2:8" x14ac:dyDescent="0.3">
      <c r="B135" s="137">
        <v>3</v>
      </c>
      <c r="C135" s="135" t="s">
        <v>202</v>
      </c>
      <c r="D135" s="138" t="s">
        <v>200</v>
      </c>
      <c r="E135" s="181">
        <v>3.5999999999999999E-3</v>
      </c>
      <c r="F135" s="154">
        <v>175000</v>
      </c>
      <c r="G135" s="155">
        <f t="shared" si="15"/>
        <v>630</v>
      </c>
      <c r="H135" s="121"/>
    </row>
    <row r="136" spans="2:8" x14ac:dyDescent="0.3">
      <c r="B136" s="137">
        <v>4</v>
      </c>
      <c r="C136" s="135" t="s">
        <v>203</v>
      </c>
      <c r="D136" s="138" t="s">
        <v>200</v>
      </c>
      <c r="E136" s="181">
        <v>1.1999999999999999E-3</v>
      </c>
      <c r="F136" s="154">
        <v>200000</v>
      </c>
      <c r="G136" s="155">
        <f t="shared" si="15"/>
        <v>239.99999999999997</v>
      </c>
      <c r="H136" s="121"/>
    </row>
    <row r="137" spans="2:8" x14ac:dyDescent="0.3">
      <c r="B137" s="102" t="s">
        <v>234</v>
      </c>
      <c r="C137" s="103"/>
      <c r="D137" s="103"/>
      <c r="E137" s="175"/>
      <c r="F137" s="126"/>
      <c r="G137" s="155">
        <v>13186.5</v>
      </c>
      <c r="H137" s="161"/>
    </row>
    <row r="138" spans="2:8" x14ac:dyDescent="0.3">
      <c r="B138" s="134" t="s">
        <v>205</v>
      </c>
      <c r="C138" s="135" t="s">
        <v>206</v>
      </c>
      <c r="D138" s="136"/>
      <c r="E138" s="180"/>
      <c r="F138" s="152"/>
      <c r="G138" s="153"/>
      <c r="H138" s="121"/>
    </row>
    <row r="139" spans="2:8" x14ac:dyDescent="0.3">
      <c r="B139" s="139" t="s">
        <v>207</v>
      </c>
      <c r="C139" s="141" t="s">
        <v>239</v>
      </c>
      <c r="D139" s="138" t="s">
        <v>209</v>
      </c>
      <c r="E139" s="181">
        <v>1.75</v>
      </c>
      <c r="F139" s="154">
        <v>10000</v>
      </c>
      <c r="G139" s="155">
        <f t="shared" ref="G139:G142" si="16">E139*F139</f>
        <v>17500</v>
      </c>
      <c r="H139" s="121"/>
    </row>
    <row r="140" spans="2:8" x14ac:dyDescent="0.3">
      <c r="B140" s="139" t="s">
        <v>210</v>
      </c>
      <c r="C140" s="135" t="s">
        <v>240</v>
      </c>
      <c r="D140" s="138" t="s">
        <v>212</v>
      </c>
      <c r="E140" s="181">
        <v>1.704</v>
      </c>
      <c r="F140" s="154">
        <v>1300</v>
      </c>
      <c r="G140" s="155">
        <f t="shared" si="16"/>
        <v>2215.1999999999998</v>
      </c>
      <c r="H140" s="121"/>
    </row>
    <row r="141" spans="2:8" x14ac:dyDescent="0.3">
      <c r="B141" s="139" t="s">
        <v>213</v>
      </c>
      <c r="C141" s="135" t="s">
        <v>236</v>
      </c>
      <c r="D141" s="138" t="s">
        <v>212</v>
      </c>
      <c r="E141" s="181">
        <v>0.188</v>
      </c>
      <c r="F141" s="154">
        <v>7800</v>
      </c>
      <c r="G141" s="155">
        <f t="shared" si="16"/>
        <v>1466.4</v>
      </c>
      <c r="H141" s="121"/>
    </row>
    <row r="142" spans="2:8" x14ac:dyDescent="0.3">
      <c r="B142" s="139" t="s">
        <v>216</v>
      </c>
      <c r="C142" s="141" t="s">
        <v>214</v>
      </c>
      <c r="D142" s="138" t="s">
        <v>215</v>
      </c>
      <c r="E142" s="181">
        <v>3.0000000000000001E-3</v>
      </c>
      <c r="F142" s="154">
        <v>275000</v>
      </c>
      <c r="G142" s="155">
        <f t="shared" si="16"/>
        <v>825</v>
      </c>
      <c r="H142" s="121"/>
    </row>
    <row r="143" spans="2:8" x14ac:dyDescent="0.3">
      <c r="B143" s="102" t="s">
        <v>218</v>
      </c>
      <c r="C143" s="103"/>
      <c r="D143" s="103"/>
      <c r="E143" s="175"/>
      <c r="F143" s="126"/>
      <c r="G143" s="155">
        <v>22006.600000000002</v>
      </c>
      <c r="H143" s="121"/>
    </row>
    <row r="144" spans="2:8" x14ac:dyDescent="0.3">
      <c r="B144" s="142" t="s">
        <v>219</v>
      </c>
      <c r="C144" s="135" t="s">
        <v>220</v>
      </c>
      <c r="D144" s="136"/>
      <c r="E144" s="180"/>
      <c r="F144" s="152"/>
      <c r="G144" s="153"/>
      <c r="H144" s="121"/>
    </row>
    <row r="145" spans="2:9" x14ac:dyDescent="0.3">
      <c r="B145" s="102" t="s">
        <v>221</v>
      </c>
      <c r="C145" s="103"/>
      <c r="D145" s="103"/>
      <c r="E145" s="175"/>
      <c r="F145" s="126"/>
      <c r="G145" s="143">
        <v>0</v>
      </c>
      <c r="H145" s="121"/>
    </row>
    <row r="146" spans="2:9" x14ac:dyDescent="0.3">
      <c r="B146" s="144" t="s">
        <v>222</v>
      </c>
      <c r="C146" s="145" t="s">
        <v>223</v>
      </c>
      <c r="D146" s="146"/>
      <c r="E146" s="182"/>
      <c r="F146" s="156"/>
      <c r="G146" s="155">
        <f>G143+G137</f>
        <v>35193.100000000006</v>
      </c>
      <c r="H146" s="121"/>
    </row>
    <row r="147" spans="2:9" x14ac:dyDescent="0.3">
      <c r="B147" s="144" t="s">
        <v>224</v>
      </c>
      <c r="C147" s="145" t="s">
        <v>225</v>
      </c>
      <c r="D147" s="146"/>
      <c r="E147" s="183"/>
      <c r="F147" s="157">
        <v>0.1</v>
      </c>
      <c r="G147" s="317">
        <f>G146*0.15</f>
        <v>5278.9650000000011</v>
      </c>
      <c r="H147" s="121"/>
    </row>
    <row r="148" spans="2:9" ht="15" thickBot="1" x14ac:dyDescent="0.35">
      <c r="B148" s="148" t="s">
        <v>226</v>
      </c>
      <c r="C148" s="149" t="s">
        <v>227</v>
      </c>
      <c r="D148" s="150"/>
      <c r="E148" s="184"/>
      <c r="F148" s="158"/>
      <c r="G148" s="159">
        <f>G146+G147</f>
        <v>40472.06500000001</v>
      </c>
      <c r="H148" s="121"/>
      <c r="I148" s="90"/>
    </row>
    <row r="151" spans="2:9" ht="15" thickBot="1" x14ac:dyDescent="0.35">
      <c r="B151" s="132" t="s">
        <v>241</v>
      </c>
      <c r="C151" s="186" t="s">
        <v>242</v>
      </c>
      <c r="D151" s="186"/>
      <c r="E151" s="186"/>
      <c r="F151" s="160"/>
      <c r="G151" s="160"/>
      <c r="H151" s="160">
        <f>ROUNDDOWN(G169,-2)</f>
        <v>269900</v>
      </c>
    </row>
    <row r="152" spans="2:9" ht="28.2" thickTop="1" x14ac:dyDescent="0.3">
      <c r="B152" s="94" t="s">
        <v>191</v>
      </c>
      <c r="C152" s="95" t="s">
        <v>192</v>
      </c>
      <c r="D152" s="95" t="s">
        <v>193</v>
      </c>
      <c r="E152" s="95" t="s">
        <v>194</v>
      </c>
      <c r="F152" s="119" t="s">
        <v>195</v>
      </c>
      <c r="G152" s="120" t="s">
        <v>196</v>
      </c>
      <c r="H152" s="121"/>
    </row>
    <row r="153" spans="2:9" x14ac:dyDescent="0.3">
      <c r="B153" s="134" t="s">
        <v>197</v>
      </c>
      <c r="C153" s="135" t="s">
        <v>198</v>
      </c>
      <c r="D153" s="136"/>
      <c r="E153" s="136"/>
      <c r="F153" s="152"/>
      <c r="G153" s="153"/>
      <c r="H153" s="121"/>
    </row>
    <row r="154" spans="2:9" x14ac:dyDescent="0.3">
      <c r="B154" s="137">
        <v>1</v>
      </c>
      <c r="C154" s="135" t="s">
        <v>199</v>
      </c>
      <c r="D154" s="138" t="s">
        <v>200</v>
      </c>
      <c r="E154" s="140">
        <v>0.5</v>
      </c>
      <c r="F154" s="154">
        <v>100000</v>
      </c>
      <c r="G154" s="155">
        <f t="shared" ref="G154:G157" si="17">E154*F154</f>
        <v>50000</v>
      </c>
      <c r="H154" s="121"/>
    </row>
    <row r="155" spans="2:9" x14ac:dyDescent="0.3">
      <c r="B155" s="137">
        <v>2</v>
      </c>
      <c r="C155" s="135" t="s">
        <v>201</v>
      </c>
      <c r="D155" s="138" t="s">
        <v>200</v>
      </c>
      <c r="E155" s="140">
        <v>0.25</v>
      </c>
      <c r="F155" s="154">
        <v>145000</v>
      </c>
      <c r="G155" s="155">
        <f t="shared" si="17"/>
        <v>36250</v>
      </c>
      <c r="H155" s="121"/>
    </row>
    <row r="156" spans="2:9" x14ac:dyDescent="0.3">
      <c r="B156" s="137">
        <v>3</v>
      </c>
      <c r="C156" s="135" t="s">
        <v>202</v>
      </c>
      <c r="D156" s="138" t="s">
        <v>200</v>
      </c>
      <c r="E156" s="140">
        <v>2.5000000000000001E-2</v>
      </c>
      <c r="F156" s="154">
        <v>175000</v>
      </c>
      <c r="G156" s="155">
        <f t="shared" si="17"/>
        <v>4375</v>
      </c>
      <c r="H156" s="121"/>
    </row>
    <row r="157" spans="2:9" x14ac:dyDescent="0.3">
      <c r="B157" s="137">
        <v>4</v>
      </c>
      <c r="C157" s="135" t="s">
        <v>203</v>
      </c>
      <c r="D157" s="138" t="s">
        <v>200</v>
      </c>
      <c r="E157" s="140">
        <v>8.0000000000000002E-3</v>
      </c>
      <c r="F157" s="154">
        <v>200000</v>
      </c>
      <c r="G157" s="155">
        <f t="shared" si="17"/>
        <v>1600</v>
      </c>
      <c r="H157" s="121"/>
    </row>
    <row r="158" spans="2:9" x14ac:dyDescent="0.3">
      <c r="B158" s="102" t="s">
        <v>234</v>
      </c>
      <c r="C158" s="103"/>
      <c r="D158" s="103"/>
      <c r="E158" s="116"/>
      <c r="F158" s="126"/>
      <c r="G158" s="155">
        <v>92225</v>
      </c>
      <c r="H158" s="161"/>
    </row>
    <row r="159" spans="2:9" x14ac:dyDescent="0.3">
      <c r="B159" s="134" t="s">
        <v>205</v>
      </c>
      <c r="C159" s="135" t="s">
        <v>206</v>
      </c>
      <c r="D159" s="136"/>
      <c r="E159" s="136"/>
      <c r="F159" s="152"/>
      <c r="G159" s="153"/>
      <c r="H159" s="121"/>
    </row>
    <row r="160" spans="2:9" x14ac:dyDescent="0.3">
      <c r="B160" s="139" t="s">
        <v>207</v>
      </c>
      <c r="C160" s="135" t="s">
        <v>243</v>
      </c>
      <c r="D160" s="138" t="s">
        <v>209</v>
      </c>
      <c r="E160" s="140">
        <v>52</v>
      </c>
      <c r="F160" s="154">
        <v>2000</v>
      </c>
      <c r="G160" s="155">
        <f t="shared" ref="G160:G163" si="18">E160*F160</f>
        <v>104000</v>
      </c>
      <c r="H160" s="121"/>
    </row>
    <row r="161" spans="2:17" x14ac:dyDescent="0.3">
      <c r="B161" s="139" t="s">
        <v>210</v>
      </c>
      <c r="C161" s="135" t="s">
        <v>240</v>
      </c>
      <c r="D161" s="138" t="s">
        <v>212</v>
      </c>
      <c r="E161" s="140">
        <v>9.3000000000000007</v>
      </c>
      <c r="F161" s="154">
        <v>1300</v>
      </c>
      <c r="G161" s="155">
        <f t="shared" si="18"/>
        <v>12090.000000000002</v>
      </c>
      <c r="H161" s="121"/>
    </row>
    <row r="162" spans="2:17" x14ac:dyDescent="0.3">
      <c r="B162" s="139" t="s">
        <v>213</v>
      </c>
      <c r="C162" s="135" t="s">
        <v>236</v>
      </c>
      <c r="D162" s="138" t="s">
        <v>212</v>
      </c>
      <c r="E162" s="140">
        <v>2.75</v>
      </c>
      <c r="F162" s="154">
        <v>7800</v>
      </c>
      <c r="G162" s="155">
        <f t="shared" si="18"/>
        <v>21450</v>
      </c>
      <c r="H162" s="121"/>
    </row>
    <row r="163" spans="2:17" x14ac:dyDescent="0.3">
      <c r="B163" s="139" t="s">
        <v>216</v>
      </c>
      <c r="C163" s="141" t="s">
        <v>214</v>
      </c>
      <c r="D163" s="138" t="s">
        <v>215</v>
      </c>
      <c r="E163" s="140">
        <v>1.7999999999999999E-2</v>
      </c>
      <c r="F163" s="154">
        <v>275000</v>
      </c>
      <c r="G163" s="155">
        <f t="shared" si="18"/>
        <v>4950</v>
      </c>
      <c r="H163" s="121"/>
    </row>
    <row r="164" spans="2:17" x14ac:dyDescent="0.3">
      <c r="B164" s="102" t="s">
        <v>218</v>
      </c>
      <c r="C164" s="103"/>
      <c r="D164" s="103"/>
      <c r="E164" s="103"/>
      <c r="F164" s="126"/>
      <c r="G164" s="155">
        <v>142490</v>
      </c>
      <c r="H164" s="121"/>
    </row>
    <row r="165" spans="2:17" x14ac:dyDescent="0.3">
      <c r="B165" s="142" t="s">
        <v>219</v>
      </c>
      <c r="C165" s="135" t="s">
        <v>220</v>
      </c>
      <c r="D165" s="136"/>
      <c r="E165" s="136"/>
      <c r="F165" s="152"/>
      <c r="G165" s="153"/>
      <c r="H165" s="121"/>
    </row>
    <row r="166" spans="2:17" x14ac:dyDescent="0.3">
      <c r="B166" s="102" t="s">
        <v>221</v>
      </c>
      <c r="C166" s="103"/>
      <c r="D166" s="103"/>
      <c r="E166" s="103"/>
      <c r="F166" s="126"/>
      <c r="G166" s="143">
        <v>0</v>
      </c>
      <c r="H166" s="121"/>
    </row>
    <row r="167" spans="2:17" x14ac:dyDescent="0.3">
      <c r="B167" s="144" t="s">
        <v>222</v>
      </c>
      <c r="C167" s="145" t="s">
        <v>223</v>
      </c>
      <c r="D167" s="146"/>
      <c r="E167" s="146"/>
      <c r="F167" s="156"/>
      <c r="G167" s="155">
        <f>G164+G158</f>
        <v>234715</v>
      </c>
      <c r="H167" s="121"/>
    </row>
    <row r="168" spans="2:17" x14ac:dyDescent="0.3">
      <c r="B168" s="144" t="s">
        <v>224</v>
      </c>
      <c r="C168" s="145" t="s">
        <v>225</v>
      </c>
      <c r="D168" s="146"/>
      <c r="E168" s="147"/>
      <c r="F168" s="157">
        <v>0.1</v>
      </c>
      <c r="G168" s="317">
        <f>G167*0.15</f>
        <v>35207.25</v>
      </c>
      <c r="H168" s="121"/>
    </row>
    <row r="169" spans="2:17" ht="15" thickBot="1" x14ac:dyDescent="0.35">
      <c r="B169" s="148" t="s">
        <v>226</v>
      </c>
      <c r="C169" s="149" t="s">
        <v>227</v>
      </c>
      <c r="D169" s="150"/>
      <c r="E169" s="150"/>
      <c r="F169" s="158"/>
      <c r="G169" s="159">
        <f>G167+G168</f>
        <v>269922.25</v>
      </c>
      <c r="H169" s="121"/>
      <c r="I169" s="90"/>
    </row>
    <row r="172" spans="2:17" ht="15" thickBot="1" x14ac:dyDescent="0.35">
      <c r="B172" s="132" t="s">
        <v>244</v>
      </c>
      <c r="C172" s="187" t="s">
        <v>245</v>
      </c>
      <c r="D172" s="93"/>
      <c r="E172" s="93"/>
      <c r="F172" s="117" t="s">
        <v>349</v>
      </c>
      <c r="G172" s="117"/>
      <c r="H172" s="160">
        <f>ROUNDDOWN(G188,-2)</f>
        <v>54300</v>
      </c>
      <c r="K172" s="132" t="s">
        <v>345</v>
      </c>
      <c r="L172" s="187" t="s">
        <v>346</v>
      </c>
      <c r="M172" s="93"/>
      <c r="N172" s="93"/>
      <c r="O172" s="117"/>
      <c r="P172" s="117"/>
      <c r="Q172" s="160">
        <f>ROUNDDOWN(P188,-2)</f>
        <v>139700</v>
      </c>
    </row>
    <row r="173" spans="2:17" ht="42" thickTop="1" x14ac:dyDescent="0.3">
      <c r="B173" s="94" t="s">
        <v>191</v>
      </c>
      <c r="C173" s="95" t="s">
        <v>192</v>
      </c>
      <c r="D173" s="95" t="s">
        <v>193</v>
      </c>
      <c r="E173" s="95" t="s">
        <v>194</v>
      </c>
      <c r="F173" s="119" t="s">
        <v>195</v>
      </c>
      <c r="G173" s="120" t="s">
        <v>196</v>
      </c>
      <c r="H173" s="121"/>
      <c r="K173" s="94" t="s">
        <v>191</v>
      </c>
      <c r="L173" s="95" t="s">
        <v>192</v>
      </c>
      <c r="M173" s="95" t="s">
        <v>193</v>
      </c>
      <c r="N173" s="95" t="s">
        <v>194</v>
      </c>
      <c r="O173" s="119" t="s">
        <v>195</v>
      </c>
      <c r="P173" s="120" t="s">
        <v>196</v>
      </c>
      <c r="Q173" s="121"/>
    </row>
    <row r="174" spans="2:17" x14ac:dyDescent="0.3">
      <c r="B174" s="96" t="s">
        <v>197</v>
      </c>
      <c r="C174" s="97" t="s">
        <v>198</v>
      </c>
      <c r="D174" s="98"/>
      <c r="E174" s="98"/>
      <c r="F174" s="122"/>
      <c r="G174" s="123"/>
      <c r="H174" s="121"/>
      <c r="K174" s="96" t="s">
        <v>197</v>
      </c>
      <c r="L174" s="97" t="s">
        <v>198</v>
      </c>
      <c r="M174" s="98"/>
      <c r="N174" s="98"/>
      <c r="O174" s="122"/>
      <c r="P174" s="123"/>
      <c r="Q174" s="121"/>
    </row>
    <row r="175" spans="2:17" x14ac:dyDescent="0.3">
      <c r="B175" s="99">
        <v>1</v>
      </c>
      <c r="C175" s="97" t="s">
        <v>199</v>
      </c>
      <c r="D175" s="100" t="s">
        <v>200</v>
      </c>
      <c r="E175" s="101">
        <v>0.1</v>
      </c>
      <c r="F175" s="124">
        <v>100000</v>
      </c>
      <c r="G175" s="155">
        <f t="shared" ref="G175:G178" si="19">E175*F175</f>
        <v>10000</v>
      </c>
      <c r="H175" s="121"/>
      <c r="K175" s="99">
        <v>1</v>
      </c>
      <c r="L175" s="97" t="s">
        <v>199</v>
      </c>
      <c r="M175" s="100" t="s">
        <v>200</v>
      </c>
      <c r="N175" s="101">
        <v>0.35</v>
      </c>
      <c r="O175" s="124">
        <v>100000</v>
      </c>
      <c r="P175" s="125">
        <f>N175*O175</f>
        <v>35000</v>
      </c>
      <c r="Q175" s="121"/>
    </row>
    <row r="176" spans="2:17" x14ac:dyDescent="0.3">
      <c r="B176" s="99">
        <v>2</v>
      </c>
      <c r="C176" s="97" t="s">
        <v>246</v>
      </c>
      <c r="D176" s="100" t="s">
        <v>200</v>
      </c>
      <c r="E176" s="101">
        <v>0.05</v>
      </c>
      <c r="F176" s="124">
        <v>145000</v>
      </c>
      <c r="G176" s="155">
        <f t="shared" si="19"/>
        <v>7250</v>
      </c>
      <c r="H176" s="121"/>
      <c r="K176" s="99">
        <v>2</v>
      </c>
      <c r="L176" s="97" t="s">
        <v>275</v>
      </c>
      <c r="M176" s="100" t="s">
        <v>200</v>
      </c>
      <c r="N176" s="101">
        <v>0.35</v>
      </c>
      <c r="O176" s="124">
        <v>145000</v>
      </c>
      <c r="P176" s="125">
        <f t="shared" ref="P176:P178" si="20">N176*O176</f>
        <v>50750</v>
      </c>
      <c r="Q176" s="121"/>
    </row>
    <row r="177" spans="2:17" x14ac:dyDescent="0.3">
      <c r="B177" s="99">
        <v>3</v>
      </c>
      <c r="C177" s="97" t="s">
        <v>202</v>
      </c>
      <c r="D177" s="100" t="s">
        <v>200</v>
      </c>
      <c r="E177" s="101">
        <v>5.0000000000000001E-3</v>
      </c>
      <c r="F177" s="124">
        <v>175000</v>
      </c>
      <c r="G177" s="155">
        <f t="shared" si="19"/>
        <v>875</v>
      </c>
      <c r="H177" s="121"/>
      <c r="K177" s="99">
        <v>3</v>
      </c>
      <c r="L177" s="97" t="s">
        <v>202</v>
      </c>
      <c r="M177" s="100" t="s">
        <v>200</v>
      </c>
      <c r="N177" s="101">
        <v>3.5000000000000003E-2</v>
      </c>
      <c r="O177" s="124">
        <v>175000</v>
      </c>
      <c r="P177" s="125">
        <f t="shared" si="20"/>
        <v>6125.0000000000009</v>
      </c>
      <c r="Q177" s="121"/>
    </row>
    <row r="178" spans="2:17" x14ac:dyDescent="0.3">
      <c r="B178" s="99">
        <v>4</v>
      </c>
      <c r="C178" s="97" t="s">
        <v>203</v>
      </c>
      <c r="D178" s="100" t="s">
        <v>200</v>
      </c>
      <c r="E178" s="101">
        <v>1.6999999999999999E-3</v>
      </c>
      <c r="F178" s="124">
        <v>200000</v>
      </c>
      <c r="G178" s="155">
        <f t="shared" si="19"/>
        <v>340</v>
      </c>
      <c r="H178" s="121"/>
      <c r="K178" s="99">
        <v>4</v>
      </c>
      <c r="L178" s="97" t="s">
        <v>203</v>
      </c>
      <c r="M178" s="100" t="s">
        <v>200</v>
      </c>
      <c r="N178" s="101">
        <v>1.17E-2</v>
      </c>
      <c r="O178" s="124">
        <v>200000</v>
      </c>
      <c r="P178" s="125">
        <f t="shared" si="20"/>
        <v>2340</v>
      </c>
      <c r="Q178" s="121"/>
    </row>
    <row r="179" spans="2:17" x14ac:dyDescent="0.3">
      <c r="B179" s="102" t="s">
        <v>234</v>
      </c>
      <c r="C179" s="103"/>
      <c r="D179" s="103"/>
      <c r="E179" s="116"/>
      <c r="F179" s="126"/>
      <c r="G179" s="125">
        <v>18465</v>
      </c>
      <c r="H179" s="128"/>
      <c r="K179" s="102" t="s">
        <v>234</v>
      </c>
      <c r="L179" s="103"/>
      <c r="M179" s="103"/>
      <c r="N179" s="116"/>
      <c r="O179" s="126"/>
      <c r="P179" s="125">
        <f>SUM(P175:P178)</f>
        <v>94215</v>
      </c>
      <c r="Q179" s="128"/>
    </row>
    <row r="180" spans="2:17" x14ac:dyDescent="0.3">
      <c r="B180" s="96" t="s">
        <v>205</v>
      </c>
      <c r="C180" s="97" t="s">
        <v>206</v>
      </c>
      <c r="D180" s="98"/>
      <c r="E180" s="98"/>
      <c r="F180" s="122"/>
      <c r="G180" s="123"/>
      <c r="H180" s="121"/>
      <c r="K180" s="96" t="s">
        <v>205</v>
      </c>
      <c r="L180" s="97" t="s">
        <v>206</v>
      </c>
      <c r="M180" s="98"/>
      <c r="N180" s="98"/>
      <c r="O180" s="122"/>
      <c r="P180" s="123"/>
      <c r="Q180" s="121"/>
    </row>
    <row r="181" spans="2:17" ht="27.6" x14ac:dyDescent="0.3">
      <c r="B181" s="99">
        <v>1</v>
      </c>
      <c r="C181" s="97" t="s">
        <v>247</v>
      </c>
      <c r="D181" s="100" t="s">
        <v>248</v>
      </c>
      <c r="E181" s="105">
        <v>0.36399999999999999</v>
      </c>
      <c r="F181" s="124">
        <v>70000</v>
      </c>
      <c r="G181" s="155">
        <f t="shared" ref="G181:G182" si="21">E181*F181</f>
        <v>25480</v>
      </c>
      <c r="H181" s="121"/>
      <c r="K181" s="99">
        <v>1</v>
      </c>
      <c r="L181" s="106" t="s">
        <v>347</v>
      </c>
      <c r="M181" s="237" t="s">
        <v>291</v>
      </c>
      <c r="N181" s="105">
        <v>4</v>
      </c>
      <c r="O181" s="124">
        <v>6250</v>
      </c>
      <c r="P181" s="125">
        <f t="shared" ref="P181:P182" si="22">N181*O181</f>
        <v>25000</v>
      </c>
      <c r="Q181" s="121"/>
    </row>
    <row r="182" spans="2:17" x14ac:dyDescent="0.3">
      <c r="B182" s="99">
        <v>2</v>
      </c>
      <c r="C182" s="97" t="s">
        <v>249</v>
      </c>
      <c r="D182" s="100" t="s">
        <v>212</v>
      </c>
      <c r="E182" s="188">
        <v>0.11</v>
      </c>
      <c r="F182" s="124">
        <v>30090</v>
      </c>
      <c r="G182" s="155">
        <f t="shared" si="21"/>
        <v>3309.9</v>
      </c>
      <c r="H182" s="121"/>
      <c r="K182" s="99">
        <v>2</v>
      </c>
      <c r="L182" s="106" t="s">
        <v>348</v>
      </c>
      <c r="M182" s="237" t="s">
        <v>212</v>
      </c>
      <c r="N182" s="105">
        <v>0.05</v>
      </c>
      <c r="O182" s="124">
        <v>45550</v>
      </c>
      <c r="P182" s="125">
        <f t="shared" si="22"/>
        <v>2277.5</v>
      </c>
      <c r="Q182" s="121"/>
    </row>
    <row r="183" spans="2:17" x14ac:dyDescent="0.3">
      <c r="B183" s="102" t="s">
        <v>218</v>
      </c>
      <c r="C183" s="103"/>
      <c r="D183" s="103"/>
      <c r="E183" s="103"/>
      <c r="F183" s="126"/>
      <c r="G183" s="125">
        <v>28789.9</v>
      </c>
      <c r="H183" s="189"/>
      <c r="K183" s="102" t="s">
        <v>218</v>
      </c>
      <c r="L183" s="103"/>
      <c r="M183" s="103"/>
      <c r="N183" s="103"/>
      <c r="O183" s="126"/>
      <c r="P183" s="125">
        <f>SUM(P181:P182)</f>
        <v>27277.5</v>
      </c>
      <c r="Q183" s="189"/>
    </row>
    <row r="184" spans="2:17" x14ac:dyDescent="0.3">
      <c r="B184" s="107" t="s">
        <v>219</v>
      </c>
      <c r="C184" s="97" t="s">
        <v>220</v>
      </c>
      <c r="D184" s="98"/>
      <c r="E184" s="98"/>
      <c r="F184" s="122"/>
      <c r="G184" s="123"/>
      <c r="H184" s="189"/>
      <c r="K184" s="107" t="s">
        <v>219</v>
      </c>
      <c r="L184" s="97" t="s">
        <v>220</v>
      </c>
      <c r="M184" s="98"/>
      <c r="N184" s="98"/>
      <c r="O184" s="122"/>
      <c r="P184" s="123"/>
      <c r="Q184" s="189"/>
    </row>
    <row r="185" spans="2:17" x14ac:dyDescent="0.3">
      <c r="B185" s="102" t="s">
        <v>221</v>
      </c>
      <c r="C185" s="103"/>
      <c r="D185" s="103"/>
      <c r="E185" s="103"/>
      <c r="F185" s="126"/>
      <c r="G185" s="108">
        <v>0</v>
      </c>
      <c r="H185" s="189"/>
      <c r="K185" s="102" t="s">
        <v>221</v>
      </c>
      <c r="L185" s="103"/>
      <c r="M185" s="103"/>
      <c r="N185" s="103"/>
      <c r="O185" s="126"/>
      <c r="P185" s="108">
        <v>0</v>
      </c>
      <c r="Q185" s="189"/>
    </row>
    <row r="186" spans="2:17" x14ac:dyDescent="0.3">
      <c r="B186" s="109" t="s">
        <v>222</v>
      </c>
      <c r="C186" s="110" t="s">
        <v>223</v>
      </c>
      <c r="D186" s="111"/>
      <c r="E186" s="111"/>
      <c r="F186" s="127"/>
      <c r="G186" s="155">
        <f>G183+G179</f>
        <v>47254.9</v>
      </c>
      <c r="H186" s="128"/>
      <c r="K186" s="109" t="s">
        <v>222</v>
      </c>
      <c r="L186" s="110" t="s">
        <v>223</v>
      </c>
      <c r="M186" s="111"/>
      <c r="N186" s="111"/>
      <c r="O186" s="127"/>
      <c r="P186" s="125">
        <f>P183+P179</f>
        <v>121492.5</v>
      </c>
      <c r="Q186" s="128"/>
    </row>
    <row r="187" spans="2:17" x14ac:dyDescent="0.3">
      <c r="B187" s="109" t="s">
        <v>224</v>
      </c>
      <c r="C187" s="110" t="s">
        <v>225</v>
      </c>
      <c r="D187" s="111"/>
      <c r="E187" s="112"/>
      <c r="F187" s="129">
        <v>0.1</v>
      </c>
      <c r="G187" s="317">
        <f>G186*0.15</f>
        <v>7088.2349999999997</v>
      </c>
      <c r="H187" s="128"/>
      <c r="K187" s="109" t="s">
        <v>224</v>
      </c>
      <c r="L187" s="110" t="s">
        <v>225</v>
      </c>
      <c r="M187" s="111"/>
      <c r="N187" s="112"/>
      <c r="O187" s="129">
        <v>0.1</v>
      </c>
      <c r="P187" s="125">
        <f>P186*0.15</f>
        <v>18223.875</v>
      </c>
      <c r="Q187" s="128"/>
    </row>
    <row r="188" spans="2:17" ht="15" thickBot="1" x14ac:dyDescent="0.35">
      <c r="B188" s="113" t="s">
        <v>226</v>
      </c>
      <c r="C188" s="114" t="s">
        <v>227</v>
      </c>
      <c r="D188" s="115"/>
      <c r="E188" s="115"/>
      <c r="F188" s="130"/>
      <c r="G188" s="159">
        <f>G186+G187</f>
        <v>54343.135000000002</v>
      </c>
      <c r="H188" s="128"/>
      <c r="I188" s="90"/>
      <c r="K188" s="113" t="s">
        <v>226</v>
      </c>
      <c r="L188" s="114" t="s">
        <v>227</v>
      </c>
      <c r="M188" s="115"/>
      <c r="N188" s="115"/>
      <c r="O188" s="130"/>
      <c r="P188" s="131">
        <f>SUM(P185:P187)</f>
        <v>139716.375</v>
      </c>
      <c r="Q188" s="128"/>
    </row>
    <row r="191" spans="2:17" ht="15" thickBot="1" x14ac:dyDescent="0.35">
      <c r="B191" s="91" t="s">
        <v>250</v>
      </c>
      <c r="C191" s="187" t="s">
        <v>251</v>
      </c>
      <c r="D191" s="190"/>
      <c r="E191" s="190"/>
      <c r="F191" s="195"/>
      <c r="G191" s="195"/>
      <c r="H191" s="160">
        <f>ROUNDDOWN(G207,-2)</f>
        <v>73300</v>
      </c>
    </row>
    <row r="192" spans="2:17" ht="28.2" thickTop="1" x14ac:dyDescent="0.3">
      <c r="B192" s="94" t="s">
        <v>191</v>
      </c>
      <c r="C192" s="95" t="s">
        <v>192</v>
      </c>
      <c r="D192" s="95" t="s">
        <v>193</v>
      </c>
      <c r="E192" s="95" t="s">
        <v>194</v>
      </c>
      <c r="F192" s="119" t="s">
        <v>195</v>
      </c>
      <c r="G192" s="120" t="s">
        <v>196</v>
      </c>
      <c r="H192" s="121"/>
    </row>
    <row r="193" spans="2:9" x14ac:dyDescent="0.3">
      <c r="B193" s="96" t="s">
        <v>197</v>
      </c>
      <c r="C193" s="97" t="s">
        <v>198</v>
      </c>
      <c r="D193" s="98"/>
      <c r="E193" s="98"/>
      <c r="F193" s="122"/>
      <c r="G193" s="123"/>
      <c r="H193" s="121"/>
    </row>
    <row r="194" spans="2:9" x14ac:dyDescent="0.3">
      <c r="B194" s="99">
        <v>1</v>
      </c>
      <c r="C194" s="97" t="s">
        <v>199</v>
      </c>
      <c r="D194" s="100" t="s">
        <v>200</v>
      </c>
      <c r="E194" s="191">
        <v>6.6699999999999995E-2</v>
      </c>
      <c r="F194" s="124">
        <v>100000</v>
      </c>
      <c r="G194" s="155">
        <f t="shared" ref="G194:G197" si="23">E194*F194</f>
        <v>6669.9999999999991</v>
      </c>
      <c r="H194" s="121"/>
    </row>
    <row r="195" spans="2:9" x14ac:dyDescent="0.3">
      <c r="B195" s="99">
        <v>2</v>
      </c>
      <c r="C195" s="97" t="s">
        <v>252</v>
      </c>
      <c r="D195" s="100" t="s">
        <v>200</v>
      </c>
      <c r="E195" s="191">
        <v>6.6699999999999995E-2</v>
      </c>
      <c r="F195" s="124">
        <v>145000</v>
      </c>
      <c r="G195" s="155">
        <f t="shared" si="23"/>
        <v>9671.5</v>
      </c>
      <c r="H195" s="121"/>
    </row>
    <row r="196" spans="2:9" x14ac:dyDescent="0.3">
      <c r="B196" s="99">
        <v>3</v>
      </c>
      <c r="C196" s="97" t="s">
        <v>202</v>
      </c>
      <c r="D196" s="100" t="s">
        <v>200</v>
      </c>
      <c r="E196" s="191">
        <v>6.7000000000000002E-3</v>
      </c>
      <c r="F196" s="124">
        <v>175000</v>
      </c>
      <c r="G196" s="155">
        <f t="shared" si="23"/>
        <v>1172.5</v>
      </c>
      <c r="H196" s="121"/>
    </row>
    <row r="197" spans="2:9" x14ac:dyDescent="0.3">
      <c r="B197" s="99">
        <v>4</v>
      </c>
      <c r="C197" s="97" t="s">
        <v>203</v>
      </c>
      <c r="D197" s="100" t="s">
        <v>200</v>
      </c>
      <c r="E197" s="191">
        <v>2.2000000000000001E-3</v>
      </c>
      <c r="F197" s="124">
        <v>200000</v>
      </c>
      <c r="G197" s="155">
        <f t="shared" si="23"/>
        <v>440</v>
      </c>
      <c r="H197" s="121"/>
    </row>
    <row r="198" spans="2:9" x14ac:dyDescent="0.3">
      <c r="B198" s="102" t="s">
        <v>234</v>
      </c>
      <c r="C198" s="103"/>
      <c r="D198" s="103"/>
      <c r="E198" s="104"/>
      <c r="F198" s="126"/>
      <c r="G198" s="125">
        <v>17954</v>
      </c>
      <c r="H198" s="121"/>
    </row>
    <row r="199" spans="2:9" x14ac:dyDescent="0.3">
      <c r="B199" s="96" t="s">
        <v>205</v>
      </c>
      <c r="C199" s="97" t="s">
        <v>206</v>
      </c>
      <c r="D199" s="98"/>
      <c r="E199" s="98"/>
      <c r="F199" s="122"/>
      <c r="G199" s="123"/>
      <c r="H199" s="121"/>
    </row>
    <row r="200" spans="2:9" x14ac:dyDescent="0.3">
      <c r="B200" s="99">
        <v>2</v>
      </c>
      <c r="C200" s="97" t="s">
        <v>253</v>
      </c>
      <c r="D200" s="100" t="s">
        <v>212</v>
      </c>
      <c r="E200" s="105">
        <v>0.1</v>
      </c>
      <c r="F200" s="124">
        <v>119100</v>
      </c>
      <c r="G200" s="155">
        <f t="shared" ref="G200:G201" si="24">E200*F200</f>
        <v>11910</v>
      </c>
      <c r="H200" s="121"/>
    </row>
    <row r="201" spans="2:9" x14ac:dyDescent="0.3">
      <c r="B201" s="99">
        <v>3</v>
      </c>
      <c r="C201" s="97" t="s">
        <v>254</v>
      </c>
      <c r="D201" s="100" t="s">
        <v>212</v>
      </c>
      <c r="E201" s="105">
        <v>0.26</v>
      </c>
      <c r="F201" s="124">
        <v>130500</v>
      </c>
      <c r="G201" s="155">
        <f t="shared" si="24"/>
        <v>33930</v>
      </c>
      <c r="H201" s="121"/>
    </row>
    <row r="202" spans="2:9" x14ac:dyDescent="0.3">
      <c r="B202" s="102" t="s">
        <v>218</v>
      </c>
      <c r="C202" s="103"/>
      <c r="D202" s="103"/>
      <c r="E202" s="103"/>
      <c r="F202" s="126"/>
      <c r="G202" s="125">
        <v>45840</v>
      </c>
      <c r="H202" s="121"/>
    </row>
    <row r="203" spans="2:9" x14ac:dyDescent="0.3">
      <c r="B203" s="107" t="s">
        <v>219</v>
      </c>
      <c r="C203" s="97" t="s">
        <v>220</v>
      </c>
      <c r="D203" s="98"/>
      <c r="E203" s="98"/>
      <c r="F203" s="122"/>
      <c r="G203" s="123"/>
      <c r="H203" s="121"/>
    </row>
    <row r="204" spans="2:9" x14ac:dyDescent="0.3">
      <c r="B204" s="102" t="s">
        <v>221</v>
      </c>
      <c r="C204" s="103"/>
      <c r="D204" s="103"/>
      <c r="E204" s="103"/>
      <c r="F204" s="126"/>
      <c r="G204" s="108">
        <v>0</v>
      </c>
      <c r="H204" s="121"/>
    </row>
    <row r="205" spans="2:9" x14ac:dyDescent="0.3">
      <c r="B205" s="109" t="s">
        <v>222</v>
      </c>
      <c r="C205" s="110" t="s">
        <v>223</v>
      </c>
      <c r="D205" s="111"/>
      <c r="E205" s="111"/>
      <c r="F205" s="127"/>
      <c r="G205" s="155">
        <f>G202+G198</f>
        <v>63794</v>
      </c>
      <c r="H205" s="121"/>
    </row>
    <row r="206" spans="2:9" x14ac:dyDescent="0.3">
      <c r="B206" s="109" t="s">
        <v>224</v>
      </c>
      <c r="C206" s="110" t="s">
        <v>225</v>
      </c>
      <c r="D206" s="111"/>
      <c r="E206" s="112"/>
      <c r="F206" s="129">
        <v>0.1</v>
      </c>
      <c r="G206" s="317">
        <f>G205*0.15</f>
        <v>9569.1</v>
      </c>
      <c r="H206" s="121"/>
    </row>
    <row r="207" spans="2:9" ht="15" thickBot="1" x14ac:dyDescent="0.35">
      <c r="B207" s="113" t="s">
        <v>226</v>
      </c>
      <c r="C207" s="114" t="s">
        <v>227</v>
      </c>
      <c r="D207" s="115"/>
      <c r="E207" s="115"/>
      <c r="F207" s="130"/>
      <c r="G207" s="159">
        <f>G205+G206</f>
        <v>73363.100000000006</v>
      </c>
      <c r="H207" s="121"/>
      <c r="I207" s="90"/>
    </row>
    <row r="208" spans="2:9" ht="15" thickTop="1" x14ac:dyDescent="0.3">
      <c r="B208" s="192"/>
      <c r="C208" s="193"/>
      <c r="D208" s="193"/>
      <c r="E208" s="193"/>
      <c r="F208" s="196"/>
      <c r="G208" s="197"/>
      <c r="H208" s="121"/>
    </row>
    <row r="209" spans="2:8" ht="15" thickBot="1" x14ac:dyDescent="0.35">
      <c r="B209" s="132" t="s">
        <v>255</v>
      </c>
      <c r="C209" s="187" t="s">
        <v>256</v>
      </c>
      <c r="D209" s="187"/>
      <c r="E209" s="187"/>
      <c r="F209" s="198"/>
      <c r="G209" s="198"/>
      <c r="H209" s="160">
        <f>ROUNDDOWN(G225,-2)</f>
        <v>79400</v>
      </c>
    </row>
    <row r="210" spans="2:8" ht="28.2" thickTop="1" x14ac:dyDescent="0.3">
      <c r="B210" s="94" t="s">
        <v>191</v>
      </c>
      <c r="C210" s="95" t="s">
        <v>192</v>
      </c>
      <c r="D210" s="95" t="s">
        <v>193</v>
      </c>
      <c r="E210" s="95" t="s">
        <v>194</v>
      </c>
      <c r="F210" s="119" t="s">
        <v>195</v>
      </c>
      <c r="G210" s="120" t="s">
        <v>196</v>
      </c>
      <c r="H210" s="121"/>
    </row>
    <row r="211" spans="2:8" x14ac:dyDescent="0.3">
      <c r="B211" s="96" t="s">
        <v>197</v>
      </c>
      <c r="C211" s="97" t="s">
        <v>198</v>
      </c>
      <c r="D211" s="98"/>
      <c r="E211" s="98"/>
      <c r="F211" s="122"/>
      <c r="G211" s="123"/>
      <c r="H211" s="121"/>
    </row>
    <row r="212" spans="2:8" x14ac:dyDescent="0.3">
      <c r="B212" s="99">
        <v>1</v>
      </c>
      <c r="C212" s="97" t="s">
        <v>199</v>
      </c>
      <c r="D212" s="100" t="s">
        <v>200</v>
      </c>
      <c r="E212" s="191">
        <v>7.6899999999999996E-2</v>
      </c>
      <c r="F212" s="124">
        <v>100000</v>
      </c>
      <c r="G212" s="155">
        <f t="shared" ref="G212:G215" si="25">E212*F212</f>
        <v>7690</v>
      </c>
      <c r="H212" s="121"/>
    </row>
    <row r="213" spans="2:8" x14ac:dyDescent="0.3">
      <c r="B213" s="99">
        <v>2</v>
      </c>
      <c r="C213" s="97" t="s">
        <v>252</v>
      </c>
      <c r="D213" s="100" t="s">
        <v>200</v>
      </c>
      <c r="E213" s="191">
        <v>7.6899999999999996E-2</v>
      </c>
      <c r="F213" s="124">
        <v>145000</v>
      </c>
      <c r="G213" s="155">
        <f t="shared" si="25"/>
        <v>11150.5</v>
      </c>
      <c r="H213" s="121"/>
    </row>
    <row r="214" spans="2:8" x14ac:dyDescent="0.3">
      <c r="B214" s="99">
        <v>3</v>
      </c>
      <c r="C214" s="97" t="s">
        <v>202</v>
      </c>
      <c r="D214" s="100" t="s">
        <v>200</v>
      </c>
      <c r="E214" s="191">
        <v>7.7000000000000002E-3</v>
      </c>
      <c r="F214" s="124">
        <v>175000</v>
      </c>
      <c r="G214" s="155">
        <f t="shared" si="25"/>
        <v>1347.5</v>
      </c>
      <c r="H214" s="121"/>
    </row>
    <row r="215" spans="2:8" x14ac:dyDescent="0.3">
      <c r="B215" s="99">
        <v>4</v>
      </c>
      <c r="C215" s="97" t="s">
        <v>203</v>
      </c>
      <c r="D215" s="100" t="s">
        <v>200</v>
      </c>
      <c r="E215" s="191">
        <v>2.5999999999999999E-3</v>
      </c>
      <c r="F215" s="124">
        <v>200000</v>
      </c>
      <c r="G215" s="155">
        <f t="shared" si="25"/>
        <v>520</v>
      </c>
      <c r="H215" s="121"/>
    </row>
    <row r="216" spans="2:8" x14ac:dyDescent="0.3">
      <c r="B216" s="102" t="s">
        <v>234</v>
      </c>
      <c r="C216" s="103"/>
      <c r="D216" s="103"/>
      <c r="E216" s="104"/>
      <c r="F216" s="126"/>
      <c r="G216" s="125">
        <v>20708</v>
      </c>
      <c r="H216" s="121"/>
    </row>
    <row r="217" spans="2:8" x14ac:dyDescent="0.3">
      <c r="B217" s="96" t="s">
        <v>205</v>
      </c>
      <c r="C217" s="97" t="s">
        <v>206</v>
      </c>
      <c r="D217" s="98"/>
      <c r="E217" s="98"/>
      <c r="F217" s="122"/>
      <c r="G217" s="123"/>
      <c r="H217" s="121"/>
    </row>
    <row r="218" spans="2:8" x14ac:dyDescent="0.3">
      <c r="B218" s="99">
        <v>1</v>
      </c>
      <c r="C218" s="97" t="s">
        <v>257</v>
      </c>
      <c r="D218" s="100" t="s">
        <v>212</v>
      </c>
      <c r="E218" s="105">
        <v>0.1</v>
      </c>
      <c r="F218" s="124">
        <v>128500</v>
      </c>
      <c r="G218" s="155">
        <f t="shared" ref="G218:G219" si="26">E218*F218</f>
        <v>12850</v>
      </c>
      <c r="H218" s="121"/>
    </row>
    <row r="219" spans="2:8" x14ac:dyDescent="0.3">
      <c r="B219" s="99">
        <v>2</v>
      </c>
      <c r="C219" s="97" t="s">
        <v>258</v>
      </c>
      <c r="D219" s="100" t="s">
        <v>212</v>
      </c>
      <c r="E219" s="105">
        <v>0.26</v>
      </c>
      <c r="F219" s="124">
        <v>136600</v>
      </c>
      <c r="G219" s="155">
        <f t="shared" si="26"/>
        <v>35516</v>
      </c>
      <c r="H219" s="121"/>
    </row>
    <row r="220" spans="2:8" x14ac:dyDescent="0.3">
      <c r="B220" s="102" t="s">
        <v>218</v>
      </c>
      <c r="C220" s="103"/>
      <c r="D220" s="103"/>
      <c r="E220" s="103"/>
      <c r="F220" s="126"/>
      <c r="G220" s="125">
        <v>48366</v>
      </c>
      <c r="H220" s="121"/>
    </row>
    <row r="221" spans="2:8" x14ac:dyDescent="0.3">
      <c r="B221" s="107" t="s">
        <v>219</v>
      </c>
      <c r="C221" s="97" t="s">
        <v>220</v>
      </c>
      <c r="D221" s="98"/>
      <c r="E221" s="98"/>
      <c r="F221" s="122"/>
      <c r="G221" s="123"/>
      <c r="H221" s="121"/>
    </row>
    <row r="222" spans="2:8" x14ac:dyDescent="0.3">
      <c r="B222" s="102" t="s">
        <v>221</v>
      </c>
      <c r="C222" s="103"/>
      <c r="D222" s="103"/>
      <c r="E222" s="103"/>
      <c r="F222" s="126"/>
      <c r="G222" s="108">
        <v>0</v>
      </c>
      <c r="H222" s="121"/>
    </row>
    <row r="223" spans="2:8" x14ac:dyDescent="0.3">
      <c r="B223" s="109" t="s">
        <v>222</v>
      </c>
      <c r="C223" s="110" t="s">
        <v>223</v>
      </c>
      <c r="D223" s="111"/>
      <c r="E223" s="111"/>
      <c r="F223" s="127"/>
      <c r="G223" s="155">
        <f>G220+G216</f>
        <v>69074</v>
      </c>
      <c r="H223" s="121"/>
    </row>
    <row r="224" spans="2:8" x14ac:dyDescent="0.3">
      <c r="B224" s="109" t="s">
        <v>224</v>
      </c>
      <c r="C224" s="110" t="s">
        <v>225</v>
      </c>
      <c r="D224" s="111"/>
      <c r="E224" s="112"/>
      <c r="F224" s="129">
        <v>0.1</v>
      </c>
      <c r="G224" s="317">
        <f>G223*0.15</f>
        <v>10361.1</v>
      </c>
      <c r="H224" s="121"/>
    </row>
    <row r="225" spans="2:9" ht="15" thickBot="1" x14ac:dyDescent="0.35">
      <c r="B225" s="113" t="s">
        <v>226</v>
      </c>
      <c r="C225" s="114" t="s">
        <v>227</v>
      </c>
      <c r="D225" s="115"/>
      <c r="E225" s="115"/>
      <c r="F225" s="130"/>
      <c r="G225" s="159">
        <f>G223+G224</f>
        <v>79435.100000000006</v>
      </c>
      <c r="H225" s="121"/>
      <c r="I225" s="90"/>
    </row>
    <row r="228" spans="2:9" ht="15" thickBot="1" x14ac:dyDescent="0.35">
      <c r="B228" s="132" t="s">
        <v>259</v>
      </c>
      <c r="C228" s="194" t="s">
        <v>260</v>
      </c>
      <c r="D228" s="187"/>
      <c r="E228" s="187"/>
      <c r="F228" s="198"/>
      <c r="G228" s="198"/>
      <c r="H228" s="160">
        <f>ROUNDDOWN(G244,-2)</f>
        <v>62800</v>
      </c>
    </row>
    <row r="229" spans="2:9" ht="28.2" thickTop="1" x14ac:dyDescent="0.3">
      <c r="B229" s="94" t="s">
        <v>191</v>
      </c>
      <c r="C229" s="95" t="s">
        <v>192</v>
      </c>
      <c r="D229" s="95" t="s">
        <v>193</v>
      </c>
      <c r="E229" s="95" t="s">
        <v>194</v>
      </c>
      <c r="F229" s="119" t="s">
        <v>195</v>
      </c>
      <c r="G229" s="120" t="s">
        <v>196</v>
      </c>
      <c r="H229" s="121"/>
    </row>
    <row r="230" spans="2:9" x14ac:dyDescent="0.3">
      <c r="B230" s="96" t="s">
        <v>197</v>
      </c>
      <c r="C230" s="97" t="s">
        <v>198</v>
      </c>
      <c r="D230" s="98"/>
      <c r="E230" s="98"/>
      <c r="F230" s="122"/>
      <c r="G230" s="123"/>
      <c r="H230" s="121"/>
    </row>
    <row r="231" spans="2:9" x14ac:dyDescent="0.3">
      <c r="B231" s="99">
        <v>1</v>
      </c>
      <c r="C231" s="97" t="s">
        <v>199</v>
      </c>
      <c r="D231" s="100" t="s">
        <v>200</v>
      </c>
      <c r="E231" s="191">
        <v>6.25E-2</v>
      </c>
      <c r="F231" s="124">
        <v>100000</v>
      </c>
      <c r="G231" s="155">
        <f t="shared" ref="G231:G234" si="27">E231*F231</f>
        <v>6250</v>
      </c>
      <c r="H231" s="121"/>
    </row>
    <row r="232" spans="2:9" x14ac:dyDescent="0.3">
      <c r="B232" s="99">
        <v>2</v>
      </c>
      <c r="C232" s="97" t="s">
        <v>252</v>
      </c>
      <c r="D232" s="100" t="s">
        <v>200</v>
      </c>
      <c r="E232" s="191">
        <v>6.25E-2</v>
      </c>
      <c r="F232" s="124">
        <v>145000</v>
      </c>
      <c r="G232" s="155">
        <f t="shared" si="27"/>
        <v>9062.5</v>
      </c>
      <c r="H232" s="121"/>
    </row>
    <row r="233" spans="2:9" x14ac:dyDescent="0.3">
      <c r="B233" s="99">
        <v>3</v>
      </c>
      <c r="C233" s="97" t="s">
        <v>202</v>
      </c>
      <c r="D233" s="100" t="s">
        <v>200</v>
      </c>
      <c r="E233" s="191">
        <v>6.3E-3</v>
      </c>
      <c r="F233" s="124">
        <v>175000</v>
      </c>
      <c r="G233" s="155">
        <f t="shared" si="27"/>
        <v>1102.5</v>
      </c>
      <c r="H233" s="121"/>
    </row>
    <row r="234" spans="2:9" x14ac:dyDescent="0.3">
      <c r="B234" s="99">
        <v>4</v>
      </c>
      <c r="C234" s="97" t="s">
        <v>203</v>
      </c>
      <c r="D234" s="100" t="s">
        <v>200</v>
      </c>
      <c r="E234" s="191">
        <v>2.0999999999999999E-3</v>
      </c>
      <c r="F234" s="124">
        <v>200000</v>
      </c>
      <c r="G234" s="155">
        <f t="shared" si="27"/>
        <v>420</v>
      </c>
      <c r="H234" s="121"/>
    </row>
    <row r="235" spans="2:9" x14ac:dyDescent="0.3">
      <c r="B235" s="102" t="s">
        <v>234</v>
      </c>
      <c r="C235" s="103"/>
      <c r="D235" s="103"/>
      <c r="E235" s="104"/>
      <c r="F235" s="126"/>
      <c r="G235" s="125">
        <v>16835</v>
      </c>
      <c r="H235" s="121"/>
    </row>
    <row r="236" spans="2:9" x14ac:dyDescent="0.3">
      <c r="B236" s="96" t="s">
        <v>205</v>
      </c>
      <c r="C236" s="97" t="s">
        <v>206</v>
      </c>
      <c r="D236" s="98"/>
      <c r="E236" s="98"/>
      <c r="F236" s="122"/>
      <c r="G236" s="123"/>
      <c r="H236" s="121"/>
    </row>
    <row r="237" spans="2:9" x14ac:dyDescent="0.3">
      <c r="B237" s="99">
        <v>1</v>
      </c>
      <c r="C237" s="97" t="s">
        <v>253</v>
      </c>
      <c r="D237" s="100" t="s">
        <v>212</v>
      </c>
      <c r="E237" s="105">
        <v>0.12</v>
      </c>
      <c r="F237" s="124">
        <v>119100</v>
      </c>
      <c r="G237" s="155">
        <f t="shared" ref="G237:G238" si="28">E237*F237</f>
        <v>14292</v>
      </c>
      <c r="H237" s="121"/>
    </row>
    <row r="238" spans="2:9" x14ac:dyDescent="0.3">
      <c r="B238" s="99">
        <v>2</v>
      </c>
      <c r="C238" s="97" t="s">
        <v>254</v>
      </c>
      <c r="D238" s="100" t="s">
        <v>212</v>
      </c>
      <c r="E238" s="105">
        <v>0.18</v>
      </c>
      <c r="F238" s="124">
        <v>130500</v>
      </c>
      <c r="G238" s="155">
        <f t="shared" si="28"/>
        <v>23490</v>
      </c>
      <c r="H238" s="121"/>
    </row>
    <row r="239" spans="2:9" x14ac:dyDescent="0.3">
      <c r="B239" s="102" t="s">
        <v>218</v>
      </c>
      <c r="C239" s="103"/>
      <c r="D239" s="103"/>
      <c r="E239" s="103"/>
      <c r="F239" s="126"/>
      <c r="G239" s="125">
        <v>37782</v>
      </c>
      <c r="H239" s="121"/>
    </row>
    <row r="240" spans="2:9" x14ac:dyDescent="0.3">
      <c r="B240" s="107" t="s">
        <v>219</v>
      </c>
      <c r="C240" s="97" t="s">
        <v>220</v>
      </c>
      <c r="D240" s="98"/>
      <c r="E240" s="98"/>
      <c r="F240" s="122"/>
      <c r="G240" s="123"/>
      <c r="H240" s="121"/>
    </row>
    <row r="241" spans="2:9" x14ac:dyDescent="0.3">
      <c r="B241" s="102" t="s">
        <v>221</v>
      </c>
      <c r="C241" s="103"/>
      <c r="D241" s="103"/>
      <c r="E241" s="103"/>
      <c r="F241" s="126"/>
      <c r="G241" s="108">
        <v>0</v>
      </c>
      <c r="H241" s="121"/>
    </row>
    <row r="242" spans="2:9" x14ac:dyDescent="0.3">
      <c r="B242" s="109" t="s">
        <v>222</v>
      </c>
      <c r="C242" s="110" t="s">
        <v>223</v>
      </c>
      <c r="D242" s="111"/>
      <c r="E242" s="111"/>
      <c r="F242" s="127"/>
      <c r="G242" s="155">
        <f>G239+G235</f>
        <v>54617</v>
      </c>
      <c r="H242" s="121"/>
    </row>
    <row r="243" spans="2:9" x14ac:dyDescent="0.3">
      <c r="B243" s="109" t="s">
        <v>224</v>
      </c>
      <c r="C243" s="110" t="s">
        <v>225</v>
      </c>
      <c r="D243" s="111"/>
      <c r="E243" s="112"/>
      <c r="F243" s="129">
        <v>0.1</v>
      </c>
      <c r="G243" s="317">
        <f>G242*0.15</f>
        <v>8192.5499999999993</v>
      </c>
      <c r="H243" s="121"/>
    </row>
    <row r="244" spans="2:9" ht="15" thickBot="1" x14ac:dyDescent="0.35">
      <c r="B244" s="113" t="s">
        <v>226</v>
      </c>
      <c r="C244" s="114" t="s">
        <v>227</v>
      </c>
      <c r="D244" s="115"/>
      <c r="E244" s="115"/>
      <c r="F244" s="130"/>
      <c r="G244" s="159">
        <f>G242+G243</f>
        <v>62809.55</v>
      </c>
      <c r="H244" s="121"/>
      <c r="I244" s="90"/>
    </row>
    <row r="247" spans="2:9" ht="15" thickBot="1" x14ac:dyDescent="0.35">
      <c r="B247" s="132" t="s">
        <v>261</v>
      </c>
      <c r="C247" s="194" t="s">
        <v>262</v>
      </c>
      <c r="D247" s="187"/>
      <c r="E247" s="187"/>
      <c r="F247" s="198"/>
      <c r="G247" s="198"/>
      <c r="H247" s="160">
        <f>ROUNDDOWN(G262,-2)</f>
        <v>96400</v>
      </c>
    </row>
    <row r="248" spans="2:9" ht="28.2" thickTop="1" x14ac:dyDescent="0.3">
      <c r="B248" s="94" t="s">
        <v>191</v>
      </c>
      <c r="C248" s="95" t="s">
        <v>192</v>
      </c>
      <c r="D248" s="95" t="s">
        <v>193</v>
      </c>
      <c r="E248" s="95" t="s">
        <v>194</v>
      </c>
      <c r="F248" s="119" t="s">
        <v>195</v>
      </c>
      <c r="G248" s="120" t="s">
        <v>196</v>
      </c>
      <c r="H248" s="121"/>
    </row>
    <row r="249" spans="2:9" x14ac:dyDescent="0.3">
      <c r="B249" s="96" t="s">
        <v>197</v>
      </c>
      <c r="C249" s="97" t="s">
        <v>198</v>
      </c>
      <c r="D249" s="98"/>
      <c r="E249" s="98"/>
      <c r="F249" s="122"/>
      <c r="G249" s="123"/>
      <c r="H249" s="121"/>
    </row>
    <row r="250" spans="2:9" x14ac:dyDescent="0.3">
      <c r="B250" s="99">
        <v>1</v>
      </c>
      <c r="C250" s="97" t="s">
        <v>199</v>
      </c>
      <c r="D250" s="100" t="s">
        <v>200</v>
      </c>
      <c r="E250" s="101">
        <v>0.2</v>
      </c>
      <c r="F250" s="124">
        <v>100000</v>
      </c>
      <c r="G250" s="155">
        <f t="shared" ref="G250:G253" si="29">E250*F250</f>
        <v>20000</v>
      </c>
      <c r="H250" s="121"/>
    </row>
    <row r="251" spans="2:9" x14ac:dyDescent="0.3">
      <c r="B251" s="99">
        <v>2</v>
      </c>
      <c r="C251" s="97" t="s">
        <v>252</v>
      </c>
      <c r="D251" s="100" t="s">
        <v>200</v>
      </c>
      <c r="E251" s="101">
        <v>0.2</v>
      </c>
      <c r="F251" s="124">
        <v>145000</v>
      </c>
      <c r="G251" s="155">
        <f t="shared" si="29"/>
        <v>29000</v>
      </c>
      <c r="H251" s="121"/>
    </row>
    <row r="252" spans="2:9" x14ac:dyDescent="0.3">
      <c r="B252" s="99">
        <v>3</v>
      </c>
      <c r="C252" s="97" t="s">
        <v>202</v>
      </c>
      <c r="D252" s="100" t="s">
        <v>200</v>
      </c>
      <c r="E252" s="101">
        <v>0.02</v>
      </c>
      <c r="F252" s="124">
        <v>175000</v>
      </c>
      <c r="G252" s="155">
        <f t="shared" si="29"/>
        <v>3500</v>
      </c>
      <c r="H252" s="121"/>
    </row>
    <row r="253" spans="2:9" x14ac:dyDescent="0.3">
      <c r="B253" s="99">
        <v>4</v>
      </c>
      <c r="C253" s="97" t="s">
        <v>203</v>
      </c>
      <c r="D253" s="100" t="s">
        <v>200</v>
      </c>
      <c r="E253" s="101">
        <v>6.7000000000000002E-3</v>
      </c>
      <c r="F253" s="124">
        <v>200000</v>
      </c>
      <c r="G253" s="155">
        <f t="shared" si="29"/>
        <v>1340</v>
      </c>
      <c r="H253" s="121"/>
    </row>
    <row r="254" spans="2:9" x14ac:dyDescent="0.3">
      <c r="B254" s="102" t="s">
        <v>234</v>
      </c>
      <c r="C254" s="103"/>
      <c r="D254" s="103"/>
      <c r="E254" s="104"/>
      <c r="F254" s="126"/>
      <c r="G254" s="125">
        <v>53840</v>
      </c>
      <c r="H254" s="121"/>
    </row>
    <row r="255" spans="2:9" x14ac:dyDescent="0.3">
      <c r="B255" s="96" t="s">
        <v>205</v>
      </c>
      <c r="C255" s="97" t="s">
        <v>206</v>
      </c>
      <c r="D255" s="98"/>
      <c r="E255" s="98"/>
      <c r="F255" s="122"/>
      <c r="G255" s="123"/>
      <c r="H255" s="121"/>
    </row>
    <row r="256" spans="2:9" x14ac:dyDescent="0.3">
      <c r="B256" s="99">
        <v>1</v>
      </c>
      <c r="C256" s="97" t="s">
        <v>263</v>
      </c>
      <c r="D256" s="100" t="s">
        <v>212</v>
      </c>
      <c r="E256" s="105">
        <v>1</v>
      </c>
      <c r="F256" s="124">
        <v>30000</v>
      </c>
      <c r="G256" s="155">
        <f>E256*F256</f>
        <v>30000</v>
      </c>
      <c r="H256" s="121"/>
    </row>
    <row r="257" spans="2:9" x14ac:dyDescent="0.3">
      <c r="B257" s="102" t="s">
        <v>218</v>
      </c>
      <c r="C257" s="103"/>
      <c r="D257" s="103"/>
      <c r="E257" s="103"/>
      <c r="F257" s="126"/>
      <c r="G257" s="125">
        <v>30000</v>
      </c>
      <c r="H257" s="121"/>
    </row>
    <row r="258" spans="2:9" x14ac:dyDescent="0.3">
      <c r="B258" s="107" t="s">
        <v>219</v>
      </c>
      <c r="C258" s="97" t="s">
        <v>220</v>
      </c>
      <c r="D258" s="98"/>
      <c r="E258" s="98"/>
      <c r="F258" s="122"/>
      <c r="G258" s="123"/>
      <c r="H258" s="121"/>
    </row>
    <row r="259" spans="2:9" x14ac:dyDescent="0.3">
      <c r="B259" s="102" t="s">
        <v>221</v>
      </c>
      <c r="C259" s="103"/>
      <c r="D259" s="103"/>
      <c r="E259" s="103"/>
      <c r="F259" s="126"/>
      <c r="G259" s="108">
        <v>0</v>
      </c>
      <c r="H259" s="121"/>
    </row>
    <row r="260" spans="2:9" x14ac:dyDescent="0.3">
      <c r="B260" s="109" t="s">
        <v>222</v>
      </c>
      <c r="C260" s="110" t="s">
        <v>223</v>
      </c>
      <c r="D260" s="111"/>
      <c r="E260" s="111"/>
      <c r="F260" s="127"/>
      <c r="G260" s="155">
        <f>G257+G254</f>
        <v>83840</v>
      </c>
      <c r="H260" s="121"/>
    </row>
    <row r="261" spans="2:9" x14ac:dyDescent="0.3">
      <c r="B261" s="109" t="s">
        <v>224</v>
      </c>
      <c r="C261" s="110" t="s">
        <v>225</v>
      </c>
      <c r="D261" s="111"/>
      <c r="E261" s="112"/>
      <c r="F261" s="129">
        <v>0.1</v>
      </c>
      <c r="G261" s="317">
        <f>G260*0.15</f>
        <v>12576</v>
      </c>
      <c r="H261" s="121"/>
    </row>
    <row r="262" spans="2:9" ht="15" thickBot="1" x14ac:dyDescent="0.35">
      <c r="B262" s="113" t="s">
        <v>226</v>
      </c>
      <c r="C262" s="114" t="s">
        <v>227</v>
      </c>
      <c r="D262" s="115"/>
      <c r="E262" s="115"/>
      <c r="F262" s="130"/>
      <c r="G262" s="159">
        <f>G260+G261</f>
        <v>96416</v>
      </c>
      <c r="H262" s="121"/>
      <c r="I262" s="90"/>
    </row>
    <row r="266" spans="2:9" ht="15" thickBot="1" x14ac:dyDescent="0.35">
      <c r="B266" s="53" t="s">
        <v>273</v>
      </c>
      <c r="C266" s="200" t="s">
        <v>274</v>
      </c>
      <c r="D266" s="200"/>
      <c r="E266" s="200"/>
      <c r="F266" s="211"/>
      <c r="G266" s="211"/>
      <c r="H266" s="160">
        <f>ROUNDDOWN(G283,-2)</f>
        <v>1525200</v>
      </c>
    </row>
    <row r="267" spans="2:9" ht="28.2" thickTop="1" x14ac:dyDescent="0.3">
      <c r="B267" s="57" t="s">
        <v>191</v>
      </c>
      <c r="C267" s="58" t="s">
        <v>192</v>
      </c>
      <c r="D267" s="58" t="s">
        <v>193</v>
      </c>
      <c r="E267" s="58" t="s">
        <v>194</v>
      </c>
      <c r="F267" s="78" t="s">
        <v>195</v>
      </c>
      <c r="G267" s="79" t="s">
        <v>196</v>
      </c>
      <c r="H267" s="214"/>
    </row>
    <row r="268" spans="2:9" x14ac:dyDescent="0.3">
      <c r="B268" s="59" t="s">
        <v>197</v>
      </c>
      <c r="C268" s="60" t="s">
        <v>198</v>
      </c>
      <c r="D268" s="61"/>
      <c r="E268" s="61"/>
      <c r="F268" s="80"/>
      <c r="G268" s="81"/>
      <c r="H268" s="214"/>
    </row>
    <row r="269" spans="2:9" x14ac:dyDescent="0.3">
      <c r="B269" s="62">
        <v>1</v>
      </c>
      <c r="C269" s="60" t="s">
        <v>199</v>
      </c>
      <c r="D269" s="63" t="s">
        <v>200</v>
      </c>
      <c r="E269" s="201">
        <v>1</v>
      </c>
      <c r="F269" s="82">
        <v>100000</v>
      </c>
      <c r="G269" s="83">
        <f>E269*F269</f>
        <v>100000</v>
      </c>
      <c r="H269" s="214"/>
    </row>
    <row r="270" spans="2:9" x14ac:dyDescent="0.3">
      <c r="B270" s="62">
        <v>2</v>
      </c>
      <c r="C270" s="60" t="s">
        <v>275</v>
      </c>
      <c r="D270" s="63" t="s">
        <v>200</v>
      </c>
      <c r="E270" s="201">
        <v>3</v>
      </c>
      <c r="F270" s="82">
        <v>145000</v>
      </c>
      <c r="G270" s="83">
        <f t="shared" ref="G270:G272" si="30">E270*F270</f>
        <v>435000</v>
      </c>
      <c r="H270" s="214"/>
    </row>
    <row r="271" spans="2:9" x14ac:dyDescent="0.3">
      <c r="B271" s="62">
        <v>3</v>
      </c>
      <c r="C271" s="60" t="s">
        <v>202</v>
      </c>
      <c r="D271" s="63" t="s">
        <v>200</v>
      </c>
      <c r="E271" s="201">
        <v>0.3</v>
      </c>
      <c r="F271" s="82">
        <v>175000</v>
      </c>
      <c r="G271" s="83">
        <f t="shared" si="30"/>
        <v>52500</v>
      </c>
      <c r="H271" s="214"/>
    </row>
    <row r="272" spans="2:9" x14ac:dyDescent="0.3">
      <c r="B272" s="62">
        <v>4</v>
      </c>
      <c r="C272" s="60" t="s">
        <v>203</v>
      </c>
      <c r="D272" s="63" t="s">
        <v>200</v>
      </c>
      <c r="E272" s="201">
        <v>0.1</v>
      </c>
      <c r="F272" s="82">
        <v>200000</v>
      </c>
      <c r="G272" s="83">
        <f t="shared" si="30"/>
        <v>20000</v>
      </c>
      <c r="H272" s="214"/>
    </row>
    <row r="273" spans="2:12" x14ac:dyDescent="0.3">
      <c r="B273" s="64" t="s">
        <v>234</v>
      </c>
      <c r="C273" s="65"/>
      <c r="D273" s="65"/>
      <c r="E273" s="202"/>
      <c r="F273" s="84"/>
      <c r="G273" s="83">
        <f>SUM(G269:G272)</f>
        <v>607500</v>
      </c>
      <c r="H273" s="213"/>
    </row>
    <row r="274" spans="2:12" x14ac:dyDescent="0.3">
      <c r="B274" s="59" t="s">
        <v>205</v>
      </c>
      <c r="C274" s="60" t="s">
        <v>206</v>
      </c>
      <c r="D274" s="61"/>
      <c r="E274" s="61"/>
      <c r="F274" s="80"/>
      <c r="G274" s="81"/>
      <c r="H274" s="214"/>
    </row>
    <row r="275" spans="2:12" x14ac:dyDescent="0.3">
      <c r="B275" s="203" t="s">
        <v>207</v>
      </c>
      <c r="C275" s="67" t="s">
        <v>276</v>
      </c>
      <c r="D275" s="204" t="s">
        <v>277</v>
      </c>
      <c r="E275" s="205">
        <v>1</v>
      </c>
      <c r="F275" s="82">
        <v>410600</v>
      </c>
      <c r="G275" s="83">
        <f t="shared" ref="G275:G277" si="31">E275*F275</f>
        <v>410600</v>
      </c>
      <c r="H275" s="214"/>
    </row>
    <row r="276" spans="2:12" x14ac:dyDescent="0.3">
      <c r="B276" s="203" t="s">
        <v>210</v>
      </c>
      <c r="C276" s="67" t="s">
        <v>278</v>
      </c>
      <c r="D276" s="204" t="s">
        <v>212</v>
      </c>
      <c r="E276" s="205">
        <v>0.5</v>
      </c>
      <c r="F276" s="82">
        <v>16400</v>
      </c>
      <c r="G276" s="83">
        <f t="shared" si="31"/>
        <v>8200</v>
      </c>
      <c r="H276" s="214"/>
    </row>
    <row r="277" spans="2:12" x14ac:dyDescent="0.3">
      <c r="B277" s="203" t="s">
        <v>213</v>
      </c>
      <c r="C277" s="67" t="s">
        <v>279</v>
      </c>
      <c r="D277" s="204" t="s">
        <v>277</v>
      </c>
      <c r="E277" s="205">
        <v>2</v>
      </c>
      <c r="F277" s="82">
        <v>150000</v>
      </c>
      <c r="G277" s="83">
        <f t="shared" si="31"/>
        <v>300000</v>
      </c>
      <c r="H277" s="214"/>
    </row>
    <row r="278" spans="2:12" x14ac:dyDescent="0.3">
      <c r="B278" s="64" t="s">
        <v>218</v>
      </c>
      <c r="C278" s="65"/>
      <c r="D278" s="65"/>
      <c r="E278" s="65"/>
      <c r="F278" s="84"/>
      <c r="G278" s="83">
        <f>SUM(G275:G277)</f>
        <v>718800</v>
      </c>
      <c r="H278" s="214"/>
    </row>
    <row r="279" spans="2:12" x14ac:dyDescent="0.3">
      <c r="B279" s="68" t="s">
        <v>219</v>
      </c>
      <c r="C279" s="60" t="s">
        <v>220</v>
      </c>
      <c r="D279" s="61"/>
      <c r="E279" s="61"/>
      <c r="F279" s="80"/>
      <c r="G279" s="81"/>
      <c r="H279" s="214"/>
    </row>
    <row r="280" spans="2:12" x14ac:dyDescent="0.3">
      <c r="B280" s="64" t="s">
        <v>221</v>
      </c>
      <c r="C280" s="65"/>
      <c r="D280" s="65"/>
      <c r="E280" s="65"/>
      <c r="F280" s="84"/>
      <c r="G280" s="69">
        <v>0</v>
      </c>
      <c r="H280" s="214"/>
    </row>
    <row r="281" spans="2:12" x14ac:dyDescent="0.3">
      <c r="B281" s="70" t="s">
        <v>222</v>
      </c>
      <c r="C281" s="71" t="s">
        <v>223</v>
      </c>
      <c r="D281" s="72"/>
      <c r="E281" s="72"/>
      <c r="F281" s="85"/>
      <c r="G281" s="83">
        <f>G278+G273</f>
        <v>1326300</v>
      </c>
      <c r="H281" s="214"/>
    </row>
    <row r="282" spans="2:12" x14ac:dyDescent="0.3">
      <c r="B282" s="70" t="s">
        <v>224</v>
      </c>
      <c r="C282" s="71" t="s">
        <v>225</v>
      </c>
      <c r="D282" s="72"/>
      <c r="E282" s="206"/>
      <c r="F282" s="86">
        <v>0.1</v>
      </c>
      <c r="G282" s="77">
        <f>G281*0.15</f>
        <v>198945</v>
      </c>
      <c r="H282" s="214"/>
    </row>
    <row r="283" spans="2:12" ht="15" thickBot="1" x14ac:dyDescent="0.35">
      <c r="B283" s="73" t="s">
        <v>226</v>
      </c>
      <c r="C283" s="74" t="s">
        <v>227</v>
      </c>
      <c r="D283" s="75"/>
      <c r="E283" s="75"/>
      <c r="F283" s="87"/>
      <c r="G283" s="88">
        <f>G281+G282</f>
        <v>1525245</v>
      </c>
      <c r="H283" s="214"/>
    </row>
    <row r="284" spans="2:12" ht="15" thickTop="1" x14ac:dyDescent="0.3">
      <c r="B284" s="207"/>
      <c r="C284" s="208"/>
      <c r="D284" s="208"/>
      <c r="E284" s="208"/>
      <c r="F284" s="212"/>
      <c r="G284" s="211"/>
      <c r="H284" s="214"/>
    </row>
    <row r="285" spans="2:12" x14ac:dyDescent="0.3">
      <c r="B285" s="207"/>
      <c r="C285" s="208"/>
      <c r="D285" s="208"/>
      <c r="E285" s="208"/>
      <c r="F285" s="212"/>
      <c r="G285" s="211"/>
      <c r="H285" s="214"/>
    </row>
    <row r="286" spans="2:12" ht="15" thickBot="1" x14ac:dyDescent="0.35">
      <c r="B286" s="53" t="s">
        <v>280</v>
      </c>
      <c r="C286" s="200" t="s">
        <v>281</v>
      </c>
      <c r="D286" s="200"/>
      <c r="E286" s="200"/>
      <c r="F286" s="211"/>
      <c r="G286" s="211"/>
      <c r="H286" s="160">
        <f>ROUNDDOWN(G301,-2)</f>
        <v>1251300</v>
      </c>
      <c r="J286" s="56" t="s">
        <v>300</v>
      </c>
      <c r="L286" s="90">
        <f>G301/(0.8*2)</f>
        <v>782083.734375</v>
      </c>
    </row>
    <row r="287" spans="2:12" ht="28.2" thickTop="1" x14ac:dyDescent="0.3">
      <c r="B287" s="57" t="s">
        <v>191</v>
      </c>
      <c r="C287" s="58" t="s">
        <v>192</v>
      </c>
      <c r="D287" s="58" t="s">
        <v>193</v>
      </c>
      <c r="E287" s="58" t="s">
        <v>194</v>
      </c>
      <c r="F287" s="78" t="s">
        <v>195</v>
      </c>
      <c r="G287" s="79" t="s">
        <v>196</v>
      </c>
      <c r="H287" s="214"/>
    </row>
    <row r="288" spans="2:12" x14ac:dyDescent="0.3">
      <c r="B288" s="59" t="s">
        <v>197</v>
      </c>
      <c r="C288" s="60" t="s">
        <v>198</v>
      </c>
      <c r="D288" s="61"/>
      <c r="E288" s="61"/>
      <c r="F288" s="80"/>
      <c r="G288" s="81"/>
      <c r="H288" s="214"/>
    </row>
    <row r="289" spans="2:12" x14ac:dyDescent="0.3">
      <c r="B289" s="62">
        <v>1</v>
      </c>
      <c r="C289" s="60" t="s">
        <v>199</v>
      </c>
      <c r="D289" s="63" t="s">
        <v>200</v>
      </c>
      <c r="E289" s="209">
        <v>0.16669999999999999</v>
      </c>
      <c r="F289" s="82">
        <v>100000</v>
      </c>
      <c r="G289" s="83">
        <f t="shared" ref="G289:G292" si="32">E289*F289</f>
        <v>16670</v>
      </c>
      <c r="H289" s="214"/>
    </row>
    <row r="290" spans="2:12" x14ac:dyDescent="0.3">
      <c r="B290" s="62">
        <v>2</v>
      </c>
      <c r="C290" s="60" t="s">
        <v>275</v>
      </c>
      <c r="D290" s="63" t="s">
        <v>200</v>
      </c>
      <c r="E290" s="209">
        <v>0.16669999999999999</v>
      </c>
      <c r="F290" s="82">
        <v>145000</v>
      </c>
      <c r="G290" s="83">
        <f t="shared" si="32"/>
        <v>24171.499999999996</v>
      </c>
      <c r="H290" s="214"/>
    </row>
    <row r="291" spans="2:12" x14ac:dyDescent="0.3">
      <c r="B291" s="62">
        <v>3</v>
      </c>
      <c r="C291" s="60" t="s">
        <v>202</v>
      </c>
      <c r="D291" s="63" t="s">
        <v>200</v>
      </c>
      <c r="E291" s="209">
        <v>1.7000000000000001E-2</v>
      </c>
      <c r="F291" s="82">
        <v>175000</v>
      </c>
      <c r="G291" s="83">
        <f t="shared" si="32"/>
        <v>2975</v>
      </c>
      <c r="H291" s="214"/>
    </row>
    <row r="292" spans="2:12" x14ac:dyDescent="0.3">
      <c r="B292" s="62">
        <v>4</v>
      </c>
      <c r="C292" s="60" t="s">
        <v>203</v>
      </c>
      <c r="D292" s="63" t="s">
        <v>200</v>
      </c>
      <c r="E292" s="209">
        <v>6.0000000000000001E-3</v>
      </c>
      <c r="F292" s="82">
        <v>200000</v>
      </c>
      <c r="G292" s="83">
        <f t="shared" si="32"/>
        <v>1200</v>
      </c>
      <c r="H292" s="214"/>
    </row>
    <row r="293" spans="2:12" x14ac:dyDescent="0.3">
      <c r="B293" s="64" t="s">
        <v>234</v>
      </c>
      <c r="C293" s="65"/>
      <c r="D293" s="65"/>
      <c r="E293" s="202"/>
      <c r="F293" s="84"/>
      <c r="G293" s="83">
        <f>SUM(G289:G292)</f>
        <v>45016.5</v>
      </c>
      <c r="H293" s="213"/>
    </row>
    <row r="294" spans="2:12" x14ac:dyDescent="0.3">
      <c r="B294" s="59" t="s">
        <v>205</v>
      </c>
      <c r="C294" s="60" t="s">
        <v>206</v>
      </c>
      <c r="D294" s="61"/>
      <c r="E294" s="61"/>
      <c r="F294" s="80"/>
      <c r="G294" s="81"/>
      <c r="H294" s="214"/>
    </row>
    <row r="295" spans="2:12" x14ac:dyDescent="0.3">
      <c r="B295" s="203" t="s">
        <v>207</v>
      </c>
      <c r="C295" s="67" t="s">
        <v>282</v>
      </c>
      <c r="D295" s="204" t="s">
        <v>283</v>
      </c>
      <c r="E295" s="205">
        <v>1</v>
      </c>
      <c r="F295" s="82">
        <v>1043100</v>
      </c>
      <c r="G295" s="83">
        <f>E295*F295</f>
        <v>1043100</v>
      </c>
      <c r="H295" s="214"/>
    </row>
    <row r="296" spans="2:12" x14ac:dyDescent="0.3">
      <c r="B296" s="64" t="s">
        <v>218</v>
      </c>
      <c r="C296" s="65"/>
      <c r="D296" s="65"/>
      <c r="E296" s="65"/>
      <c r="F296" s="84"/>
      <c r="G296" s="83">
        <f>SUM(G295)</f>
        <v>1043100</v>
      </c>
      <c r="H296" s="214"/>
    </row>
    <row r="297" spans="2:12" x14ac:dyDescent="0.3">
      <c r="B297" s="68" t="s">
        <v>219</v>
      </c>
      <c r="C297" s="60" t="s">
        <v>220</v>
      </c>
      <c r="D297" s="61"/>
      <c r="E297" s="61"/>
      <c r="F297" s="80"/>
      <c r="G297" s="81"/>
      <c r="H297" s="214"/>
    </row>
    <row r="298" spans="2:12" x14ac:dyDescent="0.3">
      <c r="B298" s="64" t="s">
        <v>221</v>
      </c>
      <c r="C298" s="65"/>
      <c r="D298" s="65"/>
      <c r="E298" s="65"/>
      <c r="F298" s="84"/>
      <c r="G298" s="69">
        <v>0</v>
      </c>
      <c r="H298" s="214"/>
    </row>
    <row r="299" spans="2:12" x14ac:dyDescent="0.3">
      <c r="B299" s="70" t="s">
        <v>222</v>
      </c>
      <c r="C299" s="71" t="s">
        <v>223</v>
      </c>
      <c r="D299" s="72"/>
      <c r="E299" s="72"/>
      <c r="F299" s="85"/>
      <c r="G299" s="83">
        <f>G296+G293</f>
        <v>1088116.5</v>
      </c>
      <c r="H299" s="214"/>
    </row>
    <row r="300" spans="2:12" x14ac:dyDescent="0.3">
      <c r="B300" s="70" t="s">
        <v>224</v>
      </c>
      <c r="C300" s="71" t="s">
        <v>225</v>
      </c>
      <c r="D300" s="72"/>
      <c r="E300" s="206"/>
      <c r="F300" s="86">
        <v>0.1</v>
      </c>
      <c r="G300" s="77">
        <f>G299*0.15</f>
        <v>163217.47500000001</v>
      </c>
      <c r="H300" s="214"/>
    </row>
    <row r="301" spans="2:12" ht="15" thickBot="1" x14ac:dyDescent="0.35">
      <c r="B301" s="73" t="s">
        <v>226</v>
      </c>
      <c r="C301" s="74" t="s">
        <v>227</v>
      </c>
      <c r="D301" s="75"/>
      <c r="E301" s="75"/>
      <c r="F301" s="87"/>
      <c r="G301" s="88">
        <f>G299+G300</f>
        <v>1251333.9750000001</v>
      </c>
      <c r="H301" s="214"/>
    </row>
    <row r="304" spans="2:12" ht="15" thickBot="1" x14ac:dyDescent="0.35">
      <c r="B304" s="132" t="s">
        <v>284</v>
      </c>
      <c r="C304" s="187" t="s">
        <v>285</v>
      </c>
      <c r="D304" s="187"/>
      <c r="E304" s="187"/>
      <c r="F304" s="198"/>
      <c r="G304" s="198"/>
      <c r="H304" s="160">
        <f>ROUNDDOWN(G319,-2)</f>
        <v>2612600</v>
      </c>
      <c r="J304" s="56" t="s">
        <v>300</v>
      </c>
      <c r="L304" s="90">
        <f>H304/(1.15*1.3)</f>
        <v>1747558.5284280938</v>
      </c>
    </row>
    <row r="305" spans="2:8" ht="28.2" thickTop="1" x14ac:dyDescent="0.3">
      <c r="B305" s="94" t="s">
        <v>191</v>
      </c>
      <c r="C305" s="95" t="s">
        <v>192</v>
      </c>
      <c r="D305" s="95" t="s">
        <v>193</v>
      </c>
      <c r="E305" s="95" t="s">
        <v>194</v>
      </c>
      <c r="F305" s="119" t="s">
        <v>195</v>
      </c>
      <c r="G305" s="120" t="s">
        <v>196</v>
      </c>
      <c r="H305" s="121"/>
    </row>
    <row r="306" spans="2:8" x14ac:dyDescent="0.3">
      <c r="B306" s="96" t="s">
        <v>197</v>
      </c>
      <c r="C306" s="97" t="s">
        <v>198</v>
      </c>
      <c r="D306" s="98"/>
      <c r="E306" s="98"/>
      <c r="F306" s="122"/>
      <c r="G306" s="123"/>
      <c r="H306" s="121"/>
    </row>
    <row r="307" spans="2:8" x14ac:dyDescent="0.3">
      <c r="B307" s="99">
        <v>1</v>
      </c>
      <c r="C307" s="97" t="s">
        <v>199</v>
      </c>
      <c r="D307" s="100" t="s">
        <v>200</v>
      </c>
      <c r="E307" s="105">
        <v>0.16700000000000001</v>
      </c>
      <c r="F307" s="124">
        <v>100000</v>
      </c>
      <c r="G307" s="83">
        <f t="shared" ref="G307:G310" si="33">E307*F307</f>
        <v>16700</v>
      </c>
      <c r="H307" s="121"/>
    </row>
    <row r="308" spans="2:8" x14ac:dyDescent="0.3">
      <c r="B308" s="99">
        <v>2</v>
      </c>
      <c r="C308" s="97" t="s">
        <v>275</v>
      </c>
      <c r="D308" s="100" t="s">
        <v>200</v>
      </c>
      <c r="E308" s="105">
        <v>0.16700000000000001</v>
      </c>
      <c r="F308" s="124">
        <v>145000</v>
      </c>
      <c r="G308" s="83">
        <f t="shared" si="33"/>
        <v>24215</v>
      </c>
      <c r="H308" s="121"/>
    </row>
    <row r="309" spans="2:8" x14ac:dyDescent="0.3">
      <c r="B309" s="99">
        <v>3</v>
      </c>
      <c r="C309" s="97" t="s">
        <v>202</v>
      </c>
      <c r="D309" s="100" t="s">
        <v>200</v>
      </c>
      <c r="E309" s="105">
        <v>0.17</v>
      </c>
      <c r="F309" s="124">
        <v>175000</v>
      </c>
      <c r="G309" s="83">
        <f t="shared" si="33"/>
        <v>29750.000000000004</v>
      </c>
      <c r="H309" s="121"/>
    </row>
    <row r="310" spans="2:8" x14ac:dyDescent="0.3">
      <c r="B310" s="99">
        <v>4</v>
      </c>
      <c r="C310" s="97" t="s">
        <v>203</v>
      </c>
      <c r="D310" s="100" t="s">
        <v>200</v>
      </c>
      <c r="E310" s="105">
        <v>6.0000000000000001E-3</v>
      </c>
      <c r="F310" s="124">
        <v>200000</v>
      </c>
      <c r="G310" s="83">
        <f t="shared" si="33"/>
        <v>1200</v>
      </c>
      <c r="H310" s="121"/>
    </row>
    <row r="311" spans="2:8" x14ac:dyDescent="0.3">
      <c r="B311" s="102" t="s">
        <v>234</v>
      </c>
      <c r="C311" s="103"/>
      <c r="D311" s="103"/>
      <c r="E311" s="116"/>
      <c r="F311" s="126"/>
      <c r="G311" s="125">
        <f>SUM(G307:G310)</f>
        <v>71865</v>
      </c>
      <c r="H311" s="118"/>
    </row>
    <row r="312" spans="2:8" x14ac:dyDescent="0.3">
      <c r="B312" s="96" t="s">
        <v>205</v>
      </c>
      <c r="C312" s="97" t="s">
        <v>206</v>
      </c>
      <c r="D312" s="98"/>
      <c r="E312" s="98"/>
      <c r="F312" s="122"/>
      <c r="G312" s="123"/>
      <c r="H312" s="121"/>
    </row>
    <row r="313" spans="2:8" x14ac:dyDescent="0.3">
      <c r="B313" s="215" t="s">
        <v>207</v>
      </c>
      <c r="C313" s="106" t="s">
        <v>286</v>
      </c>
      <c r="D313" s="216" t="s">
        <v>209</v>
      </c>
      <c r="E313" s="217">
        <v>1.1000000000000001</v>
      </c>
      <c r="F313" s="124">
        <v>2000000</v>
      </c>
      <c r="G313" s="83">
        <f t="shared" ref="G313" si="34">E313*F313</f>
        <v>2200000</v>
      </c>
      <c r="H313" s="121"/>
    </row>
    <row r="314" spans="2:8" x14ac:dyDescent="0.3">
      <c r="B314" s="102" t="s">
        <v>218</v>
      </c>
      <c r="C314" s="103"/>
      <c r="D314" s="103"/>
      <c r="E314" s="103"/>
      <c r="F314" s="126"/>
      <c r="G314" s="125">
        <f>SUM(G313)</f>
        <v>2200000</v>
      </c>
      <c r="H314" s="121"/>
    </row>
    <row r="315" spans="2:8" x14ac:dyDescent="0.3">
      <c r="B315" s="107" t="s">
        <v>219</v>
      </c>
      <c r="C315" s="97" t="s">
        <v>220</v>
      </c>
      <c r="D315" s="98"/>
      <c r="E315" s="98"/>
      <c r="F315" s="122"/>
      <c r="G315" s="123"/>
      <c r="H315" s="121"/>
    </row>
    <row r="316" spans="2:8" x14ac:dyDescent="0.3">
      <c r="B316" s="102" t="s">
        <v>221</v>
      </c>
      <c r="C316" s="103"/>
      <c r="D316" s="103"/>
      <c r="E316" s="103"/>
      <c r="F316" s="126"/>
      <c r="G316" s="108">
        <v>0</v>
      </c>
      <c r="H316" s="121"/>
    </row>
    <row r="317" spans="2:8" x14ac:dyDescent="0.3">
      <c r="B317" s="109" t="s">
        <v>222</v>
      </c>
      <c r="C317" s="110" t="s">
        <v>223</v>
      </c>
      <c r="D317" s="111"/>
      <c r="E317" s="111"/>
      <c r="F317" s="127"/>
      <c r="G317" s="125">
        <f>G311+G314</f>
        <v>2271865</v>
      </c>
      <c r="H317" s="121"/>
    </row>
    <row r="318" spans="2:8" x14ac:dyDescent="0.3">
      <c r="B318" s="109" t="s">
        <v>224</v>
      </c>
      <c r="C318" s="110" t="s">
        <v>225</v>
      </c>
      <c r="D318" s="111"/>
      <c r="E318" s="112"/>
      <c r="F318" s="129">
        <v>0.1</v>
      </c>
      <c r="G318" s="77">
        <f>G317*0.15</f>
        <v>340779.75</v>
      </c>
      <c r="H318" s="121"/>
    </row>
    <row r="319" spans="2:8" ht="15" thickBot="1" x14ac:dyDescent="0.35">
      <c r="B319" s="113" t="s">
        <v>226</v>
      </c>
      <c r="C319" s="114" t="s">
        <v>227</v>
      </c>
      <c r="D319" s="115"/>
      <c r="E319" s="115"/>
      <c r="F319" s="130"/>
      <c r="G319" s="88">
        <f>G317+G318</f>
        <v>2612644.75</v>
      </c>
      <c r="H319" s="121"/>
    </row>
    <row r="322" spans="2:8" ht="15" thickBot="1" x14ac:dyDescent="0.35">
      <c r="B322" s="132" t="s">
        <v>287</v>
      </c>
      <c r="C322" s="187" t="s">
        <v>288</v>
      </c>
      <c r="D322" s="187"/>
      <c r="E322" s="187"/>
      <c r="F322" s="198"/>
      <c r="G322" s="198"/>
      <c r="H322" s="160">
        <f>ROUNDDOWN(G339,-2)</f>
        <v>183500</v>
      </c>
    </row>
    <row r="323" spans="2:8" ht="28.2" thickTop="1" x14ac:dyDescent="0.3">
      <c r="B323" s="94" t="s">
        <v>191</v>
      </c>
      <c r="C323" s="95" t="s">
        <v>192</v>
      </c>
      <c r="D323" s="95" t="s">
        <v>193</v>
      </c>
      <c r="E323" s="95" t="s">
        <v>194</v>
      </c>
      <c r="F323" s="119" t="s">
        <v>195</v>
      </c>
      <c r="G323" s="120" t="s">
        <v>196</v>
      </c>
      <c r="H323" s="121"/>
    </row>
    <row r="324" spans="2:8" x14ac:dyDescent="0.3">
      <c r="B324" s="96" t="s">
        <v>197</v>
      </c>
      <c r="C324" s="97" t="s">
        <v>198</v>
      </c>
      <c r="D324" s="98"/>
      <c r="E324" s="98"/>
      <c r="F324" s="122"/>
      <c r="G324" s="123"/>
      <c r="H324" s="121"/>
    </row>
    <row r="325" spans="2:8" x14ac:dyDescent="0.3">
      <c r="B325" s="99">
        <v>1</v>
      </c>
      <c r="C325" s="97" t="s">
        <v>199</v>
      </c>
      <c r="D325" s="100" t="s">
        <v>200</v>
      </c>
      <c r="E325" s="191">
        <v>4.2999999999999997E-2</v>
      </c>
      <c r="F325" s="124">
        <v>100000</v>
      </c>
      <c r="G325" s="83">
        <f t="shared" ref="G325:G328" si="35">E325*F325</f>
        <v>4300</v>
      </c>
      <c r="H325" s="121"/>
    </row>
    <row r="326" spans="2:8" x14ac:dyDescent="0.3">
      <c r="B326" s="99">
        <v>2</v>
      </c>
      <c r="C326" s="97" t="s">
        <v>289</v>
      </c>
      <c r="D326" s="100" t="s">
        <v>200</v>
      </c>
      <c r="E326" s="191">
        <v>4.2999999999999997E-2</v>
      </c>
      <c r="F326" s="124">
        <v>145000</v>
      </c>
      <c r="G326" s="83">
        <f t="shared" si="35"/>
        <v>6234.9999999999991</v>
      </c>
      <c r="H326" s="121"/>
    </row>
    <row r="327" spans="2:8" x14ac:dyDescent="0.3">
      <c r="B327" s="99">
        <v>3</v>
      </c>
      <c r="C327" s="97" t="s">
        <v>202</v>
      </c>
      <c r="D327" s="100" t="s">
        <v>200</v>
      </c>
      <c r="E327" s="191">
        <v>4.0000000000000001E-3</v>
      </c>
      <c r="F327" s="124">
        <v>175000</v>
      </c>
      <c r="G327" s="83">
        <f t="shared" si="35"/>
        <v>700</v>
      </c>
      <c r="H327" s="121"/>
    </row>
    <row r="328" spans="2:8" x14ac:dyDescent="0.3">
      <c r="B328" s="99">
        <v>4</v>
      </c>
      <c r="C328" s="97" t="s">
        <v>203</v>
      </c>
      <c r="D328" s="100" t="s">
        <v>200</v>
      </c>
      <c r="E328" s="191">
        <v>1E-3</v>
      </c>
      <c r="F328" s="124">
        <v>200000</v>
      </c>
      <c r="G328" s="83">
        <f t="shared" si="35"/>
        <v>200</v>
      </c>
      <c r="H328" s="121"/>
    </row>
    <row r="329" spans="2:8" x14ac:dyDescent="0.3">
      <c r="B329" s="102" t="s">
        <v>234</v>
      </c>
      <c r="C329" s="103"/>
      <c r="D329" s="103"/>
      <c r="E329" s="116"/>
      <c r="F329" s="124"/>
      <c r="G329" s="125">
        <f>SUM(G325:G328)</f>
        <v>11435</v>
      </c>
      <c r="H329" s="118"/>
    </row>
    <row r="330" spans="2:8" x14ac:dyDescent="0.3">
      <c r="B330" s="96" t="s">
        <v>205</v>
      </c>
      <c r="C330" s="97" t="s">
        <v>206</v>
      </c>
      <c r="D330" s="98"/>
      <c r="E330" s="98"/>
      <c r="F330" s="122"/>
      <c r="G330" s="123"/>
      <c r="H330" s="121"/>
    </row>
    <row r="331" spans="2:8" x14ac:dyDescent="0.3">
      <c r="B331" s="215" t="s">
        <v>207</v>
      </c>
      <c r="C331" s="106" t="s">
        <v>290</v>
      </c>
      <c r="D331" s="216" t="s">
        <v>291</v>
      </c>
      <c r="E331" s="217">
        <v>1.1000000000000001</v>
      </c>
      <c r="F331" s="124">
        <v>130000</v>
      </c>
      <c r="G331" s="83">
        <f t="shared" ref="G331:G333" si="36">E331*F331</f>
        <v>143000</v>
      </c>
      <c r="H331" s="121"/>
    </row>
    <row r="332" spans="2:8" x14ac:dyDescent="0.3">
      <c r="B332" s="215" t="s">
        <v>210</v>
      </c>
      <c r="C332" s="106" t="s">
        <v>292</v>
      </c>
      <c r="D332" s="216" t="s">
        <v>209</v>
      </c>
      <c r="E332" s="217">
        <v>2</v>
      </c>
      <c r="F332" s="124">
        <v>1600</v>
      </c>
      <c r="G332" s="83">
        <f t="shared" si="36"/>
        <v>3200</v>
      </c>
      <c r="H332" s="121"/>
    </row>
    <row r="333" spans="2:8" x14ac:dyDescent="0.3">
      <c r="B333" s="215" t="s">
        <v>213</v>
      </c>
      <c r="C333" s="106" t="s">
        <v>293</v>
      </c>
      <c r="D333" s="216" t="s">
        <v>294</v>
      </c>
      <c r="E333" s="217">
        <v>0.06</v>
      </c>
      <c r="F333" s="124">
        <v>33100</v>
      </c>
      <c r="G333" s="83">
        <f t="shared" si="36"/>
        <v>1986</v>
      </c>
      <c r="H333" s="121"/>
    </row>
    <row r="334" spans="2:8" x14ac:dyDescent="0.3">
      <c r="B334" s="102" t="s">
        <v>218</v>
      </c>
      <c r="C334" s="103"/>
      <c r="D334" s="103"/>
      <c r="E334" s="103"/>
      <c r="F334" s="126"/>
      <c r="G334" s="125">
        <f>SUM(G331:G333)</f>
        <v>148186</v>
      </c>
      <c r="H334" s="121"/>
    </row>
    <row r="335" spans="2:8" x14ac:dyDescent="0.3">
      <c r="B335" s="107" t="s">
        <v>219</v>
      </c>
      <c r="C335" s="97" t="s">
        <v>220</v>
      </c>
      <c r="D335" s="98"/>
      <c r="E335" s="98"/>
      <c r="F335" s="122"/>
      <c r="G335" s="123"/>
      <c r="H335" s="121"/>
    </row>
    <row r="336" spans="2:8" x14ac:dyDescent="0.3">
      <c r="B336" s="102" t="s">
        <v>221</v>
      </c>
      <c r="C336" s="103"/>
      <c r="D336" s="103"/>
      <c r="E336" s="103"/>
      <c r="F336" s="126"/>
      <c r="G336" s="108">
        <v>0</v>
      </c>
      <c r="H336" s="121"/>
    </row>
    <row r="337" spans="2:8" x14ac:dyDescent="0.3">
      <c r="B337" s="109" t="s">
        <v>222</v>
      </c>
      <c r="C337" s="110" t="s">
        <v>223</v>
      </c>
      <c r="D337" s="111"/>
      <c r="E337" s="111"/>
      <c r="F337" s="127"/>
      <c r="G337" s="125">
        <f>G334+G329</f>
        <v>159621</v>
      </c>
      <c r="H337" s="121"/>
    </row>
    <row r="338" spans="2:8" x14ac:dyDescent="0.3">
      <c r="B338" s="109" t="s">
        <v>224</v>
      </c>
      <c r="C338" s="110" t="s">
        <v>225</v>
      </c>
      <c r="D338" s="111"/>
      <c r="E338" s="112"/>
      <c r="F338" s="129">
        <v>0.1</v>
      </c>
      <c r="G338" s="77">
        <f>G337*0.15</f>
        <v>23943.149999999998</v>
      </c>
      <c r="H338" s="121"/>
    </row>
    <row r="339" spans="2:8" ht="15" thickBot="1" x14ac:dyDescent="0.35">
      <c r="B339" s="113" t="s">
        <v>226</v>
      </c>
      <c r="C339" s="114" t="s">
        <v>227</v>
      </c>
      <c r="D339" s="115"/>
      <c r="E339" s="115"/>
      <c r="F339" s="130"/>
      <c r="G339" s="88">
        <f>G337+G338</f>
        <v>183564.15</v>
      </c>
      <c r="H339" s="121"/>
    </row>
    <row r="340" spans="2:8" ht="15" thickTop="1" x14ac:dyDescent="0.3">
      <c r="B340" s="218"/>
      <c r="C340" s="219"/>
      <c r="D340" s="219"/>
      <c r="E340" s="219"/>
      <c r="F340" s="221"/>
      <c r="G340" s="198"/>
      <c r="H340" s="121"/>
    </row>
    <row r="341" spans="2:8" ht="15" thickBot="1" x14ac:dyDescent="0.35">
      <c r="B341" s="91" t="s">
        <v>295</v>
      </c>
      <c r="C341" s="194" t="s">
        <v>296</v>
      </c>
      <c r="D341" s="190"/>
      <c r="E341" s="190"/>
      <c r="F341" s="195"/>
      <c r="G341" s="195"/>
      <c r="H341" s="160">
        <f>ROUNDDOWN(G358,-2)</f>
        <v>326900</v>
      </c>
    </row>
    <row r="342" spans="2:8" ht="28.2" thickTop="1" x14ac:dyDescent="0.3">
      <c r="B342" s="94" t="s">
        <v>191</v>
      </c>
      <c r="C342" s="95" t="s">
        <v>192</v>
      </c>
      <c r="D342" s="95" t="s">
        <v>193</v>
      </c>
      <c r="E342" s="95" t="s">
        <v>194</v>
      </c>
      <c r="F342" s="119" t="s">
        <v>195</v>
      </c>
      <c r="G342" s="120" t="s">
        <v>196</v>
      </c>
      <c r="H342" s="121"/>
    </row>
    <row r="343" spans="2:8" x14ac:dyDescent="0.3">
      <c r="B343" s="96" t="s">
        <v>197</v>
      </c>
      <c r="C343" s="97" t="s">
        <v>198</v>
      </c>
      <c r="D343" s="98"/>
      <c r="E343" s="98"/>
      <c r="F343" s="122"/>
      <c r="G343" s="123"/>
      <c r="H343" s="121"/>
    </row>
    <row r="344" spans="2:8" x14ac:dyDescent="0.3">
      <c r="B344" s="99">
        <v>1</v>
      </c>
      <c r="C344" s="97" t="s">
        <v>199</v>
      </c>
      <c r="D344" s="100" t="s">
        <v>200</v>
      </c>
      <c r="E344" s="191">
        <v>0.28570000000000001</v>
      </c>
      <c r="F344" s="124">
        <v>100000</v>
      </c>
      <c r="G344" s="83">
        <f t="shared" ref="G344:G347" si="37">E344*F344</f>
        <v>28570</v>
      </c>
      <c r="H344" s="121"/>
    </row>
    <row r="345" spans="2:8" x14ac:dyDescent="0.3">
      <c r="B345" s="99">
        <v>2</v>
      </c>
      <c r="C345" s="97" t="s">
        <v>246</v>
      </c>
      <c r="D345" s="100" t="s">
        <v>200</v>
      </c>
      <c r="E345" s="191">
        <v>0.1429</v>
      </c>
      <c r="F345" s="124">
        <v>145000</v>
      </c>
      <c r="G345" s="83">
        <f t="shared" si="37"/>
        <v>20720.5</v>
      </c>
      <c r="H345" s="121"/>
    </row>
    <row r="346" spans="2:8" x14ac:dyDescent="0.3">
      <c r="B346" s="99">
        <v>3</v>
      </c>
      <c r="C346" s="97" t="s">
        <v>202</v>
      </c>
      <c r="D346" s="100" t="s">
        <v>200</v>
      </c>
      <c r="E346" s="191">
        <v>1.43E-2</v>
      </c>
      <c r="F346" s="124">
        <v>175000</v>
      </c>
      <c r="G346" s="83">
        <f t="shared" si="37"/>
        <v>2502.5</v>
      </c>
      <c r="H346" s="121"/>
    </row>
    <row r="347" spans="2:8" x14ac:dyDescent="0.3">
      <c r="B347" s="99">
        <v>4</v>
      </c>
      <c r="C347" s="97" t="s">
        <v>203</v>
      </c>
      <c r="D347" s="100" t="s">
        <v>200</v>
      </c>
      <c r="E347" s="191">
        <v>4.7999999999999996E-3</v>
      </c>
      <c r="F347" s="124">
        <v>200000</v>
      </c>
      <c r="G347" s="83">
        <f t="shared" si="37"/>
        <v>959.99999999999989</v>
      </c>
      <c r="H347" s="121"/>
    </row>
    <row r="348" spans="2:8" x14ac:dyDescent="0.3">
      <c r="B348" s="102" t="s">
        <v>234</v>
      </c>
      <c r="C348" s="103"/>
      <c r="D348" s="103"/>
      <c r="E348" s="116"/>
      <c r="F348" s="126"/>
      <c r="G348" s="125">
        <f>SUM(G344:G347)</f>
        <v>52753</v>
      </c>
      <c r="H348" s="118"/>
    </row>
    <row r="349" spans="2:8" x14ac:dyDescent="0.3">
      <c r="B349" s="96" t="s">
        <v>205</v>
      </c>
      <c r="C349" s="97" t="s">
        <v>206</v>
      </c>
      <c r="D349" s="98"/>
      <c r="E349" s="98"/>
      <c r="F349" s="122"/>
      <c r="G349" s="123"/>
      <c r="H349" s="121"/>
    </row>
    <row r="350" spans="2:8" x14ac:dyDescent="0.3">
      <c r="B350" s="215" t="s">
        <v>207</v>
      </c>
      <c r="C350" s="106" t="s">
        <v>297</v>
      </c>
      <c r="D350" s="216" t="s">
        <v>215</v>
      </c>
      <c r="E350" s="220">
        <v>8.6E-3</v>
      </c>
      <c r="F350" s="124">
        <v>25000000</v>
      </c>
      <c r="G350" s="83">
        <f t="shared" ref="G350:G352" si="38">E350*F350</f>
        <v>215000</v>
      </c>
      <c r="H350" s="121"/>
    </row>
    <row r="351" spans="2:8" x14ac:dyDescent="0.3">
      <c r="B351" s="215" t="s">
        <v>210</v>
      </c>
      <c r="C351" s="106" t="s">
        <v>298</v>
      </c>
      <c r="D351" s="216" t="s">
        <v>212</v>
      </c>
      <c r="E351" s="220">
        <v>0.12759999999999999</v>
      </c>
      <c r="F351" s="124">
        <v>1500</v>
      </c>
      <c r="G351" s="83">
        <f t="shared" si="38"/>
        <v>191.39999999999998</v>
      </c>
      <c r="H351" s="121"/>
    </row>
    <row r="352" spans="2:8" x14ac:dyDescent="0.3">
      <c r="B352" s="215" t="s">
        <v>213</v>
      </c>
      <c r="C352" s="106" t="s">
        <v>299</v>
      </c>
      <c r="D352" s="216" t="s">
        <v>212</v>
      </c>
      <c r="E352" s="220">
        <v>1</v>
      </c>
      <c r="F352" s="124">
        <v>16400</v>
      </c>
      <c r="G352" s="83">
        <f t="shared" si="38"/>
        <v>16400</v>
      </c>
      <c r="H352" s="121"/>
    </row>
    <row r="353" spans="2:8" x14ac:dyDescent="0.3">
      <c r="B353" s="102" t="s">
        <v>218</v>
      </c>
      <c r="C353" s="103"/>
      <c r="D353" s="103"/>
      <c r="E353" s="103"/>
      <c r="F353" s="126"/>
      <c r="G353" s="125">
        <f>SUM(G350:G352)</f>
        <v>231591.4</v>
      </c>
      <c r="H353" s="121"/>
    </row>
    <row r="354" spans="2:8" x14ac:dyDescent="0.3">
      <c r="B354" s="107" t="s">
        <v>219</v>
      </c>
      <c r="C354" s="97" t="s">
        <v>220</v>
      </c>
      <c r="D354" s="98"/>
      <c r="E354" s="98"/>
      <c r="F354" s="122"/>
      <c r="G354" s="123"/>
      <c r="H354" s="121"/>
    </row>
    <row r="355" spans="2:8" x14ac:dyDescent="0.3">
      <c r="B355" s="102" t="s">
        <v>221</v>
      </c>
      <c r="C355" s="103"/>
      <c r="D355" s="103"/>
      <c r="E355" s="103"/>
      <c r="F355" s="126"/>
      <c r="G355" s="108">
        <v>0</v>
      </c>
      <c r="H355" s="121"/>
    </row>
    <row r="356" spans="2:8" x14ac:dyDescent="0.3">
      <c r="B356" s="109" t="s">
        <v>222</v>
      </c>
      <c r="C356" s="110" t="s">
        <v>223</v>
      </c>
      <c r="D356" s="111"/>
      <c r="E356" s="111"/>
      <c r="F356" s="127"/>
      <c r="G356" s="125">
        <f>G353+G348</f>
        <v>284344.40000000002</v>
      </c>
      <c r="H356" s="121"/>
    </row>
    <row r="357" spans="2:8" x14ac:dyDescent="0.3">
      <c r="B357" s="109" t="s">
        <v>224</v>
      </c>
      <c r="C357" s="110" t="s">
        <v>225</v>
      </c>
      <c r="D357" s="111"/>
      <c r="E357" s="112"/>
      <c r="F357" s="129">
        <v>0.1</v>
      </c>
      <c r="G357" s="77">
        <f>G356*0.15</f>
        <v>42651.66</v>
      </c>
      <c r="H357" s="121"/>
    </row>
    <row r="358" spans="2:8" ht="15" thickBot="1" x14ac:dyDescent="0.35">
      <c r="B358" s="113" t="s">
        <v>226</v>
      </c>
      <c r="C358" s="114" t="s">
        <v>227</v>
      </c>
      <c r="D358" s="115"/>
      <c r="E358" s="115"/>
      <c r="F358" s="130"/>
      <c r="G358" s="88">
        <f>G356+G357</f>
        <v>326996.06000000006</v>
      </c>
      <c r="H358" s="121"/>
    </row>
    <row r="359" spans="2:8" ht="15" thickTop="1" x14ac:dyDescent="0.3"/>
    <row r="361" spans="2:8" ht="15" thickBot="1" x14ac:dyDescent="0.35">
      <c r="B361" s="132" t="s">
        <v>301</v>
      </c>
      <c r="C361" s="187" t="s">
        <v>302</v>
      </c>
      <c r="D361" s="222"/>
      <c r="E361" s="222"/>
      <c r="F361" s="223"/>
      <c r="G361" s="223"/>
      <c r="H361" s="160">
        <f>ROUNDDOWN(G376,-2)</f>
        <v>67100</v>
      </c>
    </row>
    <row r="362" spans="2:8" ht="28.2" thickTop="1" x14ac:dyDescent="0.3">
      <c r="B362" s="94" t="s">
        <v>191</v>
      </c>
      <c r="C362" s="95" t="s">
        <v>192</v>
      </c>
      <c r="D362" s="95" t="s">
        <v>193</v>
      </c>
      <c r="E362" s="95" t="s">
        <v>194</v>
      </c>
      <c r="F362" s="119" t="s">
        <v>195</v>
      </c>
      <c r="G362" s="120" t="s">
        <v>196</v>
      </c>
      <c r="H362" s="121"/>
    </row>
    <row r="363" spans="2:8" x14ac:dyDescent="0.3">
      <c r="B363" s="96" t="s">
        <v>197</v>
      </c>
      <c r="C363" s="97" t="s">
        <v>198</v>
      </c>
      <c r="D363" s="98"/>
      <c r="E363" s="98"/>
      <c r="F363" s="122"/>
      <c r="G363" s="123"/>
      <c r="H363" s="121"/>
    </row>
    <row r="364" spans="2:8" x14ac:dyDescent="0.3">
      <c r="B364" s="99">
        <v>1</v>
      </c>
      <c r="C364" s="97" t="s">
        <v>199</v>
      </c>
      <c r="D364" s="100" t="s">
        <v>200</v>
      </c>
      <c r="E364" s="105">
        <v>1.4999999999999999E-2</v>
      </c>
      <c r="F364" s="124">
        <v>100000</v>
      </c>
      <c r="G364" s="83">
        <f t="shared" ref="G364:G367" si="39">E364*F364</f>
        <v>1500</v>
      </c>
      <c r="H364" s="121"/>
    </row>
    <row r="365" spans="2:8" x14ac:dyDescent="0.3">
      <c r="B365" s="99">
        <v>2</v>
      </c>
      <c r="C365" s="97" t="s">
        <v>246</v>
      </c>
      <c r="D365" s="100" t="s">
        <v>200</v>
      </c>
      <c r="E365" s="105">
        <v>0.15</v>
      </c>
      <c r="F365" s="124">
        <v>145000</v>
      </c>
      <c r="G365" s="83">
        <f t="shared" si="39"/>
        <v>21750</v>
      </c>
      <c r="H365" s="121"/>
    </row>
    <row r="366" spans="2:8" x14ac:dyDescent="0.3">
      <c r="B366" s="99">
        <v>3</v>
      </c>
      <c r="C366" s="97" t="s">
        <v>202</v>
      </c>
      <c r="D366" s="100" t="s">
        <v>200</v>
      </c>
      <c r="E366" s="105">
        <v>1.4999999999999999E-2</v>
      </c>
      <c r="F366" s="124">
        <v>175000</v>
      </c>
      <c r="G366" s="83">
        <f t="shared" si="39"/>
        <v>2625</v>
      </c>
      <c r="H366" s="121"/>
    </row>
    <row r="367" spans="2:8" x14ac:dyDescent="0.3">
      <c r="B367" s="99">
        <v>4</v>
      </c>
      <c r="C367" s="97" t="s">
        <v>203</v>
      </c>
      <c r="D367" s="100" t="s">
        <v>200</v>
      </c>
      <c r="E367" s="105">
        <v>5.0000000000000001E-3</v>
      </c>
      <c r="F367" s="124">
        <v>200000</v>
      </c>
      <c r="G367" s="83">
        <f t="shared" si="39"/>
        <v>1000</v>
      </c>
      <c r="H367" s="121"/>
    </row>
    <row r="368" spans="2:8" x14ac:dyDescent="0.3">
      <c r="B368" s="102" t="s">
        <v>234</v>
      </c>
      <c r="C368" s="103"/>
      <c r="D368" s="103"/>
      <c r="E368" s="116"/>
      <c r="F368" s="126"/>
      <c r="G368" s="125">
        <f>SUM(G364:G367)</f>
        <v>26875</v>
      </c>
      <c r="H368" s="118"/>
    </row>
    <row r="369" spans="2:8" x14ac:dyDescent="0.3">
      <c r="B369" s="96" t="s">
        <v>205</v>
      </c>
      <c r="C369" s="97" t="s">
        <v>206</v>
      </c>
      <c r="D369" s="98"/>
      <c r="E369" s="98"/>
      <c r="F369" s="122"/>
      <c r="G369" s="123"/>
      <c r="H369" s="121"/>
    </row>
    <row r="370" spans="2:8" x14ac:dyDescent="0.3">
      <c r="B370" s="99">
        <v>1</v>
      </c>
      <c r="C370" s="97" t="s">
        <v>303</v>
      </c>
      <c r="D370" s="100" t="s">
        <v>209</v>
      </c>
      <c r="E370" s="188">
        <v>1</v>
      </c>
      <c r="F370" s="124">
        <v>31500</v>
      </c>
      <c r="G370" s="83">
        <f t="shared" ref="G370" si="40">E370*F370</f>
        <v>31500</v>
      </c>
      <c r="H370" s="121"/>
    </row>
    <row r="371" spans="2:8" x14ac:dyDescent="0.3">
      <c r="B371" s="102" t="s">
        <v>218</v>
      </c>
      <c r="C371" s="103"/>
      <c r="D371" s="103"/>
      <c r="E371" s="103"/>
      <c r="F371" s="126"/>
      <c r="G371" s="125">
        <f>SUM(G370)</f>
        <v>31500</v>
      </c>
      <c r="H371" s="121"/>
    </row>
    <row r="372" spans="2:8" x14ac:dyDescent="0.3">
      <c r="B372" s="107" t="s">
        <v>219</v>
      </c>
      <c r="C372" s="97" t="s">
        <v>220</v>
      </c>
      <c r="D372" s="98"/>
      <c r="E372" s="98"/>
      <c r="F372" s="122"/>
      <c r="G372" s="123"/>
      <c r="H372" s="121"/>
    </row>
    <row r="373" spans="2:8" x14ac:dyDescent="0.3">
      <c r="B373" s="102" t="s">
        <v>221</v>
      </c>
      <c r="C373" s="103"/>
      <c r="D373" s="103"/>
      <c r="E373" s="103"/>
      <c r="F373" s="126"/>
      <c r="G373" s="108">
        <v>0</v>
      </c>
      <c r="H373" s="121"/>
    </row>
    <row r="374" spans="2:8" x14ac:dyDescent="0.3">
      <c r="B374" s="109" t="s">
        <v>222</v>
      </c>
      <c r="C374" s="110" t="s">
        <v>223</v>
      </c>
      <c r="D374" s="111"/>
      <c r="E374" s="111"/>
      <c r="F374" s="127"/>
      <c r="G374" s="125">
        <f>G371+G368</f>
        <v>58375</v>
      </c>
      <c r="H374" s="121"/>
    </row>
    <row r="375" spans="2:8" x14ac:dyDescent="0.3">
      <c r="B375" s="109" t="s">
        <v>224</v>
      </c>
      <c r="C375" s="110" t="s">
        <v>225</v>
      </c>
      <c r="D375" s="111"/>
      <c r="E375" s="112"/>
      <c r="F375" s="129">
        <v>0.1</v>
      </c>
      <c r="G375" s="77">
        <f>G374*0.15</f>
        <v>8756.25</v>
      </c>
      <c r="H375" s="121"/>
    </row>
    <row r="376" spans="2:8" ht="15" thickBot="1" x14ac:dyDescent="0.35">
      <c r="B376" s="113" t="s">
        <v>226</v>
      </c>
      <c r="C376" s="114" t="s">
        <v>227</v>
      </c>
      <c r="D376" s="115"/>
      <c r="E376" s="115"/>
      <c r="F376" s="130"/>
      <c r="G376" s="88">
        <f>G374+G375</f>
        <v>67131.25</v>
      </c>
      <c r="H376" s="121"/>
    </row>
    <row r="379" spans="2:8" ht="15" thickBot="1" x14ac:dyDescent="0.35">
      <c r="B379" s="132" t="s">
        <v>304</v>
      </c>
      <c r="C379" s="187" t="s">
        <v>305</v>
      </c>
      <c r="D379" s="93"/>
      <c r="E379" s="93"/>
      <c r="F379" s="117"/>
      <c r="G379" s="117"/>
      <c r="H379" s="160">
        <f>ROUNDDOWN(G394,-2)</f>
        <v>328400</v>
      </c>
    </row>
    <row r="380" spans="2:8" ht="28.2" thickTop="1" x14ac:dyDescent="0.3">
      <c r="B380" s="94" t="s">
        <v>191</v>
      </c>
      <c r="C380" s="95" t="s">
        <v>192</v>
      </c>
      <c r="D380" s="95" t="s">
        <v>193</v>
      </c>
      <c r="E380" s="95" t="s">
        <v>194</v>
      </c>
      <c r="F380" s="119" t="s">
        <v>195</v>
      </c>
      <c r="G380" s="120" t="s">
        <v>196</v>
      </c>
      <c r="H380" s="121"/>
    </row>
    <row r="381" spans="2:8" x14ac:dyDescent="0.3">
      <c r="B381" s="96" t="s">
        <v>197</v>
      </c>
      <c r="C381" s="97" t="s">
        <v>198</v>
      </c>
      <c r="D381" s="98"/>
      <c r="E381" s="98"/>
      <c r="F381" s="122"/>
      <c r="G381" s="123"/>
      <c r="H381" s="121"/>
    </row>
    <row r="382" spans="2:8" x14ac:dyDescent="0.3">
      <c r="B382" s="99">
        <v>1</v>
      </c>
      <c r="C382" s="97" t="s">
        <v>199</v>
      </c>
      <c r="D382" s="100" t="s">
        <v>200</v>
      </c>
      <c r="E382" s="105">
        <v>0.01</v>
      </c>
      <c r="F382" s="124">
        <v>100000</v>
      </c>
      <c r="G382" s="83">
        <f t="shared" ref="G382:G385" si="41">E382*F382</f>
        <v>1000</v>
      </c>
      <c r="H382" s="121"/>
    </row>
    <row r="383" spans="2:8" x14ac:dyDescent="0.3">
      <c r="B383" s="99">
        <v>2</v>
      </c>
      <c r="C383" s="97" t="s">
        <v>246</v>
      </c>
      <c r="D383" s="100" t="s">
        <v>200</v>
      </c>
      <c r="E383" s="105">
        <v>0.5</v>
      </c>
      <c r="F383" s="124">
        <v>145000</v>
      </c>
      <c r="G383" s="83">
        <f t="shared" si="41"/>
        <v>72500</v>
      </c>
      <c r="H383" s="121"/>
    </row>
    <row r="384" spans="2:8" x14ac:dyDescent="0.3">
      <c r="B384" s="99">
        <v>3</v>
      </c>
      <c r="C384" s="97" t="s">
        <v>202</v>
      </c>
      <c r="D384" s="100" t="s">
        <v>200</v>
      </c>
      <c r="E384" s="105">
        <v>0.05</v>
      </c>
      <c r="F384" s="124">
        <v>175000</v>
      </c>
      <c r="G384" s="83">
        <f t="shared" si="41"/>
        <v>8750</v>
      </c>
      <c r="H384" s="121"/>
    </row>
    <row r="385" spans="2:8" x14ac:dyDescent="0.3">
      <c r="B385" s="99">
        <v>4</v>
      </c>
      <c r="C385" s="97" t="s">
        <v>203</v>
      </c>
      <c r="D385" s="100" t="s">
        <v>200</v>
      </c>
      <c r="E385" s="105">
        <v>1.7000000000000001E-2</v>
      </c>
      <c r="F385" s="124">
        <v>200000</v>
      </c>
      <c r="G385" s="83">
        <f t="shared" si="41"/>
        <v>3400.0000000000005</v>
      </c>
      <c r="H385" s="121"/>
    </row>
    <row r="386" spans="2:8" x14ac:dyDescent="0.3">
      <c r="B386" s="102" t="s">
        <v>234</v>
      </c>
      <c r="C386" s="103"/>
      <c r="D386" s="103"/>
      <c r="E386" s="116"/>
      <c r="F386" s="126"/>
      <c r="G386" s="125">
        <f>SUM(G382:G385)</f>
        <v>85650</v>
      </c>
      <c r="H386" s="118"/>
    </row>
    <row r="387" spans="2:8" x14ac:dyDescent="0.3">
      <c r="B387" s="96" t="s">
        <v>205</v>
      </c>
      <c r="C387" s="97" t="s">
        <v>206</v>
      </c>
      <c r="D387" s="98"/>
      <c r="E387" s="98"/>
      <c r="F387" s="122"/>
      <c r="G387" s="123"/>
      <c r="H387" s="121"/>
    </row>
    <row r="388" spans="2:8" x14ac:dyDescent="0.3">
      <c r="B388" s="99">
        <v>1</v>
      </c>
      <c r="C388" s="97" t="s">
        <v>306</v>
      </c>
      <c r="D388" s="100" t="s">
        <v>209</v>
      </c>
      <c r="E388" s="105">
        <v>1</v>
      </c>
      <c r="F388" s="124">
        <v>200000</v>
      </c>
      <c r="G388" s="83">
        <f t="shared" ref="G388" si="42">E388*F388</f>
        <v>200000</v>
      </c>
      <c r="H388" s="121"/>
    </row>
    <row r="389" spans="2:8" x14ac:dyDescent="0.3">
      <c r="B389" s="102" t="s">
        <v>218</v>
      </c>
      <c r="C389" s="103"/>
      <c r="D389" s="103"/>
      <c r="E389" s="103"/>
      <c r="F389" s="126"/>
      <c r="G389" s="125">
        <f>SUM(G388)</f>
        <v>200000</v>
      </c>
      <c r="H389" s="121"/>
    </row>
    <row r="390" spans="2:8" x14ac:dyDescent="0.3">
      <c r="B390" s="107" t="s">
        <v>219</v>
      </c>
      <c r="C390" s="97" t="s">
        <v>220</v>
      </c>
      <c r="D390" s="98"/>
      <c r="E390" s="98"/>
      <c r="F390" s="122"/>
      <c r="G390" s="123"/>
      <c r="H390" s="121"/>
    </row>
    <row r="391" spans="2:8" x14ac:dyDescent="0.3">
      <c r="B391" s="102" t="s">
        <v>221</v>
      </c>
      <c r="C391" s="103"/>
      <c r="D391" s="103"/>
      <c r="E391" s="103"/>
      <c r="F391" s="126"/>
      <c r="G391" s="108">
        <v>0</v>
      </c>
      <c r="H391" s="121"/>
    </row>
    <row r="392" spans="2:8" x14ac:dyDescent="0.3">
      <c r="B392" s="109" t="s">
        <v>222</v>
      </c>
      <c r="C392" s="110" t="s">
        <v>223</v>
      </c>
      <c r="D392" s="111"/>
      <c r="E392" s="111"/>
      <c r="F392" s="127"/>
      <c r="G392" s="125">
        <f>G389+G386</f>
        <v>285650</v>
      </c>
      <c r="H392" s="121"/>
    </row>
    <row r="393" spans="2:8" x14ac:dyDescent="0.3">
      <c r="B393" s="109" t="s">
        <v>224</v>
      </c>
      <c r="C393" s="110" t="s">
        <v>225</v>
      </c>
      <c r="D393" s="111"/>
      <c r="E393" s="112"/>
      <c r="F393" s="129">
        <v>0.1</v>
      </c>
      <c r="G393" s="77">
        <f>G392*0.15</f>
        <v>42847.5</v>
      </c>
      <c r="H393" s="121"/>
    </row>
    <row r="394" spans="2:8" ht="15" thickBot="1" x14ac:dyDescent="0.35">
      <c r="B394" s="113" t="s">
        <v>226</v>
      </c>
      <c r="C394" s="114" t="s">
        <v>227</v>
      </c>
      <c r="D394" s="115"/>
      <c r="E394" s="115"/>
      <c r="F394" s="130"/>
      <c r="G394" s="88">
        <f>G392+G393</f>
        <v>328497.5</v>
      </c>
      <c r="H394" s="121"/>
    </row>
    <row r="397" spans="2:8" ht="15" thickBot="1" x14ac:dyDescent="0.35">
      <c r="B397" s="227" t="s">
        <v>310</v>
      </c>
      <c r="C397" s="200" t="s">
        <v>311</v>
      </c>
      <c r="D397" s="228"/>
      <c r="E397" s="228"/>
      <c r="F397" s="230"/>
      <c r="G397" s="230"/>
      <c r="H397" s="160">
        <f>ROUNDDOWN(G412,-2)</f>
        <v>403100</v>
      </c>
    </row>
    <row r="398" spans="2:8" ht="28.2" thickTop="1" x14ac:dyDescent="0.3">
      <c r="B398" s="57" t="s">
        <v>191</v>
      </c>
      <c r="C398" s="58" t="s">
        <v>192</v>
      </c>
      <c r="D398" s="58" t="s">
        <v>193</v>
      </c>
      <c r="E398" s="58" t="s">
        <v>194</v>
      </c>
      <c r="F398" s="78" t="s">
        <v>195</v>
      </c>
      <c r="G398" s="79" t="s">
        <v>196</v>
      </c>
      <c r="H398" s="214"/>
    </row>
    <row r="399" spans="2:8" x14ac:dyDescent="0.3">
      <c r="B399" s="59" t="s">
        <v>197</v>
      </c>
      <c r="C399" s="60" t="s">
        <v>198</v>
      </c>
      <c r="D399" s="61"/>
      <c r="E399" s="61"/>
      <c r="F399" s="80"/>
      <c r="G399" s="81"/>
      <c r="H399" s="214"/>
    </row>
    <row r="400" spans="2:8" x14ac:dyDescent="0.3">
      <c r="B400" s="62">
        <v>1</v>
      </c>
      <c r="C400" s="60" t="s">
        <v>199</v>
      </c>
      <c r="D400" s="63" t="s">
        <v>200</v>
      </c>
      <c r="E400" s="209">
        <v>0.06</v>
      </c>
      <c r="F400" s="82">
        <v>100000</v>
      </c>
      <c r="G400" s="83">
        <f t="shared" ref="G400:G403" si="43">E400*F400</f>
        <v>6000</v>
      </c>
      <c r="H400" s="214"/>
    </row>
    <row r="401" spans="2:8" x14ac:dyDescent="0.3">
      <c r="B401" s="62">
        <v>2</v>
      </c>
      <c r="C401" s="60" t="s">
        <v>246</v>
      </c>
      <c r="D401" s="63" t="s">
        <v>200</v>
      </c>
      <c r="E401" s="209">
        <v>0.6</v>
      </c>
      <c r="F401" s="82">
        <v>145000</v>
      </c>
      <c r="G401" s="83">
        <f t="shared" si="43"/>
        <v>87000</v>
      </c>
      <c r="H401" s="214"/>
    </row>
    <row r="402" spans="2:8" x14ac:dyDescent="0.3">
      <c r="B402" s="62">
        <v>3</v>
      </c>
      <c r="C402" s="60" t="s">
        <v>202</v>
      </c>
      <c r="D402" s="63" t="s">
        <v>200</v>
      </c>
      <c r="E402" s="209">
        <v>0.06</v>
      </c>
      <c r="F402" s="82">
        <v>175000</v>
      </c>
      <c r="G402" s="83">
        <f t="shared" si="43"/>
        <v>10500</v>
      </c>
      <c r="H402" s="214"/>
    </row>
    <row r="403" spans="2:8" x14ac:dyDescent="0.3">
      <c r="B403" s="62">
        <v>4</v>
      </c>
      <c r="C403" s="60" t="s">
        <v>203</v>
      </c>
      <c r="D403" s="63" t="s">
        <v>200</v>
      </c>
      <c r="E403" s="209">
        <v>0.02</v>
      </c>
      <c r="F403" s="82">
        <v>200000</v>
      </c>
      <c r="G403" s="83">
        <f t="shared" si="43"/>
        <v>4000</v>
      </c>
      <c r="H403" s="214"/>
    </row>
    <row r="404" spans="2:8" x14ac:dyDescent="0.3">
      <c r="B404" s="64" t="s">
        <v>234</v>
      </c>
      <c r="C404" s="65"/>
      <c r="D404" s="65"/>
      <c r="E404" s="202"/>
      <c r="F404" s="84"/>
      <c r="G404" s="83">
        <f>SUM(G400:G403)</f>
        <v>107500</v>
      </c>
      <c r="H404" s="213"/>
    </row>
    <row r="405" spans="2:8" x14ac:dyDescent="0.3">
      <c r="B405" s="59" t="s">
        <v>205</v>
      </c>
      <c r="C405" s="60" t="s">
        <v>206</v>
      </c>
      <c r="D405" s="61"/>
      <c r="E405" s="61"/>
      <c r="F405" s="80"/>
      <c r="G405" s="81"/>
      <c r="H405" s="214"/>
    </row>
    <row r="406" spans="2:8" x14ac:dyDescent="0.3">
      <c r="B406" s="62">
        <v>1</v>
      </c>
      <c r="C406" s="60" t="s">
        <v>312</v>
      </c>
      <c r="D406" s="63" t="s">
        <v>209</v>
      </c>
      <c r="E406" s="229">
        <v>1</v>
      </c>
      <c r="F406" s="82">
        <v>243100</v>
      </c>
      <c r="G406" s="83">
        <f t="shared" ref="G406" si="44">E406*F406</f>
        <v>243100</v>
      </c>
      <c r="H406" s="214"/>
    </row>
    <row r="407" spans="2:8" x14ac:dyDescent="0.3">
      <c r="B407" s="64" t="s">
        <v>218</v>
      </c>
      <c r="C407" s="65"/>
      <c r="D407" s="65"/>
      <c r="E407" s="65"/>
      <c r="F407" s="84"/>
      <c r="G407" s="83">
        <f>SUM(G406)</f>
        <v>243100</v>
      </c>
      <c r="H407" s="214"/>
    </row>
    <row r="408" spans="2:8" x14ac:dyDescent="0.3">
      <c r="B408" s="68" t="s">
        <v>219</v>
      </c>
      <c r="C408" s="60" t="s">
        <v>220</v>
      </c>
      <c r="D408" s="61"/>
      <c r="E408" s="61"/>
      <c r="F408" s="80"/>
      <c r="G408" s="81"/>
      <c r="H408" s="214"/>
    </row>
    <row r="409" spans="2:8" x14ac:dyDescent="0.3">
      <c r="B409" s="64" t="s">
        <v>221</v>
      </c>
      <c r="C409" s="65"/>
      <c r="D409" s="65"/>
      <c r="E409" s="65"/>
      <c r="F409" s="84"/>
      <c r="G409" s="69">
        <v>0</v>
      </c>
      <c r="H409" s="214"/>
    </row>
    <row r="410" spans="2:8" x14ac:dyDescent="0.3">
      <c r="B410" s="70" t="s">
        <v>222</v>
      </c>
      <c r="C410" s="71" t="s">
        <v>223</v>
      </c>
      <c r="D410" s="72"/>
      <c r="E410" s="72"/>
      <c r="F410" s="85"/>
      <c r="G410" s="125">
        <f>G407+G404</f>
        <v>350600</v>
      </c>
      <c r="H410" s="214"/>
    </row>
    <row r="411" spans="2:8" x14ac:dyDescent="0.3">
      <c r="B411" s="70" t="s">
        <v>224</v>
      </c>
      <c r="C411" s="71" t="s">
        <v>225</v>
      </c>
      <c r="D411" s="72"/>
      <c r="E411" s="206"/>
      <c r="F411" s="86">
        <v>0.1</v>
      </c>
      <c r="G411" s="77">
        <f>G410*0.15</f>
        <v>52590</v>
      </c>
      <c r="H411" s="214"/>
    </row>
    <row r="412" spans="2:8" ht="15" thickBot="1" x14ac:dyDescent="0.35">
      <c r="B412" s="73" t="s">
        <v>226</v>
      </c>
      <c r="C412" s="74" t="s">
        <v>227</v>
      </c>
      <c r="D412" s="75"/>
      <c r="E412" s="75"/>
      <c r="F412" s="87"/>
      <c r="G412" s="88">
        <f>G410+G411</f>
        <v>403190</v>
      </c>
      <c r="H412" s="214"/>
    </row>
    <row r="415" spans="2:8" ht="15" thickBot="1" x14ac:dyDescent="0.35">
      <c r="B415" s="251" t="s">
        <v>445</v>
      </c>
      <c r="C415" s="250" t="s">
        <v>446</v>
      </c>
      <c r="D415" s="252"/>
      <c r="E415" s="252"/>
      <c r="F415" s="278"/>
      <c r="G415" s="278"/>
      <c r="H415" s="160">
        <f>ROUNDDOWN(G431,-2)</f>
        <v>2107200</v>
      </c>
    </row>
    <row r="416" spans="2:8" ht="27" thickTop="1" x14ac:dyDescent="0.3">
      <c r="B416" s="253" t="s">
        <v>191</v>
      </c>
      <c r="C416" s="254" t="s">
        <v>192</v>
      </c>
      <c r="D416" s="254" t="s">
        <v>193</v>
      </c>
      <c r="E416" s="254" t="s">
        <v>194</v>
      </c>
      <c r="F416" s="279" t="s">
        <v>195</v>
      </c>
      <c r="G416" s="280" t="s">
        <v>196</v>
      </c>
      <c r="H416" s="301"/>
    </row>
    <row r="417" spans="2:9" x14ac:dyDescent="0.3">
      <c r="B417" s="255" t="s">
        <v>197</v>
      </c>
      <c r="C417" s="256" t="s">
        <v>198</v>
      </c>
      <c r="D417" s="257"/>
      <c r="E417" s="257"/>
      <c r="F417" s="281"/>
      <c r="G417" s="282"/>
      <c r="H417" s="301"/>
    </row>
    <row r="418" spans="2:9" x14ac:dyDescent="0.3">
      <c r="B418" s="258">
        <v>1</v>
      </c>
      <c r="C418" s="256" t="s">
        <v>199</v>
      </c>
      <c r="D418" s="259" t="s">
        <v>200</v>
      </c>
      <c r="E418" s="260">
        <v>0.5</v>
      </c>
      <c r="F418" s="283">
        <v>100000</v>
      </c>
      <c r="G418" s="83">
        <f t="shared" ref="G418:G421" si="45">E418*F418</f>
        <v>50000</v>
      </c>
      <c r="H418" s="301"/>
      <c r="I418" s="289"/>
    </row>
    <row r="419" spans="2:9" x14ac:dyDescent="0.3">
      <c r="B419" s="258">
        <v>2</v>
      </c>
      <c r="C419" s="256" t="s">
        <v>201</v>
      </c>
      <c r="D419" s="259" t="s">
        <v>200</v>
      </c>
      <c r="E419" s="260">
        <v>1.2</v>
      </c>
      <c r="F419" s="283">
        <v>145000</v>
      </c>
      <c r="G419" s="83">
        <f t="shared" si="45"/>
        <v>174000</v>
      </c>
      <c r="H419" s="301"/>
      <c r="I419" s="289"/>
    </row>
    <row r="420" spans="2:9" x14ac:dyDescent="0.3">
      <c r="B420" s="258">
        <v>3</v>
      </c>
      <c r="C420" s="256" t="s">
        <v>202</v>
      </c>
      <c r="D420" s="259" t="s">
        <v>200</v>
      </c>
      <c r="E420" s="260">
        <v>0.12</v>
      </c>
      <c r="F420" s="283">
        <v>175000</v>
      </c>
      <c r="G420" s="83">
        <f t="shared" si="45"/>
        <v>21000</v>
      </c>
      <c r="H420" s="301"/>
      <c r="I420" s="289"/>
    </row>
    <row r="421" spans="2:9" x14ac:dyDescent="0.3">
      <c r="B421" s="258">
        <v>4</v>
      </c>
      <c r="C421" s="256" t="s">
        <v>203</v>
      </c>
      <c r="D421" s="259" t="s">
        <v>200</v>
      </c>
      <c r="E421" s="260">
        <v>0.04</v>
      </c>
      <c r="F421" s="283">
        <v>200000</v>
      </c>
      <c r="G421" s="83">
        <f t="shared" si="45"/>
        <v>8000</v>
      </c>
      <c r="H421" s="301"/>
      <c r="I421" s="289"/>
    </row>
    <row r="422" spans="2:9" x14ac:dyDescent="0.3">
      <c r="B422" s="261" t="s">
        <v>234</v>
      </c>
      <c r="C422" s="262"/>
      <c r="D422" s="262"/>
      <c r="E422" s="263"/>
      <c r="F422" s="285"/>
      <c r="G422" s="284">
        <f>SUM(G418:G421)</f>
        <v>253000</v>
      </c>
      <c r="H422" s="300"/>
      <c r="I422" s="289"/>
    </row>
    <row r="423" spans="2:9" x14ac:dyDescent="0.3">
      <c r="B423" s="255" t="s">
        <v>205</v>
      </c>
      <c r="C423" s="256" t="s">
        <v>206</v>
      </c>
      <c r="D423" s="257"/>
      <c r="E423" s="257"/>
      <c r="F423" s="281"/>
      <c r="G423" s="282"/>
      <c r="H423" s="301"/>
      <c r="I423" s="290"/>
    </row>
    <row r="424" spans="2:9" x14ac:dyDescent="0.3">
      <c r="B424" s="258">
        <v>1</v>
      </c>
      <c r="C424" s="256" t="s">
        <v>447</v>
      </c>
      <c r="D424" s="259" t="s">
        <v>209</v>
      </c>
      <c r="E424" s="264">
        <v>1</v>
      </c>
      <c r="F424" s="283">
        <v>1490000</v>
      </c>
      <c r="G424" s="83">
        <f t="shared" ref="G424" si="46">E424*F424</f>
        <v>1490000</v>
      </c>
      <c r="H424" s="301"/>
      <c r="I424" s="289"/>
    </row>
    <row r="425" spans="2:9" x14ac:dyDescent="0.3">
      <c r="B425" s="258">
        <v>2</v>
      </c>
      <c r="C425" s="265" t="s">
        <v>448</v>
      </c>
      <c r="D425" s="259" t="s">
        <v>209</v>
      </c>
      <c r="E425" s="266">
        <v>1</v>
      </c>
      <c r="F425" s="283">
        <v>55000</v>
      </c>
      <c r="G425" s="83">
        <f>G424*6%</f>
        <v>89400</v>
      </c>
      <c r="H425" s="301"/>
      <c r="I425" s="289"/>
    </row>
    <row r="426" spans="2:9" x14ac:dyDescent="0.3">
      <c r="B426" s="261" t="s">
        <v>218</v>
      </c>
      <c r="C426" s="262"/>
      <c r="D426" s="262"/>
      <c r="E426" s="262"/>
      <c r="F426" s="285"/>
      <c r="G426" s="284">
        <f>SUM(G424:G425)</f>
        <v>1579400</v>
      </c>
      <c r="H426" s="301"/>
      <c r="I426" s="289"/>
    </row>
    <row r="427" spans="2:9" x14ac:dyDescent="0.3">
      <c r="B427" s="267" t="s">
        <v>219</v>
      </c>
      <c r="C427" s="256" t="s">
        <v>220</v>
      </c>
      <c r="D427" s="257"/>
      <c r="E427" s="257"/>
      <c r="F427" s="281"/>
      <c r="G427" s="282"/>
      <c r="H427" s="301"/>
      <c r="I427" s="290"/>
    </row>
    <row r="428" spans="2:9" x14ac:dyDescent="0.3">
      <c r="B428" s="261" t="s">
        <v>221</v>
      </c>
      <c r="C428" s="262"/>
      <c r="D428" s="262"/>
      <c r="E428" s="262"/>
      <c r="F428" s="285"/>
      <c r="G428" s="268">
        <v>0</v>
      </c>
      <c r="H428" s="301"/>
      <c r="I428" s="291"/>
    </row>
    <row r="429" spans="2:9" x14ac:dyDescent="0.3">
      <c r="B429" s="269" t="s">
        <v>222</v>
      </c>
      <c r="C429" s="270" t="s">
        <v>223</v>
      </c>
      <c r="D429" s="271"/>
      <c r="E429" s="271"/>
      <c r="F429" s="286"/>
      <c r="G429" s="125">
        <f>G426+G422</f>
        <v>1832400</v>
      </c>
      <c r="H429" s="301"/>
      <c r="I429" s="289"/>
    </row>
    <row r="430" spans="2:9" x14ac:dyDescent="0.3">
      <c r="B430" s="269" t="s">
        <v>224</v>
      </c>
      <c r="C430" s="270" t="s">
        <v>225</v>
      </c>
      <c r="D430" s="271"/>
      <c r="E430" s="272"/>
      <c r="F430" s="287">
        <v>0.1</v>
      </c>
      <c r="G430" s="77">
        <f>G429*0.15</f>
        <v>274860</v>
      </c>
      <c r="H430" s="301"/>
      <c r="I430" s="289"/>
    </row>
    <row r="431" spans="2:9" ht="15" thickBot="1" x14ac:dyDescent="0.35">
      <c r="B431" s="273" t="s">
        <v>226</v>
      </c>
      <c r="C431" s="274" t="s">
        <v>227</v>
      </c>
      <c r="D431" s="275"/>
      <c r="E431" s="275"/>
      <c r="F431" s="288"/>
      <c r="G431" s="88">
        <f>G429+G430</f>
        <v>2107260</v>
      </c>
      <c r="H431" s="301"/>
      <c r="I431" s="292"/>
    </row>
    <row r="432" spans="2:9" ht="15" thickTop="1" x14ac:dyDescent="0.3"/>
    <row r="433" spans="2:8" x14ac:dyDescent="0.3">
      <c r="B433" s="56"/>
      <c r="C433" s="56"/>
      <c r="D433" s="56"/>
      <c r="E433" s="170"/>
      <c r="F433" s="77"/>
      <c r="G433" s="77"/>
      <c r="H433" s="77"/>
    </row>
    <row r="434" spans="2:8" ht="15" thickBot="1" x14ac:dyDescent="0.35">
      <c r="B434" s="132" t="s">
        <v>449</v>
      </c>
      <c r="C434" s="276" t="s">
        <v>450</v>
      </c>
      <c r="D434" s="93"/>
      <c r="E434" s="93"/>
      <c r="F434" s="117"/>
      <c r="G434" s="117"/>
      <c r="H434" s="160">
        <f>ROUNDDOWN(G450,-3)</f>
        <v>845000</v>
      </c>
    </row>
    <row r="435" spans="2:8" ht="28.2" thickTop="1" x14ac:dyDescent="0.3">
      <c r="B435" s="94" t="s">
        <v>191</v>
      </c>
      <c r="C435" s="95" t="s">
        <v>192</v>
      </c>
      <c r="D435" s="95" t="s">
        <v>193</v>
      </c>
      <c r="E435" s="95" t="s">
        <v>194</v>
      </c>
      <c r="F435" s="119" t="s">
        <v>195</v>
      </c>
      <c r="G435" s="120" t="s">
        <v>196</v>
      </c>
      <c r="H435" s="121"/>
    </row>
    <row r="436" spans="2:8" x14ac:dyDescent="0.3">
      <c r="B436" s="134" t="s">
        <v>197</v>
      </c>
      <c r="C436" s="135" t="s">
        <v>198</v>
      </c>
      <c r="D436" s="136"/>
      <c r="E436" s="136"/>
      <c r="F436" s="152"/>
      <c r="G436" s="153"/>
      <c r="H436" s="121"/>
    </row>
    <row r="437" spans="2:8" x14ac:dyDescent="0.3">
      <c r="B437" s="137">
        <v>1</v>
      </c>
      <c r="C437" s="135" t="s">
        <v>199</v>
      </c>
      <c r="D437" s="135" t="s">
        <v>200</v>
      </c>
      <c r="E437" s="293">
        <v>0.01</v>
      </c>
      <c r="F437" s="154">
        <v>100000</v>
      </c>
      <c r="G437" s="83">
        <f t="shared" ref="G437:G440" si="47">E437*F437</f>
        <v>1000</v>
      </c>
      <c r="H437" s="121"/>
    </row>
    <row r="438" spans="2:8" x14ac:dyDescent="0.3">
      <c r="B438" s="137">
        <v>2</v>
      </c>
      <c r="C438" s="135" t="s">
        <v>201</v>
      </c>
      <c r="D438" s="135" t="s">
        <v>200</v>
      </c>
      <c r="E438" s="293">
        <v>0.4</v>
      </c>
      <c r="F438" s="154">
        <v>145000</v>
      </c>
      <c r="G438" s="83">
        <f t="shared" si="47"/>
        <v>58000</v>
      </c>
      <c r="H438" s="121"/>
    </row>
    <row r="439" spans="2:8" x14ac:dyDescent="0.3">
      <c r="B439" s="137">
        <v>3</v>
      </c>
      <c r="C439" s="135" t="s">
        <v>202</v>
      </c>
      <c r="D439" s="135" t="s">
        <v>200</v>
      </c>
      <c r="E439" s="293">
        <v>0.04</v>
      </c>
      <c r="F439" s="154">
        <v>175000</v>
      </c>
      <c r="G439" s="83">
        <f t="shared" si="47"/>
        <v>7000</v>
      </c>
      <c r="H439" s="121"/>
    </row>
    <row r="440" spans="2:8" x14ac:dyDescent="0.3">
      <c r="B440" s="137">
        <v>4</v>
      </c>
      <c r="C440" s="135" t="s">
        <v>203</v>
      </c>
      <c r="D440" s="135" t="s">
        <v>200</v>
      </c>
      <c r="E440" s="293">
        <v>1.3299999999999999E-2</v>
      </c>
      <c r="F440" s="154">
        <v>200000</v>
      </c>
      <c r="G440" s="83">
        <f t="shared" si="47"/>
        <v>2660</v>
      </c>
      <c r="H440" s="121"/>
    </row>
    <row r="441" spans="2:8" x14ac:dyDescent="0.3">
      <c r="B441" s="102" t="s">
        <v>234</v>
      </c>
      <c r="C441" s="103"/>
      <c r="D441" s="103"/>
      <c r="E441" s="116"/>
      <c r="F441" s="126"/>
      <c r="G441" s="155">
        <f>SUM(G437:G440)</f>
        <v>68660</v>
      </c>
      <c r="H441" s="160"/>
    </row>
    <row r="442" spans="2:8" x14ac:dyDescent="0.3">
      <c r="B442" s="134" t="s">
        <v>205</v>
      </c>
      <c r="C442" s="135" t="s">
        <v>206</v>
      </c>
      <c r="D442" s="136"/>
      <c r="E442" s="136"/>
      <c r="F442" s="152"/>
      <c r="G442" s="153"/>
      <c r="H442" s="121"/>
    </row>
    <row r="443" spans="2:8" x14ac:dyDescent="0.3">
      <c r="B443" s="134">
        <v>1</v>
      </c>
      <c r="C443" s="135" t="s">
        <v>451</v>
      </c>
      <c r="D443" s="136" t="s">
        <v>452</v>
      </c>
      <c r="E443" s="294">
        <v>1</v>
      </c>
      <c r="F443" s="154">
        <v>666000</v>
      </c>
      <c r="G443" s="83">
        <f t="shared" ref="G443:G444" si="48">E443*F443</f>
        <v>666000</v>
      </c>
      <c r="H443" s="121"/>
    </row>
    <row r="444" spans="2:8" x14ac:dyDescent="0.3">
      <c r="B444" s="137">
        <v>2</v>
      </c>
      <c r="C444" s="135" t="s">
        <v>453</v>
      </c>
      <c r="D444" s="141" t="s">
        <v>209</v>
      </c>
      <c r="E444" s="140">
        <v>2.5000000000000001E-2</v>
      </c>
      <c r="F444" s="154">
        <v>5700</v>
      </c>
      <c r="G444" s="83">
        <f t="shared" si="48"/>
        <v>142.5</v>
      </c>
      <c r="H444" s="121"/>
    </row>
    <row r="445" spans="2:8" x14ac:dyDescent="0.3">
      <c r="B445" s="102" t="s">
        <v>218</v>
      </c>
      <c r="C445" s="103"/>
      <c r="D445" s="103"/>
      <c r="E445" s="103"/>
      <c r="F445" s="126"/>
      <c r="G445" s="155">
        <f>SUM(G443:G444)</f>
        <v>666142.5</v>
      </c>
      <c r="H445" s="121"/>
    </row>
    <row r="446" spans="2:8" x14ac:dyDescent="0.3">
      <c r="B446" s="142" t="s">
        <v>219</v>
      </c>
      <c r="C446" s="135" t="s">
        <v>220</v>
      </c>
      <c r="D446" s="136"/>
      <c r="E446" s="136"/>
      <c r="F446" s="152"/>
      <c r="G446" s="153"/>
      <c r="H446" s="121"/>
    </row>
    <row r="447" spans="2:8" x14ac:dyDescent="0.3">
      <c r="B447" s="102" t="s">
        <v>221</v>
      </c>
      <c r="C447" s="103"/>
      <c r="D447" s="103"/>
      <c r="E447" s="103"/>
      <c r="F447" s="126"/>
      <c r="G447" s="143">
        <v>0</v>
      </c>
      <c r="H447" s="121"/>
    </row>
    <row r="448" spans="2:8" x14ac:dyDescent="0.3">
      <c r="B448" s="144" t="s">
        <v>222</v>
      </c>
      <c r="C448" s="145" t="s">
        <v>223</v>
      </c>
      <c r="D448" s="146"/>
      <c r="E448" s="146"/>
      <c r="F448" s="156"/>
      <c r="G448" s="125">
        <f>G445+G441</f>
        <v>734802.5</v>
      </c>
      <c r="H448" s="121"/>
    </row>
    <row r="449" spans="2:8" x14ac:dyDescent="0.3">
      <c r="B449" s="144" t="s">
        <v>224</v>
      </c>
      <c r="C449" s="145" t="s">
        <v>225</v>
      </c>
      <c r="D449" s="146"/>
      <c r="E449" s="147"/>
      <c r="F449" s="157">
        <v>0.1</v>
      </c>
      <c r="G449" s="77">
        <f>G448*0.15</f>
        <v>110220.375</v>
      </c>
      <c r="H449" s="121"/>
    </row>
    <row r="450" spans="2:8" ht="15" thickBot="1" x14ac:dyDescent="0.35">
      <c r="B450" s="148" t="s">
        <v>226</v>
      </c>
      <c r="C450" s="149" t="s">
        <v>227</v>
      </c>
      <c r="D450" s="150"/>
      <c r="E450" s="150"/>
      <c r="F450" s="158"/>
      <c r="G450" s="88">
        <f>G448+G449</f>
        <v>845022.875</v>
      </c>
      <c r="H450" s="121"/>
    </row>
    <row r="451" spans="2:8" x14ac:dyDescent="0.3">
      <c r="B451" s="56"/>
      <c r="C451" s="56"/>
      <c r="D451" s="56"/>
      <c r="E451" s="170"/>
      <c r="F451" s="77"/>
      <c r="G451" s="77"/>
      <c r="H451" s="77"/>
    </row>
    <row r="452" spans="2:8" x14ac:dyDescent="0.3">
      <c r="B452" s="56"/>
      <c r="C452" s="56"/>
      <c r="D452" s="56"/>
      <c r="E452" s="170"/>
      <c r="F452" s="77"/>
      <c r="G452" s="77"/>
      <c r="H452" s="77"/>
    </row>
    <row r="453" spans="2:8" ht="15" thickBot="1" x14ac:dyDescent="0.35">
      <c r="B453" s="132" t="s">
        <v>454</v>
      </c>
      <c r="C453" s="276" t="s">
        <v>455</v>
      </c>
      <c r="D453" s="93"/>
      <c r="E453" s="93"/>
      <c r="F453" s="117"/>
      <c r="G453" s="117"/>
      <c r="H453" s="160">
        <f>ROUNDDOWN(G469,-2)</f>
        <v>127000</v>
      </c>
    </row>
    <row r="454" spans="2:8" ht="28.2" thickTop="1" x14ac:dyDescent="0.3">
      <c r="B454" s="94" t="s">
        <v>191</v>
      </c>
      <c r="C454" s="95" t="s">
        <v>192</v>
      </c>
      <c r="D454" s="95" t="s">
        <v>193</v>
      </c>
      <c r="E454" s="95" t="s">
        <v>194</v>
      </c>
      <c r="F454" s="119" t="s">
        <v>195</v>
      </c>
      <c r="G454" s="120" t="s">
        <v>196</v>
      </c>
      <c r="H454" s="121"/>
    </row>
    <row r="455" spans="2:8" x14ac:dyDescent="0.3">
      <c r="B455" s="134" t="s">
        <v>197</v>
      </c>
      <c r="C455" s="135" t="s">
        <v>198</v>
      </c>
      <c r="D455" s="136"/>
      <c r="E455" s="136"/>
      <c r="F455" s="152"/>
      <c r="G455" s="153"/>
      <c r="H455" s="121"/>
    </row>
    <row r="456" spans="2:8" x14ac:dyDescent="0.3">
      <c r="B456" s="137">
        <v>1</v>
      </c>
      <c r="C456" s="135" t="s">
        <v>199</v>
      </c>
      <c r="D456" s="135" t="s">
        <v>200</v>
      </c>
      <c r="E456" s="293">
        <v>0.01</v>
      </c>
      <c r="F456" s="154">
        <v>100000</v>
      </c>
      <c r="G456" s="83">
        <f t="shared" ref="G456:G459" si="49">E456*F456</f>
        <v>1000</v>
      </c>
      <c r="H456" s="121"/>
    </row>
    <row r="457" spans="2:8" x14ac:dyDescent="0.3">
      <c r="B457" s="137">
        <v>2</v>
      </c>
      <c r="C457" s="135" t="s">
        <v>201</v>
      </c>
      <c r="D457" s="135" t="s">
        <v>200</v>
      </c>
      <c r="E457" s="293">
        <v>0.4</v>
      </c>
      <c r="F457" s="154">
        <v>145000</v>
      </c>
      <c r="G457" s="83">
        <f t="shared" si="49"/>
        <v>58000</v>
      </c>
      <c r="H457" s="121"/>
    </row>
    <row r="458" spans="2:8" x14ac:dyDescent="0.3">
      <c r="B458" s="137">
        <v>3</v>
      </c>
      <c r="C458" s="135" t="s">
        <v>202</v>
      </c>
      <c r="D458" s="135" t="s">
        <v>200</v>
      </c>
      <c r="E458" s="293">
        <v>0.04</v>
      </c>
      <c r="F458" s="154">
        <v>175000</v>
      </c>
      <c r="G458" s="83">
        <f t="shared" si="49"/>
        <v>7000</v>
      </c>
      <c r="H458" s="121"/>
    </row>
    <row r="459" spans="2:8" x14ac:dyDescent="0.3">
      <c r="B459" s="137">
        <v>4</v>
      </c>
      <c r="C459" s="135" t="s">
        <v>203</v>
      </c>
      <c r="D459" s="135" t="s">
        <v>200</v>
      </c>
      <c r="E459" s="293">
        <v>1.3299999999999999E-2</v>
      </c>
      <c r="F459" s="154">
        <v>200000</v>
      </c>
      <c r="G459" s="83">
        <f t="shared" si="49"/>
        <v>2660</v>
      </c>
      <c r="H459" s="121"/>
    </row>
    <row r="460" spans="2:8" x14ac:dyDescent="0.3">
      <c r="B460" s="102" t="s">
        <v>234</v>
      </c>
      <c r="C460" s="103"/>
      <c r="D460" s="103"/>
      <c r="E460" s="116"/>
      <c r="F460" s="126"/>
      <c r="G460" s="155">
        <f>SUM(G456:G459)</f>
        <v>68660</v>
      </c>
      <c r="H460" s="160"/>
    </row>
    <row r="461" spans="2:8" x14ac:dyDescent="0.3">
      <c r="B461" s="134" t="s">
        <v>205</v>
      </c>
      <c r="C461" s="135" t="s">
        <v>206</v>
      </c>
      <c r="D461" s="136"/>
      <c r="E461" s="136"/>
      <c r="F461" s="152"/>
      <c r="G461" s="153"/>
      <c r="H461" s="121"/>
    </row>
    <row r="462" spans="2:8" x14ac:dyDescent="0.3">
      <c r="B462" s="137">
        <v>1</v>
      </c>
      <c r="C462" s="135" t="s">
        <v>456</v>
      </c>
      <c r="D462" s="141" t="s">
        <v>209</v>
      </c>
      <c r="E462" s="140">
        <v>1</v>
      </c>
      <c r="F462" s="154">
        <v>41700</v>
      </c>
      <c r="G462" s="83">
        <f t="shared" ref="G462:G463" si="50">E462*F462</f>
        <v>41700</v>
      </c>
      <c r="H462" s="121"/>
    </row>
    <row r="463" spans="2:8" x14ac:dyDescent="0.3">
      <c r="B463" s="137">
        <v>2</v>
      </c>
      <c r="C463" s="135" t="s">
        <v>453</v>
      </c>
      <c r="D463" s="141" t="s">
        <v>209</v>
      </c>
      <c r="E463" s="140">
        <v>2.5000000000000001E-2</v>
      </c>
      <c r="F463" s="154">
        <v>5700</v>
      </c>
      <c r="G463" s="83">
        <f t="shared" si="50"/>
        <v>142.5</v>
      </c>
      <c r="H463" s="121"/>
    </row>
    <row r="464" spans="2:8" x14ac:dyDescent="0.3">
      <c r="B464" s="102" t="s">
        <v>218</v>
      </c>
      <c r="C464" s="103"/>
      <c r="D464" s="103"/>
      <c r="E464" s="103"/>
      <c r="F464" s="126"/>
      <c r="G464" s="155">
        <f>SUM(G462:G463)</f>
        <v>41842.5</v>
      </c>
      <c r="H464" s="121"/>
    </row>
    <row r="465" spans="2:8" x14ac:dyDescent="0.3">
      <c r="B465" s="142" t="s">
        <v>219</v>
      </c>
      <c r="C465" s="135" t="s">
        <v>220</v>
      </c>
      <c r="D465" s="136"/>
      <c r="E465" s="136"/>
      <c r="F465" s="152"/>
      <c r="G465" s="153"/>
      <c r="H465" s="121"/>
    </row>
    <row r="466" spans="2:8" x14ac:dyDescent="0.3">
      <c r="B466" s="102" t="s">
        <v>221</v>
      </c>
      <c r="C466" s="103"/>
      <c r="D466" s="103"/>
      <c r="E466" s="103"/>
      <c r="F466" s="126"/>
      <c r="G466" s="143">
        <v>0</v>
      </c>
      <c r="H466" s="121"/>
    </row>
    <row r="467" spans="2:8" x14ac:dyDescent="0.3">
      <c r="B467" s="144" t="s">
        <v>222</v>
      </c>
      <c r="C467" s="145" t="s">
        <v>223</v>
      </c>
      <c r="D467" s="146"/>
      <c r="E467" s="146"/>
      <c r="F467" s="156"/>
      <c r="G467" s="125">
        <f>G464+G460</f>
        <v>110502.5</v>
      </c>
      <c r="H467" s="121"/>
    </row>
    <row r="468" spans="2:8" x14ac:dyDescent="0.3">
      <c r="B468" s="144" t="s">
        <v>224</v>
      </c>
      <c r="C468" s="145" t="s">
        <v>225</v>
      </c>
      <c r="D468" s="146"/>
      <c r="E468" s="147"/>
      <c r="F468" s="157">
        <v>0.1</v>
      </c>
      <c r="G468" s="77">
        <f>G467*0.15</f>
        <v>16575.375</v>
      </c>
      <c r="H468" s="121"/>
    </row>
    <row r="469" spans="2:8" ht="15" thickBot="1" x14ac:dyDescent="0.35">
      <c r="B469" s="148" t="s">
        <v>226</v>
      </c>
      <c r="C469" s="149" t="s">
        <v>227</v>
      </c>
      <c r="D469" s="150"/>
      <c r="E469" s="150"/>
      <c r="F469" s="158"/>
      <c r="G469" s="88">
        <f>G467+G468</f>
        <v>127077.875</v>
      </c>
      <c r="H469" s="121"/>
    </row>
    <row r="470" spans="2:8" ht="15" thickTop="1" x14ac:dyDescent="0.3">
      <c r="B470" s="295"/>
      <c r="C470" s="295"/>
      <c r="D470" s="295"/>
      <c r="E470" s="295"/>
      <c r="F470" s="296"/>
      <c r="G470" s="297"/>
      <c r="H470" s="121"/>
    </row>
    <row r="471" spans="2:8" ht="15" thickBot="1" x14ac:dyDescent="0.35">
      <c r="B471" s="132" t="s">
        <v>457</v>
      </c>
      <c r="C471" s="276" t="s">
        <v>458</v>
      </c>
      <c r="D471" s="93"/>
      <c r="E471" s="93"/>
      <c r="F471" s="117"/>
      <c r="G471" s="117"/>
      <c r="H471" s="160">
        <f>ROUNDDOWN(G487,-2)</f>
        <v>194100</v>
      </c>
    </row>
    <row r="472" spans="2:8" ht="28.2" thickTop="1" x14ac:dyDescent="0.3">
      <c r="B472" s="94" t="s">
        <v>191</v>
      </c>
      <c r="C472" s="95" t="s">
        <v>192</v>
      </c>
      <c r="D472" s="95" t="s">
        <v>193</v>
      </c>
      <c r="E472" s="95" t="s">
        <v>194</v>
      </c>
      <c r="F472" s="119" t="s">
        <v>195</v>
      </c>
      <c r="G472" s="120" t="s">
        <v>196</v>
      </c>
      <c r="H472" s="121"/>
    </row>
    <row r="473" spans="2:8" x14ac:dyDescent="0.3">
      <c r="B473" s="134" t="s">
        <v>197</v>
      </c>
      <c r="C473" s="135" t="s">
        <v>198</v>
      </c>
      <c r="D473" s="136"/>
      <c r="E473" s="136"/>
      <c r="F473" s="152"/>
      <c r="G473" s="153"/>
      <c r="H473" s="121"/>
    </row>
    <row r="474" spans="2:8" x14ac:dyDescent="0.3">
      <c r="B474" s="137">
        <v>1</v>
      </c>
      <c r="C474" s="135" t="s">
        <v>199</v>
      </c>
      <c r="D474" s="135" t="s">
        <v>200</v>
      </c>
      <c r="E474" s="293">
        <v>0.01</v>
      </c>
      <c r="F474" s="154">
        <v>100000</v>
      </c>
      <c r="G474" s="83">
        <f t="shared" ref="G474:G477" si="51">E474*F474</f>
        <v>1000</v>
      </c>
      <c r="H474" s="121"/>
    </row>
    <row r="475" spans="2:8" x14ac:dyDescent="0.3">
      <c r="B475" s="137">
        <v>2</v>
      </c>
      <c r="C475" s="135" t="s">
        <v>201</v>
      </c>
      <c r="D475" s="135" t="s">
        <v>200</v>
      </c>
      <c r="E475" s="293">
        <v>0.4</v>
      </c>
      <c r="F475" s="154">
        <v>145000</v>
      </c>
      <c r="G475" s="83">
        <f t="shared" si="51"/>
        <v>58000</v>
      </c>
      <c r="H475" s="121"/>
    </row>
    <row r="476" spans="2:8" x14ac:dyDescent="0.3">
      <c r="B476" s="137">
        <v>3</v>
      </c>
      <c r="C476" s="135" t="s">
        <v>202</v>
      </c>
      <c r="D476" s="135" t="s">
        <v>200</v>
      </c>
      <c r="E476" s="293">
        <v>0.04</v>
      </c>
      <c r="F476" s="154">
        <v>175000</v>
      </c>
      <c r="G476" s="83">
        <f t="shared" si="51"/>
        <v>7000</v>
      </c>
      <c r="H476" s="121"/>
    </row>
    <row r="477" spans="2:8" x14ac:dyDescent="0.3">
      <c r="B477" s="137">
        <v>4</v>
      </c>
      <c r="C477" s="135" t="s">
        <v>203</v>
      </c>
      <c r="D477" s="135" t="s">
        <v>200</v>
      </c>
      <c r="E477" s="293">
        <v>1.3299999999999999E-2</v>
      </c>
      <c r="F477" s="154">
        <v>200000</v>
      </c>
      <c r="G477" s="83">
        <f t="shared" si="51"/>
        <v>2660</v>
      </c>
      <c r="H477" s="121"/>
    </row>
    <row r="478" spans="2:8" x14ac:dyDescent="0.3">
      <c r="B478" s="102" t="s">
        <v>234</v>
      </c>
      <c r="C478" s="103"/>
      <c r="D478" s="103"/>
      <c r="E478" s="116"/>
      <c r="F478" s="126"/>
      <c r="G478" s="155">
        <f>SUM(G474:G477)</f>
        <v>68660</v>
      </c>
      <c r="H478" s="160"/>
    </row>
    <row r="479" spans="2:8" x14ac:dyDescent="0.3">
      <c r="B479" s="134" t="s">
        <v>205</v>
      </c>
      <c r="C479" s="135" t="s">
        <v>206</v>
      </c>
      <c r="D479" s="136"/>
      <c r="E479" s="136"/>
      <c r="F479" s="152"/>
      <c r="G479" s="153"/>
      <c r="H479" s="121"/>
    </row>
    <row r="480" spans="2:8" x14ac:dyDescent="0.3">
      <c r="B480" s="137">
        <v>1</v>
      </c>
      <c r="C480" s="135" t="s">
        <v>459</v>
      </c>
      <c r="D480" s="141" t="s">
        <v>209</v>
      </c>
      <c r="E480" s="140">
        <v>1</v>
      </c>
      <c r="F480" s="154">
        <v>100000</v>
      </c>
      <c r="G480" s="83">
        <f t="shared" ref="G480:G481" si="52">E480*F480</f>
        <v>100000</v>
      </c>
      <c r="H480" s="121"/>
    </row>
    <row r="481" spans="2:8" x14ac:dyDescent="0.3">
      <c r="B481" s="137">
        <v>2</v>
      </c>
      <c r="C481" s="135" t="s">
        <v>453</v>
      </c>
      <c r="D481" s="141" t="s">
        <v>209</v>
      </c>
      <c r="E481" s="140">
        <v>2.5000000000000001E-2</v>
      </c>
      <c r="F481" s="154">
        <v>5700</v>
      </c>
      <c r="G481" s="83">
        <f t="shared" si="52"/>
        <v>142.5</v>
      </c>
      <c r="H481" s="121"/>
    </row>
    <row r="482" spans="2:8" x14ac:dyDescent="0.3">
      <c r="B482" s="102" t="s">
        <v>218</v>
      </c>
      <c r="C482" s="103"/>
      <c r="D482" s="103"/>
      <c r="E482" s="103"/>
      <c r="F482" s="126"/>
      <c r="G482" s="155">
        <f>SUM(G480:G481)</f>
        <v>100142.5</v>
      </c>
      <c r="H482" s="121"/>
    </row>
    <row r="483" spans="2:8" x14ac:dyDescent="0.3">
      <c r="B483" s="142" t="s">
        <v>219</v>
      </c>
      <c r="C483" s="135" t="s">
        <v>220</v>
      </c>
      <c r="D483" s="136"/>
      <c r="E483" s="136"/>
      <c r="F483" s="152"/>
      <c r="G483" s="153"/>
      <c r="H483" s="121"/>
    </row>
    <row r="484" spans="2:8" x14ac:dyDescent="0.3">
      <c r="B484" s="102" t="s">
        <v>221</v>
      </c>
      <c r="C484" s="103"/>
      <c r="D484" s="103"/>
      <c r="E484" s="103"/>
      <c r="F484" s="126"/>
      <c r="G484" s="143">
        <v>0</v>
      </c>
      <c r="H484" s="121"/>
    </row>
    <row r="485" spans="2:8" x14ac:dyDescent="0.3">
      <c r="B485" s="144" t="s">
        <v>222</v>
      </c>
      <c r="C485" s="145" t="s">
        <v>223</v>
      </c>
      <c r="D485" s="146"/>
      <c r="E485" s="146"/>
      <c r="F485" s="156"/>
      <c r="G485" s="125">
        <f>G482+G478</f>
        <v>168802.5</v>
      </c>
      <c r="H485" s="121"/>
    </row>
    <row r="486" spans="2:8" x14ac:dyDescent="0.3">
      <c r="B486" s="144" t="s">
        <v>224</v>
      </c>
      <c r="C486" s="145" t="s">
        <v>225</v>
      </c>
      <c r="D486" s="146"/>
      <c r="E486" s="147"/>
      <c r="F486" s="157">
        <v>0.1</v>
      </c>
      <c r="G486" s="77">
        <f>G485*0.15</f>
        <v>25320.375</v>
      </c>
      <c r="H486" s="121"/>
    </row>
    <row r="487" spans="2:8" ht="15" thickBot="1" x14ac:dyDescent="0.35">
      <c r="B487" s="148" t="s">
        <v>226</v>
      </c>
      <c r="C487" s="149" t="s">
        <v>227</v>
      </c>
      <c r="D487" s="150"/>
      <c r="E487" s="150"/>
      <c r="F487" s="158"/>
      <c r="G487" s="88">
        <f>G485+G486</f>
        <v>194122.875</v>
      </c>
      <c r="H487" s="121"/>
    </row>
    <row r="490" spans="2:8" ht="15" thickBot="1" x14ac:dyDescent="0.35">
      <c r="B490" s="132" t="s">
        <v>460</v>
      </c>
      <c r="C490" s="276" t="s">
        <v>461</v>
      </c>
      <c r="D490" s="93"/>
      <c r="E490" s="93"/>
      <c r="F490" s="117"/>
      <c r="G490" s="117"/>
      <c r="H490" s="160">
        <f>ROUNDDOWN(G505,-2)</f>
        <v>72000</v>
      </c>
    </row>
    <row r="491" spans="2:8" ht="28.2" thickTop="1" x14ac:dyDescent="0.3">
      <c r="B491" s="94" t="s">
        <v>191</v>
      </c>
      <c r="C491" s="95" t="s">
        <v>192</v>
      </c>
      <c r="D491" s="95" t="s">
        <v>193</v>
      </c>
      <c r="E491" s="95" t="s">
        <v>194</v>
      </c>
      <c r="F491" s="119" t="s">
        <v>195</v>
      </c>
      <c r="G491" s="120" t="s">
        <v>196</v>
      </c>
      <c r="H491" s="121"/>
    </row>
    <row r="492" spans="2:8" x14ac:dyDescent="0.3">
      <c r="B492" s="134" t="s">
        <v>197</v>
      </c>
      <c r="C492" s="135" t="s">
        <v>198</v>
      </c>
      <c r="D492" s="136"/>
      <c r="E492" s="136"/>
      <c r="F492" s="152"/>
      <c r="G492" s="153"/>
      <c r="H492" s="121"/>
    </row>
    <row r="493" spans="2:8" x14ac:dyDescent="0.3">
      <c r="B493" s="137">
        <v>1</v>
      </c>
      <c r="C493" s="135" t="s">
        <v>199</v>
      </c>
      <c r="D493" s="138" t="s">
        <v>200</v>
      </c>
      <c r="E493" s="293">
        <v>0.01</v>
      </c>
      <c r="F493" s="154">
        <v>100000</v>
      </c>
      <c r="G493" s="83">
        <f t="shared" ref="G493:G496" si="53">E493*F493</f>
        <v>1000</v>
      </c>
      <c r="H493" s="121"/>
    </row>
    <row r="494" spans="2:8" x14ac:dyDescent="0.3">
      <c r="B494" s="137">
        <v>2</v>
      </c>
      <c r="C494" s="135" t="s">
        <v>201</v>
      </c>
      <c r="D494" s="138" t="s">
        <v>200</v>
      </c>
      <c r="E494" s="293">
        <v>0.1</v>
      </c>
      <c r="F494" s="154">
        <v>145000</v>
      </c>
      <c r="G494" s="83">
        <f t="shared" si="53"/>
        <v>14500</v>
      </c>
      <c r="H494" s="121"/>
    </row>
    <row r="495" spans="2:8" x14ac:dyDescent="0.3">
      <c r="B495" s="137">
        <v>3</v>
      </c>
      <c r="C495" s="135" t="s">
        <v>202</v>
      </c>
      <c r="D495" s="138" t="s">
        <v>200</v>
      </c>
      <c r="E495" s="293">
        <v>0.01</v>
      </c>
      <c r="F495" s="154">
        <v>175000</v>
      </c>
      <c r="G495" s="83">
        <f t="shared" si="53"/>
        <v>1750</v>
      </c>
      <c r="H495" s="121"/>
    </row>
    <row r="496" spans="2:8" x14ac:dyDescent="0.3">
      <c r="B496" s="137">
        <v>4</v>
      </c>
      <c r="C496" s="135" t="s">
        <v>203</v>
      </c>
      <c r="D496" s="138" t="s">
        <v>200</v>
      </c>
      <c r="E496" s="293">
        <v>3.3E-3</v>
      </c>
      <c r="F496" s="154">
        <v>200000</v>
      </c>
      <c r="G496" s="83">
        <f t="shared" si="53"/>
        <v>660</v>
      </c>
      <c r="H496" s="121"/>
    </row>
    <row r="497" spans="2:8" x14ac:dyDescent="0.3">
      <c r="B497" s="102" t="s">
        <v>234</v>
      </c>
      <c r="C497" s="103"/>
      <c r="D497" s="103"/>
      <c r="E497" s="116"/>
      <c r="F497" s="126"/>
      <c r="G497" s="155">
        <f>SUM(G493:G496)</f>
        <v>17910</v>
      </c>
      <c r="H497" s="160"/>
    </row>
    <row r="498" spans="2:8" x14ac:dyDescent="0.3">
      <c r="B498" s="134" t="s">
        <v>205</v>
      </c>
      <c r="C498" s="135" t="s">
        <v>206</v>
      </c>
      <c r="D498" s="136"/>
      <c r="E498" s="136"/>
      <c r="F498" s="152"/>
      <c r="G498" s="153"/>
      <c r="H498" s="121"/>
    </row>
    <row r="499" spans="2:8" x14ac:dyDescent="0.3">
      <c r="B499" s="137">
        <v>1</v>
      </c>
      <c r="C499" s="135" t="s">
        <v>462</v>
      </c>
      <c r="D499" s="138" t="s">
        <v>209</v>
      </c>
      <c r="E499" s="277">
        <v>1</v>
      </c>
      <c r="F499" s="154">
        <v>44700</v>
      </c>
      <c r="G499" s="83">
        <f t="shared" ref="G499" si="54">E499*F499</f>
        <v>44700</v>
      </c>
      <c r="H499" s="121"/>
    </row>
    <row r="500" spans="2:8" x14ac:dyDescent="0.3">
      <c r="B500" s="102" t="s">
        <v>218</v>
      </c>
      <c r="C500" s="103"/>
      <c r="D500" s="103"/>
      <c r="E500" s="103"/>
      <c r="F500" s="126"/>
      <c r="G500" s="155">
        <f>SUM(G499)</f>
        <v>44700</v>
      </c>
      <c r="H500" s="121"/>
    </row>
    <row r="501" spans="2:8" x14ac:dyDescent="0.3">
      <c r="B501" s="142" t="s">
        <v>219</v>
      </c>
      <c r="C501" s="135" t="s">
        <v>220</v>
      </c>
      <c r="D501" s="136"/>
      <c r="E501" s="136"/>
      <c r="F501" s="152"/>
      <c r="G501" s="153"/>
      <c r="H501" s="121"/>
    </row>
    <row r="502" spans="2:8" x14ac:dyDescent="0.3">
      <c r="B502" s="102" t="s">
        <v>221</v>
      </c>
      <c r="C502" s="103"/>
      <c r="D502" s="103"/>
      <c r="E502" s="103"/>
      <c r="F502" s="126"/>
      <c r="G502" s="143">
        <v>0</v>
      </c>
      <c r="H502" s="121"/>
    </row>
    <row r="503" spans="2:8" x14ac:dyDescent="0.3">
      <c r="B503" s="144" t="s">
        <v>222</v>
      </c>
      <c r="C503" s="145" t="s">
        <v>223</v>
      </c>
      <c r="D503" s="146"/>
      <c r="E503" s="146"/>
      <c r="F503" s="156"/>
      <c r="G503" s="125">
        <f>G500+G497</f>
        <v>62610</v>
      </c>
      <c r="H503" s="121"/>
    </row>
    <row r="504" spans="2:8" x14ac:dyDescent="0.3">
      <c r="B504" s="144" t="s">
        <v>224</v>
      </c>
      <c r="C504" s="145" t="s">
        <v>225</v>
      </c>
      <c r="D504" s="146"/>
      <c r="E504" s="147"/>
      <c r="F504" s="157">
        <v>0.1</v>
      </c>
      <c r="G504" s="77">
        <f>G503*0.15</f>
        <v>9391.5</v>
      </c>
      <c r="H504" s="121"/>
    </row>
    <row r="505" spans="2:8" ht="15" thickBot="1" x14ac:dyDescent="0.35">
      <c r="B505" s="148" t="s">
        <v>226</v>
      </c>
      <c r="C505" s="149" t="s">
        <v>227</v>
      </c>
      <c r="D505" s="150"/>
      <c r="E505" s="150"/>
      <c r="F505" s="158"/>
      <c r="G505" s="88">
        <f>G503+G504</f>
        <v>72001.5</v>
      </c>
      <c r="H505" s="121"/>
    </row>
    <row r="508" spans="2:8" ht="15" thickBot="1" x14ac:dyDescent="0.35">
      <c r="B508" s="298" t="s">
        <v>463</v>
      </c>
      <c r="C508" s="276" t="s">
        <v>464</v>
      </c>
      <c r="D508" s="299"/>
      <c r="E508" s="299"/>
      <c r="F508" s="302"/>
      <c r="G508" s="302"/>
      <c r="H508" s="160">
        <f>ROUNDDOWN(G525,-2)</f>
        <v>673000</v>
      </c>
    </row>
    <row r="509" spans="2:8" ht="28.2" thickTop="1" x14ac:dyDescent="0.3">
      <c r="B509" s="94" t="s">
        <v>191</v>
      </c>
      <c r="C509" s="95" t="s">
        <v>192</v>
      </c>
      <c r="D509" s="95" t="s">
        <v>193</v>
      </c>
      <c r="E509" s="95" t="s">
        <v>194</v>
      </c>
      <c r="F509" s="119" t="s">
        <v>195</v>
      </c>
      <c r="G509" s="120" t="s">
        <v>196</v>
      </c>
      <c r="H509" s="121"/>
    </row>
    <row r="510" spans="2:8" x14ac:dyDescent="0.3">
      <c r="B510" s="134" t="s">
        <v>197</v>
      </c>
      <c r="C510" s="135" t="s">
        <v>198</v>
      </c>
      <c r="D510" s="136"/>
      <c r="E510" s="136"/>
      <c r="F510" s="152"/>
      <c r="G510" s="153"/>
      <c r="H510" s="121"/>
    </row>
    <row r="511" spans="2:8" x14ac:dyDescent="0.3">
      <c r="B511" s="137">
        <v>1</v>
      </c>
      <c r="C511" s="135" t="s">
        <v>199</v>
      </c>
      <c r="D511" s="138" t="s">
        <v>200</v>
      </c>
      <c r="E511" s="293">
        <v>1</v>
      </c>
      <c r="F511" s="154">
        <v>100000</v>
      </c>
      <c r="G511" s="83">
        <f t="shared" ref="G511:G514" si="55">E511*F511</f>
        <v>100000</v>
      </c>
      <c r="H511" s="121"/>
    </row>
    <row r="512" spans="2:8" x14ac:dyDescent="0.3">
      <c r="B512" s="137">
        <v>2</v>
      </c>
      <c r="C512" s="135" t="s">
        <v>201</v>
      </c>
      <c r="D512" s="138" t="s">
        <v>200</v>
      </c>
      <c r="E512" s="293">
        <v>0.5</v>
      </c>
      <c r="F512" s="154">
        <v>145000</v>
      </c>
      <c r="G512" s="83">
        <f t="shared" si="55"/>
        <v>72500</v>
      </c>
      <c r="H512" s="121"/>
    </row>
    <row r="513" spans="2:8" x14ac:dyDescent="0.3">
      <c r="B513" s="137">
        <v>3</v>
      </c>
      <c r="C513" s="135" t="s">
        <v>202</v>
      </c>
      <c r="D513" s="138" t="s">
        <v>200</v>
      </c>
      <c r="E513" s="293">
        <v>0.05</v>
      </c>
      <c r="F513" s="154">
        <v>175000</v>
      </c>
      <c r="G513" s="83">
        <f t="shared" si="55"/>
        <v>8750</v>
      </c>
      <c r="H513" s="121"/>
    </row>
    <row r="514" spans="2:8" x14ac:dyDescent="0.3">
      <c r="B514" s="137">
        <v>4</v>
      </c>
      <c r="C514" s="135" t="s">
        <v>203</v>
      </c>
      <c r="D514" s="138" t="s">
        <v>200</v>
      </c>
      <c r="E514" s="293">
        <v>1.67E-2</v>
      </c>
      <c r="F514" s="154">
        <v>200000</v>
      </c>
      <c r="G514" s="83">
        <f t="shared" si="55"/>
        <v>3340</v>
      </c>
      <c r="H514" s="121"/>
    </row>
    <row r="515" spans="2:8" x14ac:dyDescent="0.3">
      <c r="B515" s="102" t="s">
        <v>234</v>
      </c>
      <c r="C515" s="103"/>
      <c r="D515" s="103"/>
      <c r="E515" s="116"/>
      <c r="F515" s="126"/>
      <c r="G515" s="155">
        <f>SUM(G511:G514)</f>
        <v>184590</v>
      </c>
      <c r="H515" s="160"/>
    </row>
    <row r="516" spans="2:8" x14ac:dyDescent="0.3">
      <c r="B516" s="134" t="s">
        <v>205</v>
      </c>
      <c r="C516" s="135" t="s">
        <v>206</v>
      </c>
      <c r="D516" s="136"/>
      <c r="E516" s="136"/>
      <c r="F516" s="152"/>
      <c r="G516" s="153"/>
      <c r="H516" s="121"/>
    </row>
    <row r="517" spans="2:8" x14ac:dyDescent="0.3">
      <c r="B517" s="137">
        <v>1</v>
      </c>
      <c r="C517" s="135" t="s">
        <v>465</v>
      </c>
      <c r="D517" s="138" t="s">
        <v>209</v>
      </c>
      <c r="E517" s="277">
        <v>1.2</v>
      </c>
      <c r="F517" s="154">
        <v>325100</v>
      </c>
      <c r="G517" s="83">
        <f t="shared" ref="G517:G519" si="56">E517*F517</f>
        <v>390120</v>
      </c>
      <c r="H517" s="121"/>
    </row>
    <row r="518" spans="2:8" x14ac:dyDescent="0.3">
      <c r="B518" s="137">
        <v>2</v>
      </c>
      <c r="C518" s="135" t="s">
        <v>211</v>
      </c>
      <c r="D518" s="138" t="s">
        <v>212</v>
      </c>
      <c r="E518" s="277">
        <v>6</v>
      </c>
      <c r="F518" s="154">
        <v>1300</v>
      </c>
      <c r="G518" s="83">
        <f t="shared" si="56"/>
        <v>7800</v>
      </c>
      <c r="H518" s="121"/>
    </row>
    <row r="519" spans="2:8" x14ac:dyDescent="0.3">
      <c r="B519" s="137">
        <v>3</v>
      </c>
      <c r="C519" s="141" t="s">
        <v>214</v>
      </c>
      <c r="D519" s="138" t="s">
        <v>215</v>
      </c>
      <c r="E519" s="277">
        <v>0.01</v>
      </c>
      <c r="F519" s="154">
        <v>275000</v>
      </c>
      <c r="G519" s="83">
        <f t="shared" si="56"/>
        <v>2750</v>
      </c>
      <c r="H519" s="121"/>
    </row>
    <row r="520" spans="2:8" x14ac:dyDescent="0.3">
      <c r="B520" s="102" t="s">
        <v>218</v>
      </c>
      <c r="C520" s="103"/>
      <c r="D520" s="103"/>
      <c r="E520" s="103"/>
      <c r="F520" s="126"/>
      <c r="G520" s="155">
        <f>SUM(G517:G519)</f>
        <v>400670</v>
      </c>
      <c r="H520" s="121"/>
    </row>
    <row r="521" spans="2:8" x14ac:dyDescent="0.3">
      <c r="B521" s="142" t="s">
        <v>219</v>
      </c>
      <c r="C521" s="135" t="s">
        <v>220</v>
      </c>
      <c r="D521" s="136"/>
      <c r="E521" s="136"/>
      <c r="F521" s="152"/>
      <c r="G521" s="153"/>
      <c r="H521" s="121"/>
    </row>
    <row r="522" spans="2:8" x14ac:dyDescent="0.3">
      <c r="B522" s="102" t="s">
        <v>221</v>
      </c>
      <c r="C522" s="103"/>
      <c r="D522" s="103"/>
      <c r="E522" s="103"/>
      <c r="F522" s="126"/>
      <c r="G522" s="143">
        <v>0</v>
      </c>
      <c r="H522" s="121"/>
    </row>
    <row r="523" spans="2:8" x14ac:dyDescent="0.3">
      <c r="B523" s="144" t="s">
        <v>222</v>
      </c>
      <c r="C523" s="145" t="s">
        <v>223</v>
      </c>
      <c r="D523" s="146"/>
      <c r="E523" s="146"/>
      <c r="F523" s="156"/>
      <c r="G523" s="125">
        <f>G520+G515</f>
        <v>585260</v>
      </c>
      <c r="H523" s="121"/>
    </row>
    <row r="524" spans="2:8" x14ac:dyDescent="0.3">
      <c r="B524" s="144" t="s">
        <v>224</v>
      </c>
      <c r="C524" s="145" t="s">
        <v>225</v>
      </c>
      <c r="D524" s="146"/>
      <c r="E524" s="147"/>
      <c r="F524" s="157">
        <v>0.1</v>
      </c>
      <c r="G524" s="77">
        <f>G523*0.15</f>
        <v>87789</v>
      </c>
      <c r="H524" s="121"/>
    </row>
    <row r="525" spans="2:8" ht="15" thickBot="1" x14ac:dyDescent="0.35">
      <c r="B525" s="148" t="s">
        <v>226</v>
      </c>
      <c r="C525" s="149" t="s">
        <v>227</v>
      </c>
      <c r="D525" s="150"/>
      <c r="E525" s="150"/>
      <c r="F525" s="158"/>
      <c r="G525" s="88">
        <f>G523+G524</f>
        <v>673049</v>
      </c>
      <c r="H525" s="121"/>
    </row>
    <row r="528" spans="2:8" ht="15" thickBot="1" x14ac:dyDescent="0.35">
      <c r="B528" s="303" t="s">
        <v>469</v>
      </c>
      <c r="C528" s="304" t="s">
        <v>470</v>
      </c>
      <c r="D528" s="305"/>
      <c r="E528" s="305"/>
      <c r="F528" s="310"/>
      <c r="G528" s="310"/>
      <c r="H528" s="118">
        <f>ROUND(G547,-2)</f>
        <v>510700</v>
      </c>
    </row>
    <row r="529" spans="2:8" ht="28.2" thickTop="1" x14ac:dyDescent="0.3">
      <c r="B529" s="94" t="s">
        <v>191</v>
      </c>
      <c r="C529" s="95" t="s">
        <v>192</v>
      </c>
      <c r="D529" s="95" t="s">
        <v>193</v>
      </c>
      <c r="E529" s="95" t="s">
        <v>194</v>
      </c>
      <c r="F529" s="119" t="s">
        <v>195</v>
      </c>
      <c r="G529" s="120" t="s">
        <v>196</v>
      </c>
      <c r="H529" s="121"/>
    </row>
    <row r="530" spans="2:8" x14ac:dyDescent="0.3">
      <c r="B530" s="134" t="s">
        <v>197</v>
      </c>
      <c r="C530" s="97" t="s">
        <v>198</v>
      </c>
      <c r="D530" s="98"/>
      <c r="E530" s="98"/>
      <c r="F530" s="122"/>
      <c r="G530" s="123"/>
      <c r="H530" s="121"/>
    </row>
    <row r="531" spans="2:8" x14ac:dyDescent="0.3">
      <c r="B531" s="137">
        <v>1</v>
      </c>
      <c r="C531" s="97" t="s">
        <v>199</v>
      </c>
      <c r="D531" s="100" t="s">
        <v>200</v>
      </c>
      <c r="E531" s="101">
        <v>0.4551</v>
      </c>
      <c r="F531" s="124">
        <v>100000</v>
      </c>
      <c r="G531" s="83">
        <f t="shared" ref="G531:G534" si="57">E531*F531</f>
        <v>45510</v>
      </c>
      <c r="H531" s="121"/>
    </row>
    <row r="532" spans="2:8" x14ac:dyDescent="0.3">
      <c r="B532" s="137">
        <v>2</v>
      </c>
      <c r="C532" s="97" t="s">
        <v>471</v>
      </c>
      <c r="D532" s="100" t="s">
        <v>200</v>
      </c>
      <c r="E532" s="101">
        <v>0.22750000000000001</v>
      </c>
      <c r="F532" s="124">
        <v>145000</v>
      </c>
      <c r="G532" s="83">
        <f t="shared" si="57"/>
        <v>32987.5</v>
      </c>
      <c r="H532" s="121"/>
    </row>
    <row r="533" spans="2:8" x14ac:dyDescent="0.3">
      <c r="B533" s="137">
        <v>3</v>
      </c>
      <c r="C533" s="97" t="s">
        <v>202</v>
      </c>
      <c r="D533" s="100" t="s">
        <v>200</v>
      </c>
      <c r="E533" s="101">
        <v>2.2800000000000001E-2</v>
      </c>
      <c r="F533" s="124">
        <v>175000</v>
      </c>
      <c r="G533" s="83">
        <f t="shared" si="57"/>
        <v>3990</v>
      </c>
      <c r="H533" s="121"/>
    </row>
    <row r="534" spans="2:8" x14ac:dyDescent="0.3">
      <c r="B534" s="137">
        <v>4</v>
      </c>
      <c r="C534" s="97" t="s">
        <v>203</v>
      </c>
      <c r="D534" s="100" t="s">
        <v>200</v>
      </c>
      <c r="E534" s="101">
        <v>7.6E-3</v>
      </c>
      <c r="F534" s="124">
        <v>200000</v>
      </c>
      <c r="G534" s="83">
        <f t="shared" si="57"/>
        <v>1520</v>
      </c>
      <c r="H534" s="121"/>
    </row>
    <row r="535" spans="2:8" x14ac:dyDescent="0.3">
      <c r="B535" s="102" t="s">
        <v>234</v>
      </c>
      <c r="C535" s="103"/>
      <c r="D535" s="103"/>
      <c r="E535" s="116"/>
      <c r="F535" s="126"/>
      <c r="G535" s="125">
        <v>84007.5</v>
      </c>
      <c r="H535" s="128"/>
    </row>
    <row r="536" spans="2:8" x14ac:dyDescent="0.3">
      <c r="B536" s="134" t="s">
        <v>205</v>
      </c>
      <c r="C536" s="97" t="s">
        <v>206</v>
      </c>
      <c r="D536" s="98"/>
      <c r="E536" s="98"/>
      <c r="F536" s="122"/>
      <c r="G536" s="123"/>
      <c r="H536" s="121"/>
    </row>
    <row r="537" spans="2:8" x14ac:dyDescent="0.3">
      <c r="B537" s="306" t="s">
        <v>207</v>
      </c>
      <c r="C537" s="97" t="s">
        <v>472</v>
      </c>
      <c r="D537" s="307" t="s">
        <v>291</v>
      </c>
      <c r="E537" s="217">
        <v>4.8</v>
      </c>
      <c r="F537" s="124">
        <v>42000</v>
      </c>
      <c r="G537" s="83">
        <f t="shared" ref="G537:G540" si="58">E537*F537</f>
        <v>201600</v>
      </c>
      <c r="H537" s="121"/>
    </row>
    <row r="538" spans="2:8" x14ac:dyDescent="0.3">
      <c r="B538" s="306" t="s">
        <v>210</v>
      </c>
      <c r="C538" s="97" t="s">
        <v>473</v>
      </c>
      <c r="D538" s="307" t="s">
        <v>291</v>
      </c>
      <c r="E538" s="217">
        <v>9.9</v>
      </c>
      <c r="F538" s="124">
        <v>15500</v>
      </c>
      <c r="G538" s="83">
        <f t="shared" si="58"/>
        <v>153450</v>
      </c>
      <c r="H538" s="121"/>
    </row>
    <row r="539" spans="2:8" x14ac:dyDescent="0.3">
      <c r="B539" s="306" t="s">
        <v>213</v>
      </c>
      <c r="C539" s="97" t="s">
        <v>474</v>
      </c>
      <c r="D539" s="307" t="s">
        <v>212</v>
      </c>
      <c r="E539" s="217">
        <v>0.1</v>
      </c>
      <c r="F539" s="124">
        <v>26000</v>
      </c>
      <c r="G539" s="83">
        <f t="shared" si="58"/>
        <v>2600</v>
      </c>
      <c r="H539" s="121"/>
    </row>
    <row r="540" spans="2:8" x14ac:dyDescent="0.3">
      <c r="B540" s="306" t="s">
        <v>216</v>
      </c>
      <c r="C540" s="97" t="s">
        <v>348</v>
      </c>
      <c r="D540" s="100" t="s">
        <v>212</v>
      </c>
      <c r="E540" s="105">
        <v>0.05</v>
      </c>
      <c r="F540" s="124">
        <v>45550</v>
      </c>
      <c r="G540" s="83">
        <f t="shared" si="58"/>
        <v>2277.5</v>
      </c>
      <c r="H540" s="121"/>
    </row>
    <row r="541" spans="2:8" x14ac:dyDescent="0.3">
      <c r="B541" s="102" t="s">
        <v>218</v>
      </c>
      <c r="C541" s="103"/>
      <c r="D541" s="103"/>
      <c r="E541" s="103"/>
      <c r="F541" s="126"/>
      <c r="G541" s="125">
        <v>359927.5</v>
      </c>
      <c r="H541" s="121"/>
    </row>
    <row r="542" spans="2:8" x14ac:dyDescent="0.3">
      <c r="B542" s="134" t="s">
        <v>219</v>
      </c>
      <c r="C542" s="97" t="s">
        <v>220</v>
      </c>
      <c r="D542" s="98"/>
      <c r="E542" s="98"/>
      <c r="F542" s="122"/>
      <c r="G542" s="123"/>
      <c r="H542" s="121"/>
    </row>
    <row r="543" spans="2:8" x14ac:dyDescent="0.3">
      <c r="B543" s="306">
        <v>1</v>
      </c>
      <c r="C543" s="97" t="s">
        <v>475</v>
      </c>
      <c r="D543" s="100" t="s">
        <v>212</v>
      </c>
      <c r="E543" s="105">
        <v>0.05</v>
      </c>
      <c r="F543" s="124">
        <v>3125</v>
      </c>
      <c r="G543" s="83">
        <f t="shared" ref="G543" si="59">E543*F543</f>
        <v>156.25</v>
      </c>
      <c r="H543" s="121"/>
    </row>
    <row r="544" spans="2:8" x14ac:dyDescent="0.3">
      <c r="B544" s="102" t="s">
        <v>221</v>
      </c>
      <c r="C544" s="103"/>
      <c r="D544" s="103"/>
      <c r="E544" s="103"/>
      <c r="F544" s="126"/>
      <c r="G544" s="108">
        <v>156.25</v>
      </c>
      <c r="H544" s="121"/>
    </row>
    <row r="545" spans="2:8" x14ac:dyDescent="0.3">
      <c r="B545" s="109" t="s">
        <v>222</v>
      </c>
      <c r="C545" s="110" t="s">
        <v>223</v>
      </c>
      <c r="D545" s="111"/>
      <c r="E545" s="111"/>
      <c r="F545" s="127"/>
      <c r="G545" s="125">
        <f>G544+G541+G535</f>
        <v>444091.25</v>
      </c>
      <c r="H545" s="121"/>
    </row>
    <row r="546" spans="2:8" x14ac:dyDescent="0.3">
      <c r="B546" s="109" t="s">
        <v>224</v>
      </c>
      <c r="C546" s="110" t="s">
        <v>225</v>
      </c>
      <c r="D546" s="111"/>
      <c r="E546" s="112"/>
      <c r="F546" s="129">
        <v>0.1</v>
      </c>
      <c r="G546" s="77">
        <f>G545*0.15</f>
        <v>66613.6875</v>
      </c>
      <c r="H546" s="121"/>
    </row>
    <row r="547" spans="2:8" ht="15" thickBot="1" x14ac:dyDescent="0.35">
      <c r="B547" s="113" t="s">
        <v>226</v>
      </c>
      <c r="C547" s="114" t="s">
        <v>227</v>
      </c>
      <c r="D547" s="115"/>
      <c r="E547" s="115"/>
      <c r="F547" s="130"/>
      <c r="G547" s="88">
        <f>G545+G546</f>
        <v>510704.9375</v>
      </c>
      <c r="H547" s="121"/>
    </row>
    <row r="548" spans="2:8" ht="15" thickTop="1" x14ac:dyDescent="0.3">
      <c r="B548" s="308"/>
      <c r="C548" s="193"/>
      <c r="D548" s="193"/>
      <c r="E548" s="193"/>
      <c r="F548" s="196"/>
      <c r="G548" s="197"/>
      <c r="H548" s="121"/>
    </row>
    <row r="549" spans="2:8" ht="15" thickBot="1" x14ac:dyDescent="0.35">
      <c r="B549" s="303" t="s">
        <v>476</v>
      </c>
      <c r="C549" s="132" t="s">
        <v>477</v>
      </c>
      <c r="D549" s="309"/>
      <c r="E549" s="309"/>
      <c r="F549" s="311"/>
      <c r="G549" s="311"/>
      <c r="H549" s="118">
        <f>ROUND(G569,-2)</f>
        <v>315000</v>
      </c>
    </row>
    <row r="550" spans="2:8" ht="28.2" thickTop="1" x14ac:dyDescent="0.3">
      <c r="B550" s="94" t="s">
        <v>191</v>
      </c>
      <c r="C550" s="95" t="s">
        <v>192</v>
      </c>
      <c r="D550" s="95" t="s">
        <v>193</v>
      </c>
      <c r="E550" s="95" t="s">
        <v>194</v>
      </c>
      <c r="F550" s="119" t="s">
        <v>195</v>
      </c>
      <c r="G550" s="120" t="s">
        <v>196</v>
      </c>
      <c r="H550" s="121"/>
    </row>
    <row r="551" spans="2:8" x14ac:dyDescent="0.3">
      <c r="B551" s="134" t="s">
        <v>197</v>
      </c>
      <c r="C551" s="97" t="s">
        <v>198</v>
      </c>
      <c r="D551" s="98"/>
      <c r="E551" s="98"/>
      <c r="F551" s="122"/>
      <c r="G551" s="123"/>
      <c r="H551" s="121"/>
    </row>
    <row r="552" spans="2:8" x14ac:dyDescent="0.3">
      <c r="B552" s="137">
        <v>1</v>
      </c>
      <c r="C552" s="97" t="s">
        <v>199</v>
      </c>
      <c r="D552" s="100" t="s">
        <v>200</v>
      </c>
      <c r="E552" s="101">
        <v>0.2</v>
      </c>
      <c r="F552" s="124">
        <v>100000</v>
      </c>
      <c r="G552" s="83">
        <f t="shared" ref="G552:G555" si="60">E552*F552</f>
        <v>20000</v>
      </c>
      <c r="H552" s="121"/>
    </row>
    <row r="553" spans="2:8" x14ac:dyDescent="0.3">
      <c r="B553" s="137">
        <v>2</v>
      </c>
      <c r="C553" s="97" t="s">
        <v>471</v>
      </c>
      <c r="D553" s="100" t="s">
        <v>200</v>
      </c>
      <c r="E553" s="101">
        <v>0.1</v>
      </c>
      <c r="F553" s="124">
        <v>145000</v>
      </c>
      <c r="G553" s="83">
        <f t="shared" si="60"/>
        <v>14500</v>
      </c>
      <c r="H553" s="121"/>
    </row>
    <row r="554" spans="2:8" x14ac:dyDescent="0.3">
      <c r="B554" s="137">
        <v>3</v>
      </c>
      <c r="C554" s="97" t="s">
        <v>202</v>
      </c>
      <c r="D554" s="100" t="s">
        <v>200</v>
      </c>
      <c r="E554" s="101">
        <v>0.01</v>
      </c>
      <c r="F554" s="124">
        <v>175000</v>
      </c>
      <c r="G554" s="83">
        <f t="shared" si="60"/>
        <v>1750</v>
      </c>
      <c r="H554" s="121"/>
    </row>
    <row r="555" spans="2:8" x14ac:dyDescent="0.3">
      <c r="B555" s="137">
        <v>4</v>
      </c>
      <c r="C555" s="97" t="s">
        <v>203</v>
      </c>
      <c r="D555" s="100" t="s">
        <v>200</v>
      </c>
      <c r="E555" s="101">
        <v>3.3E-3</v>
      </c>
      <c r="F555" s="124">
        <v>200000</v>
      </c>
      <c r="G555" s="83">
        <f t="shared" si="60"/>
        <v>660</v>
      </c>
      <c r="H555" s="121"/>
    </row>
    <row r="556" spans="2:8" x14ac:dyDescent="0.3">
      <c r="B556" s="102" t="s">
        <v>234</v>
      </c>
      <c r="C556" s="103"/>
      <c r="D556" s="103"/>
      <c r="E556" s="116"/>
      <c r="F556" s="126"/>
      <c r="G556" s="125">
        <v>36910</v>
      </c>
      <c r="H556" s="128"/>
    </row>
    <row r="557" spans="2:8" x14ac:dyDescent="0.3">
      <c r="B557" s="134" t="s">
        <v>205</v>
      </c>
      <c r="C557" s="97" t="s">
        <v>206</v>
      </c>
      <c r="D557" s="98"/>
      <c r="E557" s="98"/>
      <c r="F557" s="122"/>
      <c r="G557" s="123"/>
      <c r="H557" s="121"/>
    </row>
    <row r="558" spans="2:8" x14ac:dyDescent="0.3">
      <c r="B558" s="306" t="s">
        <v>207</v>
      </c>
      <c r="C558" s="97" t="s">
        <v>472</v>
      </c>
      <c r="D558" s="307" t="s">
        <v>291</v>
      </c>
      <c r="E558" s="217">
        <v>3</v>
      </c>
      <c r="F558" s="124">
        <v>42000</v>
      </c>
      <c r="G558" s="83">
        <f t="shared" ref="G558:G562" si="61">E558*F558</f>
        <v>126000</v>
      </c>
      <c r="H558" s="121"/>
    </row>
    <row r="559" spans="2:8" x14ac:dyDescent="0.3">
      <c r="B559" s="306" t="s">
        <v>210</v>
      </c>
      <c r="C559" s="97" t="s">
        <v>478</v>
      </c>
      <c r="D559" s="307" t="s">
        <v>291</v>
      </c>
      <c r="E559" s="217">
        <v>2</v>
      </c>
      <c r="F559" s="124">
        <v>31000</v>
      </c>
      <c r="G559" s="83">
        <f t="shared" si="61"/>
        <v>62000</v>
      </c>
      <c r="H559" s="121"/>
    </row>
    <row r="560" spans="2:8" x14ac:dyDescent="0.3">
      <c r="B560" s="306" t="s">
        <v>213</v>
      </c>
      <c r="C560" s="97" t="s">
        <v>479</v>
      </c>
      <c r="D560" s="307" t="s">
        <v>291</v>
      </c>
      <c r="E560" s="217">
        <v>2</v>
      </c>
      <c r="F560" s="124">
        <v>22000</v>
      </c>
      <c r="G560" s="83">
        <f t="shared" si="61"/>
        <v>44000</v>
      </c>
      <c r="H560" s="121"/>
    </row>
    <row r="561" spans="2:8" x14ac:dyDescent="0.3">
      <c r="B561" s="306" t="s">
        <v>216</v>
      </c>
      <c r="C561" s="97" t="s">
        <v>474</v>
      </c>
      <c r="D561" s="307" t="s">
        <v>212</v>
      </c>
      <c r="E561" s="217">
        <v>0.1</v>
      </c>
      <c r="F561" s="124">
        <v>26000</v>
      </c>
      <c r="G561" s="83">
        <f t="shared" si="61"/>
        <v>2600</v>
      </c>
      <c r="H561" s="121"/>
    </row>
    <row r="562" spans="2:8" x14ac:dyDescent="0.3">
      <c r="B562" s="306" t="s">
        <v>480</v>
      </c>
      <c r="C562" s="97" t="s">
        <v>348</v>
      </c>
      <c r="D562" s="100" t="s">
        <v>212</v>
      </c>
      <c r="E562" s="105">
        <v>0.05</v>
      </c>
      <c r="F562" s="124">
        <v>45550</v>
      </c>
      <c r="G562" s="83">
        <f t="shared" si="61"/>
        <v>2277.5</v>
      </c>
      <c r="H562" s="121"/>
    </row>
    <row r="563" spans="2:8" x14ac:dyDescent="0.3">
      <c r="B563" s="102" t="s">
        <v>218</v>
      </c>
      <c r="C563" s="103"/>
      <c r="D563" s="103"/>
      <c r="E563" s="103"/>
      <c r="F563" s="126"/>
      <c r="G563" s="125">
        <v>236877.5</v>
      </c>
      <c r="H563" s="121"/>
    </row>
    <row r="564" spans="2:8" x14ac:dyDescent="0.3">
      <c r="B564" s="134" t="s">
        <v>219</v>
      </c>
      <c r="C564" s="97" t="s">
        <v>220</v>
      </c>
      <c r="D564" s="98"/>
      <c r="E564" s="98"/>
      <c r="F564" s="122"/>
      <c r="G564" s="123"/>
      <c r="H564" s="121"/>
    </row>
    <row r="565" spans="2:8" x14ac:dyDescent="0.3">
      <c r="B565" s="306">
        <v>1</v>
      </c>
      <c r="C565" s="97" t="s">
        <v>475</v>
      </c>
      <c r="D565" s="100" t="s">
        <v>212</v>
      </c>
      <c r="E565" s="105">
        <v>0.05</v>
      </c>
      <c r="F565" s="124">
        <v>3125</v>
      </c>
      <c r="G565" s="83">
        <f t="shared" ref="G565" si="62">E565*F565</f>
        <v>156.25</v>
      </c>
      <c r="H565" s="121"/>
    </row>
    <row r="566" spans="2:8" x14ac:dyDescent="0.3">
      <c r="B566" s="102" t="s">
        <v>221</v>
      </c>
      <c r="C566" s="103"/>
      <c r="D566" s="103"/>
      <c r="E566" s="103"/>
      <c r="F566" s="126"/>
      <c r="G566" s="108">
        <v>156.25</v>
      </c>
      <c r="H566" s="121"/>
    </row>
    <row r="567" spans="2:8" x14ac:dyDescent="0.3">
      <c r="B567" s="109" t="s">
        <v>222</v>
      </c>
      <c r="C567" s="110" t="s">
        <v>223</v>
      </c>
      <c r="D567" s="111"/>
      <c r="E567" s="111"/>
      <c r="F567" s="127"/>
      <c r="G567" s="125">
        <f>G566+G563+G556</f>
        <v>273943.75</v>
      </c>
      <c r="H567" s="121"/>
    </row>
    <row r="568" spans="2:8" x14ac:dyDescent="0.3">
      <c r="B568" s="109" t="s">
        <v>224</v>
      </c>
      <c r="C568" s="110" t="s">
        <v>225</v>
      </c>
      <c r="D568" s="111"/>
      <c r="E568" s="112"/>
      <c r="F568" s="129">
        <v>0.1</v>
      </c>
      <c r="G568" s="77">
        <f>G567*0.15</f>
        <v>41091.5625</v>
      </c>
      <c r="H568" s="121"/>
    </row>
    <row r="569" spans="2:8" ht="15" thickBot="1" x14ac:dyDescent="0.35">
      <c r="B569" s="113" t="s">
        <v>226</v>
      </c>
      <c r="C569" s="114" t="s">
        <v>227</v>
      </c>
      <c r="D569" s="115"/>
      <c r="E569" s="115"/>
      <c r="F569" s="130"/>
      <c r="G569" s="88">
        <f>G567+G568</f>
        <v>315035.3125</v>
      </c>
      <c r="H569" s="121"/>
    </row>
    <row r="573" spans="2:8" ht="15" thickBot="1" x14ac:dyDescent="0.35">
      <c r="B573" s="303">
        <v>1</v>
      </c>
      <c r="C573" s="132" t="s">
        <v>655</v>
      </c>
      <c r="D573" s="309"/>
      <c r="E573" s="309"/>
      <c r="F573" s="311"/>
      <c r="G573" s="311"/>
      <c r="H573" s="118">
        <f>ROUND(G594,-2)</f>
        <v>766800</v>
      </c>
    </row>
    <row r="574" spans="2:8" ht="28.2" thickTop="1" x14ac:dyDescent="0.3">
      <c r="B574" s="94" t="s">
        <v>191</v>
      </c>
      <c r="C574" s="95" t="s">
        <v>192</v>
      </c>
      <c r="D574" s="95" t="s">
        <v>193</v>
      </c>
      <c r="E574" s="95" t="s">
        <v>194</v>
      </c>
      <c r="F574" s="119" t="s">
        <v>195</v>
      </c>
      <c r="G574" s="120" t="s">
        <v>196</v>
      </c>
      <c r="H574" s="121"/>
    </row>
    <row r="575" spans="2:8" x14ac:dyDescent="0.3">
      <c r="B575" s="134" t="s">
        <v>197</v>
      </c>
      <c r="C575" s="97" t="s">
        <v>198</v>
      </c>
      <c r="D575" s="98"/>
      <c r="E575" s="98"/>
      <c r="F575" s="122"/>
      <c r="G575" s="123"/>
      <c r="H575" s="121"/>
    </row>
    <row r="576" spans="2:8" x14ac:dyDescent="0.3">
      <c r="B576" s="137">
        <v>1</v>
      </c>
      <c r="C576" s="97" t="s">
        <v>199</v>
      </c>
      <c r="D576" s="100" t="s">
        <v>200</v>
      </c>
      <c r="E576" s="101">
        <v>0.25</v>
      </c>
      <c r="F576" s="124">
        <v>100000</v>
      </c>
      <c r="G576" s="83">
        <f t="shared" ref="G576:G579" si="63">E576*F576</f>
        <v>25000</v>
      </c>
      <c r="H576" s="121"/>
    </row>
    <row r="577" spans="2:8" x14ac:dyDescent="0.3">
      <c r="B577" s="137">
        <v>2</v>
      </c>
      <c r="C577" s="97" t="s">
        <v>471</v>
      </c>
      <c r="D577" s="100" t="s">
        <v>200</v>
      </c>
      <c r="E577" s="101">
        <v>0.3</v>
      </c>
      <c r="F577" s="124">
        <v>145000</v>
      </c>
      <c r="G577" s="83">
        <f t="shared" si="63"/>
        <v>43500</v>
      </c>
      <c r="H577" s="121"/>
    </row>
    <row r="578" spans="2:8" x14ac:dyDescent="0.3">
      <c r="B578" s="137">
        <v>3</v>
      </c>
      <c r="C578" s="97" t="s">
        <v>202</v>
      </c>
      <c r="D578" s="100" t="s">
        <v>200</v>
      </c>
      <c r="E578" s="101">
        <v>0.17499999999999999</v>
      </c>
      <c r="F578" s="124">
        <v>175000</v>
      </c>
      <c r="G578" s="83">
        <f t="shared" si="63"/>
        <v>30624.999999999996</v>
      </c>
      <c r="H578" s="121"/>
    </row>
    <row r="579" spans="2:8" x14ac:dyDescent="0.3">
      <c r="B579" s="137">
        <v>4</v>
      </c>
      <c r="C579" s="97" t="s">
        <v>203</v>
      </c>
      <c r="D579" s="100" t="s">
        <v>200</v>
      </c>
      <c r="E579" s="101">
        <v>3.3E-3</v>
      </c>
      <c r="F579" s="124">
        <v>200000</v>
      </c>
      <c r="G579" s="83">
        <f t="shared" si="63"/>
        <v>660</v>
      </c>
      <c r="H579" s="121"/>
    </row>
    <row r="580" spans="2:8" x14ac:dyDescent="0.3">
      <c r="B580" s="102" t="s">
        <v>234</v>
      </c>
      <c r="C580" s="103"/>
      <c r="D580" s="103"/>
      <c r="E580" s="116"/>
      <c r="F580" s="126"/>
      <c r="G580" s="125">
        <f>SUM(G576:G579)</f>
        <v>99785</v>
      </c>
      <c r="H580" s="128"/>
    </row>
    <row r="581" spans="2:8" x14ac:dyDescent="0.3">
      <c r="B581" s="134" t="s">
        <v>205</v>
      </c>
      <c r="C581" s="97" t="s">
        <v>206</v>
      </c>
      <c r="D581" s="98"/>
      <c r="E581" s="98"/>
      <c r="F581" s="122"/>
      <c r="G581" s="123"/>
      <c r="H581" s="121"/>
    </row>
    <row r="582" spans="2:8" x14ac:dyDescent="0.3">
      <c r="B582" s="306" t="s">
        <v>207</v>
      </c>
      <c r="C582" s="97" t="s">
        <v>656</v>
      </c>
      <c r="D582" s="307" t="s">
        <v>291</v>
      </c>
      <c r="E582" s="217">
        <v>1</v>
      </c>
      <c r="F582" s="124">
        <v>450000</v>
      </c>
      <c r="G582" s="83">
        <f t="shared" ref="G582:G586" si="64">E582*F582</f>
        <v>450000</v>
      </c>
      <c r="H582" s="121"/>
    </row>
    <row r="583" spans="2:8" x14ac:dyDescent="0.3">
      <c r="B583" s="306" t="s">
        <v>210</v>
      </c>
      <c r="C583" s="97" t="s">
        <v>657</v>
      </c>
      <c r="D583" s="307" t="s">
        <v>291</v>
      </c>
      <c r="E583" s="217">
        <v>1.8</v>
      </c>
      <c r="F583" s="124">
        <v>15000</v>
      </c>
      <c r="G583" s="83">
        <f t="shared" si="64"/>
        <v>27000</v>
      </c>
      <c r="H583" s="121"/>
    </row>
    <row r="584" spans="2:8" x14ac:dyDescent="0.3">
      <c r="B584" s="306" t="s">
        <v>213</v>
      </c>
      <c r="C584" s="97" t="s">
        <v>658</v>
      </c>
      <c r="D584" s="307" t="s">
        <v>291</v>
      </c>
      <c r="E584" s="217">
        <v>1</v>
      </c>
      <c r="F584" s="124">
        <v>25000</v>
      </c>
      <c r="G584" s="83">
        <f t="shared" si="64"/>
        <v>25000</v>
      </c>
      <c r="H584" s="121"/>
    </row>
    <row r="585" spans="2:8" x14ac:dyDescent="0.3">
      <c r="B585" s="306" t="s">
        <v>216</v>
      </c>
      <c r="C585" s="97" t="s">
        <v>293</v>
      </c>
      <c r="D585" s="307" t="s">
        <v>212</v>
      </c>
      <c r="E585" s="217">
        <v>1</v>
      </c>
      <c r="F585" s="124">
        <v>15000</v>
      </c>
      <c r="G585" s="83">
        <f t="shared" si="64"/>
        <v>15000</v>
      </c>
      <c r="H585" s="121"/>
    </row>
    <row r="586" spans="2:8" x14ac:dyDescent="0.3">
      <c r="B586" s="306" t="s">
        <v>480</v>
      </c>
      <c r="C586" s="97" t="s">
        <v>659</v>
      </c>
      <c r="D586" s="100" t="s">
        <v>212</v>
      </c>
      <c r="E586" s="105">
        <v>1</v>
      </c>
      <c r="F586" s="124">
        <v>20000</v>
      </c>
      <c r="G586" s="83">
        <f t="shared" si="64"/>
        <v>20000</v>
      </c>
      <c r="H586" s="121"/>
    </row>
    <row r="587" spans="2:8" x14ac:dyDescent="0.3">
      <c r="B587" s="102" t="s">
        <v>218</v>
      </c>
      <c r="C587" s="103"/>
      <c r="D587" s="103"/>
      <c r="E587" s="103"/>
      <c r="F587" s="126"/>
      <c r="G587" s="125">
        <f>SUM(G582:G586)</f>
        <v>537000</v>
      </c>
      <c r="H587" s="121"/>
    </row>
    <row r="588" spans="2:8" x14ac:dyDescent="0.3">
      <c r="B588" s="134" t="s">
        <v>219</v>
      </c>
      <c r="C588" s="97" t="s">
        <v>220</v>
      </c>
      <c r="D588" s="98"/>
      <c r="E588" s="98"/>
      <c r="F588" s="122"/>
      <c r="G588" s="123"/>
      <c r="H588" s="121"/>
    </row>
    <row r="589" spans="2:8" x14ac:dyDescent="0.3">
      <c r="B589" s="134">
        <v>1</v>
      </c>
      <c r="C589" s="97" t="s">
        <v>660</v>
      </c>
      <c r="D589" s="98"/>
      <c r="E589" s="98">
        <v>0.02</v>
      </c>
      <c r="F589" s="122">
        <v>1000000</v>
      </c>
      <c r="G589" s="83">
        <f t="shared" ref="G589:G590" si="65">E589*F589</f>
        <v>20000</v>
      </c>
      <c r="H589" s="121"/>
    </row>
    <row r="590" spans="2:8" x14ac:dyDescent="0.3">
      <c r="B590" s="306">
        <v>2</v>
      </c>
      <c r="C590" s="97" t="s">
        <v>661</v>
      </c>
      <c r="D590" s="100" t="s">
        <v>212</v>
      </c>
      <c r="E590" s="105">
        <v>0.02</v>
      </c>
      <c r="F590" s="124">
        <v>500000</v>
      </c>
      <c r="G590" s="83">
        <f t="shared" si="65"/>
        <v>10000</v>
      </c>
      <c r="H590" s="121"/>
    </row>
    <row r="591" spans="2:8" x14ac:dyDescent="0.3">
      <c r="B591" s="102" t="s">
        <v>221</v>
      </c>
      <c r="C591" s="103"/>
      <c r="D591" s="103"/>
      <c r="E591" s="103"/>
      <c r="F591" s="126"/>
      <c r="G591" s="108">
        <f>SUM(G589:G590)</f>
        <v>30000</v>
      </c>
      <c r="H591" s="121"/>
    </row>
    <row r="592" spans="2:8" x14ac:dyDescent="0.3">
      <c r="B592" s="109" t="s">
        <v>222</v>
      </c>
      <c r="C592" s="110" t="s">
        <v>223</v>
      </c>
      <c r="D592" s="111"/>
      <c r="E592" s="111"/>
      <c r="F592" s="127"/>
      <c r="G592" s="125">
        <f>G591+G587+G580</f>
        <v>666785</v>
      </c>
      <c r="H592" s="121"/>
    </row>
    <row r="593" spans="2:17" x14ac:dyDescent="0.3">
      <c r="B593" s="109" t="s">
        <v>224</v>
      </c>
      <c r="C593" s="110" t="s">
        <v>225</v>
      </c>
      <c r="D593" s="111"/>
      <c r="E593" s="112"/>
      <c r="F593" s="129">
        <v>0.1</v>
      </c>
      <c r="G593" s="77">
        <f>G592*0.15</f>
        <v>100017.75</v>
      </c>
      <c r="H593" s="121"/>
    </row>
    <row r="594" spans="2:17" ht="15" thickBot="1" x14ac:dyDescent="0.35">
      <c r="B594" s="113" t="s">
        <v>226</v>
      </c>
      <c r="C594" s="114" t="s">
        <v>227</v>
      </c>
      <c r="D594" s="115"/>
      <c r="E594" s="115"/>
      <c r="F594" s="130"/>
      <c r="G594" s="88">
        <f>G592+G593</f>
        <v>766802.75</v>
      </c>
      <c r="H594" s="121"/>
    </row>
    <row r="595" spans="2:17" ht="15" thickTop="1" x14ac:dyDescent="0.3"/>
    <row r="597" spans="2:17" ht="15" thickBot="1" x14ac:dyDescent="0.35">
      <c r="B597" s="303">
        <v>2</v>
      </c>
      <c r="C597" s="132" t="s">
        <v>667</v>
      </c>
      <c r="D597" s="309"/>
      <c r="E597" s="309"/>
      <c r="F597" s="311"/>
      <c r="G597" s="311"/>
      <c r="H597" s="118">
        <f>ROUND(G613,-2)</f>
        <v>531200</v>
      </c>
      <c r="K597" s="303">
        <v>2</v>
      </c>
      <c r="L597" s="132" t="s">
        <v>667</v>
      </c>
      <c r="M597" s="309"/>
      <c r="N597" s="309"/>
      <c r="O597" s="311"/>
      <c r="P597" s="311"/>
      <c r="Q597" s="118">
        <f>ROUND(P613,-2)</f>
        <v>575500</v>
      </c>
    </row>
    <row r="598" spans="2:17" ht="42" thickTop="1" x14ac:dyDescent="0.3">
      <c r="B598" s="94" t="s">
        <v>191</v>
      </c>
      <c r="C598" s="95" t="s">
        <v>192</v>
      </c>
      <c r="D598" s="95" t="s">
        <v>193</v>
      </c>
      <c r="E598" s="95" t="s">
        <v>194</v>
      </c>
      <c r="F598" s="119" t="s">
        <v>195</v>
      </c>
      <c r="G598" s="120" t="s">
        <v>196</v>
      </c>
      <c r="H598" s="121"/>
      <c r="K598" s="94" t="s">
        <v>191</v>
      </c>
      <c r="L598" s="95" t="s">
        <v>192</v>
      </c>
      <c r="M598" s="95" t="s">
        <v>193</v>
      </c>
      <c r="N598" s="95" t="s">
        <v>194</v>
      </c>
      <c r="O598" s="119" t="s">
        <v>195</v>
      </c>
      <c r="P598" s="120" t="s">
        <v>196</v>
      </c>
      <c r="Q598" s="121"/>
    </row>
    <row r="599" spans="2:17" x14ac:dyDescent="0.3">
      <c r="B599" s="134"/>
      <c r="C599" s="97"/>
      <c r="D599" s="307"/>
      <c r="E599" s="98"/>
      <c r="F599" s="122"/>
      <c r="G599" s="123"/>
      <c r="H599" s="121"/>
      <c r="K599" s="134"/>
      <c r="L599" s="97"/>
      <c r="M599" s="307"/>
      <c r="N599" s="98"/>
      <c r="O599" s="122"/>
      <c r="P599" s="123"/>
      <c r="Q599" s="121"/>
    </row>
    <row r="600" spans="2:17" x14ac:dyDescent="0.3">
      <c r="B600" s="137"/>
      <c r="C600" s="393" t="s">
        <v>668</v>
      </c>
      <c r="D600" s="100" t="s">
        <v>107</v>
      </c>
      <c r="E600" s="101">
        <v>0.2</v>
      </c>
      <c r="F600" s="124"/>
      <c r="G600" s="83">
        <f t="shared" ref="G600:G605" si="66">E600*F600</f>
        <v>0</v>
      </c>
      <c r="H600" s="121"/>
      <c r="K600" s="137"/>
      <c r="L600" s="393" t="s">
        <v>668</v>
      </c>
      <c r="M600" s="100" t="s">
        <v>107</v>
      </c>
      <c r="N600" s="101">
        <v>3.05</v>
      </c>
      <c r="O600" s="124"/>
      <c r="P600" s="83">
        <f t="shared" ref="P600:P605" si="67">N600*O600</f>
        <v>0</v>
      </c>
      <c r="Q600" s="121"/>
    </row>
    <row r="601" spans="2:17" x14ac:dyDescent="0.3">
      <c r="B601" s="137"/>
      <c r="C601" s="393" t="s">
        <v>669</v>
      </c>
      <c r="D601" s="100" t="s">
        <v>107</v>
      </c>
      <c r="E601" s="101">
        <v>3.05</v>
      </c>
      <c r="F601" s="124"/>
      <c r="G601" s="83">
        <f t="shared" si="66"/>
        <v>0</v>
      </c>
      <c r="H601" s="121"/>
      <c r="K601" s="137"/>
      <c r="L601" s="393" t="s">
        <v>669</v>
      </c>
      <c r="M601" s="100" t="s">
        <v>107</v>
      </c>
      <c r="N601" s="101">
        <f>(0.05+0.03)</f>
        <v>0.08</v>
      </c>
      <c r="O601" s="124"/>
      <c r="P601" s="83">
        <f t="shared" si="67"/>
        <v>0</v>
      </c>
      <c r="Q601" s="121"/>
    </row>
    <row r="602" spans="2:17" x14ac:dyDescent="0.3">
      <c r="B602" s="137"/>
      <c r="C602" s="393" t="s">
        <v>670</v>
      </c>
      <c r="D602" s="100" t="s">
        <v>15</v>
      </c>
      <c r="E602" s="101">
        <f>E600*E601</f>
        <v>0.61</v>
      </c>
      <c r="F602" s="124"/>
      <c r="G602" s="83">
        <f t="shared" si="66"/>
        <v>0</v>
      </c>
      <c r="H602" s="121"/>
      <c r="K602" s="137"/>
      <c r="L602" s="393" t="s">
        <v>670</v>
      </c>
      <c r="M602" s="100" t="s">
        <v>15</v>
      </c>
      <c r="N602" s="101">
        <f>N600*N601</f>
        <v>0.24399999999999999</v>
      </c>
      <c r="O602" s="124"/>
      <c r="P602" s="83">
        <f t="shared" si="67"/>
        <v>0</v>
      </c>
      <c r="Q602" s="121"/>
    </row>
    <row r="603" spans="2:17" x14ac:dyDescent="0.3">
      <c r="B603" s="137"/>
      <c r="C603" s="393" t="s">
        <v>671</v>
      </c>
      <c r="D603" s="100" t="s">
        <v>672</v>
      </c>
      <c r="E603" s="101">
        <v>1.0999999999999999E-2</v>
      </c>
      <c r="F603" s="124"/>
      <c r="G603" s="83">
        <f t="shared" si="66"/>
        <v>0</v>
      </c>
      <c r="H603" s="121"/>
      <c r="K603" s="137"/>
      <c r="L603" s="393" t="s">
        <v>671</v>
      </c>
      <c r="M603" s="100" t="s">
        <v>17</v>
      </c>
      <c r="N603" s="101">
        <v>1.6E-2</v>
      </c>
      <c r="O603" s="124"/>
      <c r="P603" s="83">
        <f t="shared" si="67"/>
        <v>0</v>
      </c>
      <c r="Q603" s="121"/>
    </row>
    <row r="604" spans="2:17" x14ac:dyDescent="0.3">
      <c r="B604" s="102"/>
      <c r="C604" s="392" t="s">
        <v>673</v>
      </c>
      <c r="D604" s="394"/>
      <c r="E604" s="116"/>
      <c r="F604" s="126">
        <v>114000</v>
      </c>
      <c r="G604" s="125">
        <f>SUM(G600:G603)</f>
        <v>0</v>
      </c>
      <c r="H604" s="128"/>
      <c r="K604" s="102"/>
      <c r="L604" s="392" t="s">
        <v>673</v>
      </c>
      <c r="M604" s="394"/>
      <c r="N604" s="116"/>
      <c r="O604" s="126">
        <v>55000</v>
      </c>
      <c r="P604" s="125">
        <f>SUM(P600:P603)</f>
        <v>0</v>
      </c>
      <c r="Q604" s="128"/>
    </row>
    <row r="605" spans="2:17" x14ac:dyDescent="0.3">
      <c r="B605" s="134" t="s">
        <v>197</v>
      </c>
      <c r="C605" s="97" t="s">
        <v>674</v>
      </c>
      <c r="D605" s="307" t="s">
        <v>15</v>
      </c>
      <c r="E605" s="98">
        <v>1</v>
      </c>
      <c r="F605" s="122">
        <f>1/E602*F604</f>
        <v>186885.24590163934</v>
      </c>
      <c r="G605" s="83">
        <f t="shared" si="66"/>
        <v>186885.24590163934</v>
      </c>
      <c r="H605" s="121"/>
      <c r="K605" s="134" t="s">
        <v>197</v>
      </c>
      <c r="L605" s="97" t="s">
        <v>674</v>
      </c>
      <c r="M605" s="307" t="s">
        <v>15</v>
      </c>
      <c r="N605" s="98">
        <v>1</v>
      </c>
      <c r="O605" s="122">
        <f>1/N602*O604</f>
        <v>225409.83606557376</v>
      </c>
      <c r="P605" s="83">
        <f t="shared" ref="P605:P610" si="68">N605*O605</f>
        <v>225409.83606557376</v>
      </c>
      <c r="Q605" s="121"/>
    </row>
    <row r="606" spans="2:17" x14ac:dyDescent="0.3">
      <c r="B606" s="306"/>
      <c r="C606" s="97"/>
      <c r="D606" s="307"/>
      <c r="E606" s="217"/>
      <c r="F606" s="124"/>
      <c r="G606" s="83">
        <f t="shared" ref="G606:G608" si="69">E606*F606</f>
        <v>0</v>
      </c>
      <c r="H606" s="121"/>
      <c r="K606" s="306"/>
      <c r="L606" s="97"/>
      <c r="M606" s="307"/>
      <c r="N606" s="217"/>
      <c r="O606" s="124"/>
      <c r="P606" s="83">
        <f t="shared" si="68"/>
        <v>0</v>
      </c>
      <c r="Q606" s="121"/>
    </row>
    <row r="607" spans="2:17" x14ac:dyDescent="0.3">
      <c r="B607" s="306" t="s">
        <v>205</v>
      </c>
      <c r="C607" s="97" t="s">
        <v>675</v>
      </c>
      <c r="D607" s="307" t="s">
        <v>15</v>
      </c>
      <c r="E607" s="217">
        <v>1</v>
      </c>
      <c r="F607" s="124">
        <v>275000</v>
      </c>
      <c r="G607" s="83">
        <f t="shared" si="69"/>
        <v>275000</v>
      </c>
      <c r="H607" s="121"/>
      <c r="K607" s="306" t="s">
        <v>205</v>
      </c>
      <c r="L607" s="97" t="s">
        <v>675</v>
      </c>
      <c r="M607" s="307" t="s">
        <v>15</v>
      </c>
      <c r="N607" s="217">
        <v>1</v>
      </c>
      <c r="O607" s="124">
        <v>275000</v>
      </c>
      <c r="P607" s="83">
        <f t="shared" si="68"/>
        <v>275000</v>
      </c>
      <c r="Q607" s="121"/>
    </row>
    <row r="608" spans="2:17" x14ac:dyDescent="0.3">
      <c r="B608" s="306"/>
      <c r="C608" s="97"/>
      <c r="D608" s="307"/>
      <c r="E608" s="217"/>
      <c r="F608" s="124"/>
      <c r="G608" s="83">
        <f t="shared" si="69"/>
        <v>0</v>
      </c>
      <c r="H608" s="121"/>
      <c r="K608" s="306"/>
      <c r="L608" s="97"/>
      <c r="M608" s="307"/>
      <c r="N608" s="217"/>
      <c r="O608" s="124"/>
      <c r="P608" s="83">
        <f t="shared" si="68"/>
        <v>0</v>
      </c>
      <c r="Q608" s="121"/>
    </row>
    <row r="609" spans="2:17" x14ac:dyDescent="0.3">
      <c r="B609" s="306"/>
      <c r="C609" s="97"/>
      <c r="D609" s="100"/>
      <c r="E609" s="105"/>
      <c r="F609" s="124"/>
      <c r="G609" s="83">
        <f t="shared" ref="G609" si="70">E609*F609</f>
        <v>0</v>
      </c>
      <c r="H609" s="121"/>
      <c r="K609" s="306"/>
      <c r="L609" s="97"/>
      <c r="M609" s="100"/>
      <c r="N609" s="105"/>
      <c r="O609" s="124"/>
      <c r="P609" s="83">
        <f t="shared" si="68"/>
        <v>0</v>
      </c>
      <c r="Q609" s="121"/>
    </row>
    <row r="610" spans="2:17" x14ac:dyDescent="0.3">
      <c r="B610" s="102" t="s">
        <v>219</v>
      </c>
      <c r="C610" s="103"/>
      <c r="D610" s="103"/>
      <c r="E610" s="103"/>
      <c r="F610" s="126"/>
      <c r="G610" s="108">
        <f>SUM(G609:G609)</f>
        <v>0</v>
      </c>
      <c r="H610" s="121"/>
      <c r="K610" s="102" t="s">
        <v>219</v>
      </c>
      <c r="L610" s="103"/>
      <c r="M610" s="103"/>
      <c r="N610" s="103"/>
      <c r="O610" s="126"/>
      <c r="P610" s="108">
        <f>SUM(P609:P609)</f>
        <v>0</v>
      </c>
      <c r="Q610" s="121"/>
    </row>
    <row r="611" spans="2:17" x14ac:dyDescent="0.3">
      <c r="B611" s="109" t="s">
        <v>222</v>
      </c>
      <c r="C611" s="110" t="s">
        <v>223</v>
      </c>
      <c r="D611" s="111"/>
      <c r="E611" s="111"/>
      <c r="F611" s="127"/>
      <c r="G611" s="125">
        <f>SUM(G599:G610)</f>
        <v>461885.24590163934</v>
      </c>
      <c r="H611" s="121"/>
      <c r="K611" s="109" t="s">
        <v>222</v>
      </c>
      <c r="L611" s="110" t="s">
        <v>223</v>
      </c>
      <c r="M611" s="111"/>
      <c r="N611" s="111"/>
      <c r="O611" s="127"/>
      <c r="P611" s="125">
        <f>SUM(P599:P610)</f>
        <v>500409.83606557373</v>
      </c>
      <c r="Q611" s="121"/>
    </row>
    <row r="612" spans="2:17" x14ac:dyDescent="0.3">
      <c r="B612" s="109" t="s">
        <v>224</v>
      </c>
      <c r="C612" s="110" t="s">
        <v>225</v>
      </c>
      <c r="D612" s="111"/>
      <c r="E612" s="112"/>
      <c r="F612" s="129">
        <v>0.1</v>
      </c>
      <c r="G612" s="77">
        <f>G611*0.15</f>
        <v>69282.786885245892</v>
      </c>
      <c r="H612" s="121"/>
      <c r="K612" s="109" t="s">
        <v>224</v>
      </c>
      <c r="L612" s="110" t="s">
        <v>225</v>
      </c>
      <c r="M612" s="111"/>
      <c r="N612" s="112"/>
      <c r="O612" s="129">
        <v>0.1</v>
      </c>
      <c r="P612" s="77">
        <f>P611*0.15</f>
        <v>75061.475409836057</v>
      </c>
      <c r="Q612" s="121"/>
    </row>
    <row r="613" spans="2:17" ht="15" thickBot="1" x14ac:dyDescent="0.35">
      <c r="B613" s="113" t="s">
        <v>226</v>
      </c>
      <c r="C613" s="114" t="s">
        <v>227</v>
      </c>
      <c r="D613" s="115"/>
      <c r="E613" s="115"/>
      <c r="F613" s="130"/>
      <c r="G613" s="88">
        <f>G611+G612</f>
        <v>531168.03278688528</v>
      </c>
      <c r="H613" s="121"/>
      <c r="K613" s="113" t="s">
        <v>226</v>
      </c>
      <c r="L613" s="114" t="s">
        <v>227</v>
      </c>
      <c r="M613" s="115"/>
      <c r="N613" s="115"/>
      <c r="O613" s="130"/>
      <c r="P613" s="88">
        <f>P611+P612</f>
        <v>575471.31147540978</v>
      </c>
      <c r="Q613" s="121"/>
    </row>
    <row r="614" spans="2:17" ht="15" thickTop="1" x14ac:dyDescent="0.3"/>
    <row r="616" spans="2:17" x14ac:dyDescent="0.3">
      <c r="B616" s="56"/>
      <c r="C616" s="56"/>
      <c r="D616" s="56"/>
      <c r="E616" s="170"/>
      <c r="F616" s="77"/>
      <c r="G616" s="77"/>
      <c r="H616" s="77"/>
    </row>
    <row r="617" spans="2:17" x14ac:dyDescent="0.3">
      <c r="B617" s="395" t="s">
        <v>678</v>
      </c>
      <c r="C617" s="396" t="s">
        <v>679</v>
      </c>
      <c r="D617" s="396"/>
      <c r="E617" s="396"/>
      <c r="F617" s="396"/>
      <c r="G617" s="396"/>
      <c r="H617" s="397">
        <f>ROUNDDOWN(G642,-2)</f>
        <v>2488700</v>
      </c>
    </row>
    <row r="618" spans="2:17" ht="27.6" x14ac:dyDescent="0.3">
      <c r="B618" s="398" t="s">
        <v>191</v>
      </c>
      <c r="C618" s="398" t="s">
        <v>192</v>
      </c>
      <c r="D618" s="398" t="s">
        <v>193</v>
      </c>
      <c r="E618" s="398" t="s">
        <v>194</v>
      </c>
      <c r="F618" s="398" t="s">
        <v>195</v>
      </c>
      <c r="G618" s="398" t="s">
        <v>196</v>
      </c>
      <c r="H618" s="399"/>
    </row>
    <row r="619" spans="2:17" x14ac:dyDescent="0.3">
      <c r="B619" s="400" t="s">
        <v>197</v>
      </c>
      <c r="C619" s="401" t="s">
        <v>198</v>
      </c>
      <c r="D619" s="402"/>
      <c r="E619" s="402"/>
      <c r="F619" s="402"/>
      <c r="G619" s="402"/>
      <c r="H619" s="399"/>
    </row>
    <row r="620" spans="2:17" x14ac:dyDescent="0.3">
      <c r="B620" s="403">
        <v>1</v>
      </c>
      <c r="C620" s="401" t="s">
        <v>199</v>
      </c>
      <c r="D620" s="404" t="s">
        <v>200</v>
      </c>
      <c r="E620" s="405">
        <v>0.48</v>
      </c>
      <c r="F620" s="406">
        <f>VLOOKUP(C620,upahbahan,3,FALSE)</f>
        <v>100000</v>
      </c>
      <c r="G620" s="406">
        <f>E620*F620</f>
        <v>48000</v>
      </c>
      <c r="H620" s="399"/>
    </row>
    <row r="621" spans="2:17" x14ac:dyDescent="0.3">
      <c r="B621" s="403">
        <v>2</v>
      </c>
      <c r="C621" s="401" t="s">
        <v>201</v>
      </c>
      <c r="D621" s="404" t="s">
        <v>200</v>
      </c>
      <c r="E621" s="405">
        <v>0.12</v>
      </c>
      <c r="F621" s="406">
        <f>VLOOKUP(C621,upahbahan,3,FALSE)</f>
        <v>145000</v>
      </c>
      <c r="G621" s="406">
        <f>E621*F621</f>
        <v>17400</v>
      </c>
      <c r="H621" s="399"/>
    </row>
    <row r="622" spans="2:17" x14ac:dyDescent="0.3">
      <c r="B622" s="403">
        <v>3</v>
      </c>
      <c r="C622" s="401" t="s">
        <v>680</v>
      </c>
      <c r="D622" s="404" t="s">
        <v>681</v>
      </c>
      <c r="E622" s="405">
        <v>1.2E-2</v>
      </c>
      <c r="F622" s="406">
        <f>VLOOKUP(C622,upahbahan,3,FALSE)</f>
        <v>175000</v>
      </c>
      <c r="G622" s="406">
        <f>E622*F622</f>
        <v>2100</v>
      </c>
      <c r="H622" s="399"/>
    </row>
    <row r="623" spans="2:17" x14ac:dyDescent="0.3">
      <c r="B623" s="403">
        <v>4</v>
      </c>
      <c r="C623" s="401" t="s">
        <v>203</v>
      </c>
      <c r="D623" s="404" t="s">
        <v>200</v>
      </c>
      <c r="E623" s="405">
        <v>4.8000000000000001E-2</v>
      </c>
      <c r="F623" s="406">
        <f>VLOOKUP(C623,upahbahan,3,FALSE)</f>
        <v>200000</v>
      </c>
      <c r="G623" s="406">
        <f>E623*F623</f>
        <v>9600</v>
      </c>
      <c r="H623" s="399"/>
    </row>
    <row r="624" spans="2:17" x14ac:dyDescent="0.3">
      <c r="B624" s="407" t="s">
        <v>234</v>
      </c>
      <c r="C624" s="408"/>
      <c r="D624" s="408"/>
      <c r="E624" s="409"/>
      <c r="F624" s="410"/>
      <c r="G624" s="406">
        <f>SUM(G620:G623)</f>
        <v>77100</v>
      </c>
      <c r="H624" s="411"/>
    </row>
    <row r="625" spans="2:8" x14ac:dyDescent="0.3">
      <c r="B625" s="400" t="s">
        <v>205</v>
      </c>
      <c r="C625" s="401" t="s">
        <v>206</v>
      </c>
      <c r="D625" s="402"/>
      <c r="E625" s="402"/>
      <c r="F625" s="402"/>
      <c r="G625" s="402"/>
      <c r="H625" s="399"/>
    </row>
    <row r="626" spans="2:8" x14ac:dyDescent="0.3">
      <c r="B626" s="400">
        <v>1</v>
      </c>
      <c r="C626" s="401" t="s">
        <v>682</v>
      </c>
      <c r="D626" s="412" t="s">
        <v>215</v>
      </c>
      <c r="E626" s="413">
        <v>1.02</v>
      </c>
      <c r="F626" s="406">
        <f t="shared" ref="F626:F634" si="71">VLOOKUP(C626,upahbahan,3,FALSE)</f>
        <v>1001900</v>
      </c>
      <c r="G626" s="406">
        <f t="shared" ref="G626:G634" si="72">E626*F626</f>
        <v>1021938</v>
      </c>
      <c r="H626" s="399"/>
    </row>
    <row r="627" spans="2:8" x14ac:dyDescent="0.3">
      <c r="B627" s="400">
        <v>2</v>
      </c>
      <c r="C627" s="401" t="s">
        <v>683</v>
      </c>
      <c r="D627" s="412" t="s">
        <v>215</v>
      </c>
      <c r="E627" s="413">
        <v>2.52E-2</v>
      </c>
      <c r="F627" s="406">
        <f t="shared" si="71"/>
        <v>10214200</v>
      </c>
      <c r="G627" s="406">
        <f t="shared" si="72"/>
        <v>257397.84</v>
      </c>
      <c r="H627" s="399"/>
    </row>
    <row r="628" spans="2:8" ht="27.6" x14ac:dyDescent="0.3">
      <c r="B628" s="400">
        <v>3</v>
      </c>
      <c r="C628" s="401" t="s">
        <v>684</v>
      </c>
      <c r="D628" s="412" t="s">
        <v>248</v>
      </c>
      <c r="E628" s="413">
        <v>0.25459999999999999</v>
      </c>
      <c r="F628" s="406">
        <f t="shared" si="71"/>
        <v>152600</v>
      </c>
      <c r="G628" s="406">
        <f t="shared" si="72"/>
        <v>38851.96</v>
      </c>
      <c r="H628" s="399"/>
    </row>
    <row r="629" spans="2:8" x14ac:dyDescent="0.3">
      <c r="B629" s="400">
        <v>4</v>
      </c>
      <c r="C629" s="401" t="s">
        <v>685</v>
      </c>
      <c r="D629" s="412" t="s">
        <v>686</v>
      </c>
      <c r="E629" s="413">
        <v>0.1159</v>
      </c>
      <c r="F629" s="406">
        <f t="shared" si="71"/>
        <v>18000</v>
      </c>
      <c r="G629" s="406">
        <f t="shared" si="72"/>
        <v>2086.2000000000003</v>
      </c>
      <c r="H629" s="399"/>
    </row>
    <row r="630" spans="2:8" x14ac:dyDescent="0.3">
      <c r="B630" s="400">
        <v>5</v>
      </c>
      <c r="C630" s="401" t="s">
        <v>687</v>
      </c>
      <c r="D630" s="412" t="s">
        <v>686</v>
      </c>
      <c r="E630" s="413">
        <v>0.625</v>
      </c>
      <c r="F630" s="406">
        <f t="shared" si="71"/>
        <v>22000</v>
      </c>
      <c r="G630" s="406">
        <f t="shared" si="72"/>
        <v>13750</v>
      </c>
      <c r="H630" s="399"/>
    </row>
    <row r="631" spans="2:8" x14ac:dyDescent="0.3">
      <c r="B631" s="400">
        <v>6</v>
      </c>
      <c r="C631" s="401" t="s">
        <v>688</v>
      </c>
      <c r="D631" s="412" t="s">
        <v>689</v>
      </c>
      <c r="E631" s="413">
        <v>1</v>
      </c>
      <c r="F631" s="406">
        <f t="shared" si="71"/>
        <v>44100</v>
      </c>
      <c r="G631" s="406">
        <f t="shared" si="72"/>
        <v>44100</v>
      </c>
      <c r="H631" s="399"/>
    </row>
    <row r="632" spans="2:8" x14ac:dyDescent="0.3">
      <c r="B632" s="400">
        <v>7</v>
      </c>
      <c r="C632" s="401" t="s">
        <v>690</v>
      </c>
      <c r="D632" s="412" t="s">
        <v>686</v>
      </c>
      <c r="E632" s="413">
        <v>0.41670000000000001</v>
      </c>
      <c r="F632" s="406">
        <f t="shared" si="71"/>
        <v>46000</v>
      </c>
      <c r="G632" s="406">
        <f t="shared" si="72"/>
        <v>19168.2</v>
      </c>
      <c r="H632" s="399"/>
    </row>
    <row r="633" spans="2:8" x14ac:dyDescent="0.3">
      <c r="B633" s="414"/>
      <c r="C633" s="401" t="s">
        <v>691</v>
      </c>
      <c r="D633" s="412" t="s">
        <v>686</v>
      </c>
      <c r="E633" s="413">
        <v>38.7836</v>
      </c>
      <c r="F633" s="406">
        <f t="shared" si="71"/>
        <v>15367.965367965367</v>
      </c>
      <c r="G633" s="406">
        <f t="shared" si="72"/>
        <v>596025.02164502162</v>
      </c>
      <c r="H633" s="399"/>
    </row>
    <row r="634" spans="2:8" x14ac:dyDescent="0.3">
      <c r="B634" s="414"/>
      <c r="C634" s="401" t="s">
        <v>692</v>
      </c>
      <c r="D634" s="412" t="s">
        <v>686</v>
      </c>
      <c r="E634" s="413">
        <v>6.6289999999999996</v>
      </c>
      <c r="F634" s="406">
        <f t="shared" si="71"/>
        <v>17721.518987341773</v>
      </c>
      <c r="G634" s="406">
        <f t="shared" si="72"/>
        <v>117475.9493670886</v>
      </c>
      <c r="H634" s="399"/>
    </row>
    <row r="635" spans="2:8" x14ac:dyDescent="0.3">
      <c r="B635" s="407" t="s">
        <v>218</v>
      </c>
      <c r="C635" s="408"/>
      <c r="D635" s="408"/>
      <c r="E635" s="408"/>
      <c r="F635" s="415"/>
      <c r="G635" s="406">
        <f>SUM(G626:G634)</f>
        <v>2110793.1710121101</v>
      </c>
      <c r="H635" s="399"/>
    </row>
    <row r="636" spans="2:8" x14ac:dyDescent="0.3">
      <c r="B636" s="400" t="s">
        <v>219</v>
      </c>
      <c r="C636" s="401" t="s">
        <v>220</v>
      </c>
      <c r="D636" s="412"/>
      <c r="E636" s="402"/>
      <c r="F636" s="402"/>
      <c r="G636" s="402"/>
      <c r="H636" s="399"/>
    </row>
    <row r="637" spans="2:8" x14ac:dyDescent="0.3">
      <c r="B637" s="414">
        <v>1</v>
      </c>
      <c r="C637" s="401" t="s">
        <v>693</v>
      </c>
      <c r="D637" s="412" t="s">
        <v>694</v>
      </c>
      <c r="E637" s="416">
        <v>8.6099999999999996E-2</v>
      </c>
      <c r="F637" s="406">
        <f>VLOOKUP(C637,upahbahan,3,FALSE)</f>
        <v>800000</v>
      </c>
      <c r="G637" s="406">
        <f>E637*F637</f>
        <v>68880</v>
      </c>
      <c r="H637" s="399"/>
    </row>
    <row r="638" spans="2:8" x14ac:dyDescent="0.3">
      <c r="B638" s="414">
        <v>2</v>
      </c>
      <c r="C638" s="401" t="s">
        <v>695</v>
      </c>
      <c r="D638" s="412" t="s">
        <v>694</v>
      </c>
      <c r="E638" s="416">
        <v>7.1999999999999998E-3</v>
      </c>
      <c r="F638" s="406">
        <f>VLOOKUP(C638,upahbahan,3,FALSE)</f>
        <v>800000</v>
      </c>
      <c r="G638" s="406">
        <f>E638*F638</f>
        <v>5760</v>
      </c>
      <c r="H638" s="399"/>
    </row>
    <row r="639" spans="2:8" x14ac:dyDescent="0.3">
      <c r="B639" s="407" t="s">
        <v>221</v>
      </c>
      <c r="C639" s="408"/>
      <c r="D639" s="408"/>
      <c r="E639" s="408"/>
      <c r="F639" s="415"/>
      <c r="G639" s="417">
        <f>SUM(G636:G638)</f>
        <v>74640</v>
      </c>
      <c r="H639" s="399"/>
    </row>
    <row r="640" spans="2:8" x14ac:dyDescent="0.3">
      <c r="B640" s="418" t="s">
        <v>222</v>
      </c>
      <c r="C640" s="419" t="s">
        <v>223</v>
      </c>
      <c r="D640" s="420"/>
      <c r="E640" s="420"/>
      <c r="F640" s="421"/>
      <c r="G640" s="422">
        <f>G639+G635+G624</f>
        <v>2262533.1710121101</v>
      </c>
      <c r="H640" s="423"/>
    </row>
    <row r="641" spans="2:8" x14ac:dyDescent="0.3">
      <c r="B641" s="418" t="s">
        <v>224</v>
      </c>
      <c r="C641" s="419" t="s">
        <v>225</v>
      </c>
      <c r="D641" s="420"/>
      <c r="E641" s="421"/>
      <c r="F641" s="424">
        <v>0.1</v>
      </c>
      <c r="G641" s="406">
        <f>G640*F641</f>
        <v>226253.31710121103</v>
      </c>
      <c r="H641" s="423"/>
    </row>
    <row r="642" spans="2:8" x14ac:dyDescent="0.3">
      <c r="B642" s="418" t="s">
        <v>226</v>
      </c>
      <c r="C642" s="419" t="s">
        <v>227</v>
      </c>
      <c r="D642" s="420"/>
      <c r="E642" s="420"/>
      <c r="F642" s="421"/>
      <c r="G642" s="425">
        <f>SUM(G640:G641)</f>
        <v>2488786.4881133209</v>
      </c>
      <c r="H642" s="423"/>
    </row>
    <row r="645" spans="2:8" x14ac:dyDescent="0.3">
      <c r="B645" s="395" t="s">
        <v>696</v>
      </c>
      <c r="C645" s="396" t="s">
        <v>697</v>
      </c>
      <c r="D645" s="396"/>
      <c r="E645" s="396"/>
      <c r="F645" s="396"/>
      <c r="G645" s="396"/>
      <c r="H645" s="397">
        <f>ROUNDDOWN(G663,-2)</f>
        <v>177700</v>
      </c>
    </row>
    <row r="646" spans="2:8" ht="27.6" x14ac:dyDescent="0.3">
      <c r="B646" s="398" t="s">
        <v>191</v>
      </c>
      <c r="C646" s="398" t="s">
        <v>192</v>
      </c>
      <c r="D646" s="398" t="s">
        <v>193</v>
      </c>
      <c r="E646" s="398" t="s">
        <v>194</v>
      </c>
      <c r="F646" s="398" t="s">
        <v>195</v>
      </c>
      <c r="G646" s="398" t="s">
        <v>196</v>
      </c>
      <c r="H646" s="399"/>
    </row>
    <row r="647" spans="2:8" x14ac:dyDescent="0.3">
      <c r="B647" s="400" t="s">
        <v>197</v>
      </c>
      <c r="C647" s="401" t="s">
        <v>198</v>
      </c>
      <c r="D647" s="402"/>
      <c r="E647" s="402"/>
      <c r="F647" s="402"/>
      <c r="G647" s="402"/>
      <c r="H647" s="399"/>
    </row>
    <row r="648" spans="2:8" x14ac:dyDescent="0.3">
      <c r="B648" s="403">
        <v>1</v>
      </c>
      <c r="C648" s="401" t="s">
        <v>199</v>
      </c>
      <c r="D648" s="404" t="s">
        <v>200</v>
      </c>
      <c r="E648" s="426">
        <v>0.1</v>
      </c>
      <c r="F648" s="406">
        <f>VLOOKUP(C648,upahbahan,3,FALSE)</f>
        <v>100000</v>
      </c>
      <c r="G648" s="406">
        <f>E648*F648</f>
        <v>10000</v>
      </c>
      <c r="H648" s="399"/>
    </row>
    <row r="649" spans="2:8" x14ac:dyDescent="0.3">
      <c r="B649" s="403">
        <v>2</v>
      </c>
      <c r="C649" s="401" t="s">
        <v>201</v>
      </c>
      <c r="D649" s="404" t="s">
        <v>200</v>
      </c>
      <c r="E649" s="426">
        <v>0.05</v>
      </c>
      <c r="F649" s="406">
        <f>VLOOKUP(C649,upahbahan,3,FALSE)</f>
        <v>145000</v>
      </c>
      <c r="G649" s="406">
        <f>E649*F649</f>
        <v>7250</v>
      </c>
      <c r="H649" s="399"/>
    </row>
    <row r="650" spans="2:8" x14ac:dyDescent="0.3">
      <c r="B650" s="403">
        <v>3</v>
      </c>
      <c r="C650" s="401" t="s">
        <v>202</v>
      </c>
      <c r="D650" s="404" t="s">
        <v>200</v>
      </c>
      <c r="E650" s="426">
        <v>5.0000000000000001E-3</v>
      </c>
      <c r="F650" s="406">
        <f>VLOOKUP(C650,upahbahan,3,FALSE)</f>
        <v>175000</v>
      </c>
      <c r="G650" s="406">
        <f>E650*F650</f>
        <v>875</v>
      </c>
      <c r="H650" s="399"/>
    </row>
    <row r="651" spans="2:8" x14ac:dyDescent="0.3">
      <c r="B651" s="403">
        <v>4</v>
      </c>
      <c r="C651" s="401" t="s">
        <v>203</v>
      </c>
      <c r="D651" s="404" t="s">
        <v>200</v>
      </c>
      <c r="E651" s="426">
        <v>2E-3</v>
      </c>
      <c r="F651" s="406">
        <f>VLOOKUP(C651,upahbahan,3,FALSE)</f>
        <v>200000</v>
      </c>
      <c r="G651" s="406">
        <f>E651*F651</f>
        <v>400</v>
      </c>
      <c r="H651" s="399"/>
    </row>
    <row r="652" spans="2:8" x14ac:dyDescent="0.3">
      <c r="B652" s="407" t="s">
        <v>234</v>
      </c>
      <c r="C652" s="408"/>
      <c r="D652" s="408"/>
      <c r="E652" s="409"/>
      <c r="F652" s="410"/>
      <c r="G652" s="406">
        <f>SUM(G648:G651)</f>
        <v>18525</v>
      </c>
      <c r="H652" s="411"/>
    </row>
    <row r="653" spans="2:8" x14ac:dyDescent="0.3">
      <c r="B653" s="400" t="s">
        <v>205</v>
      </c>
      <c r="C653" s="401" t="s">
        <v>206</v>
      </c>
      <c r="D653" s="402"/>
      <c r="E653" s="402"/>
      <c r="F653" s="402"/>
      <c r="G653" s="402"/>
      <c r="H653" s="399"/>
    </row>
    <row r="654" spans="2:8" x14ac:dyDescent="0.3">
      <c r="B654" s="400">
        <v>1</v>
      </c>
      <c r="C654" s="401" t="s">
        <v>698</v>
      </c>
      <c r="D654" s="412" t="s">
        <v>277</v>
      </c>
      <c r="E654" s="427">
        <v>1.05</v>
      </c>
      <c r="F654" s="406">
        <f>VLOOKUP(C654,upahbahan,3,FALSE)</f>
        <v>97000</v>
      </c>
      <c r="G654" s="406">
        <f>E654*F654</f>
        <v>101850</v>
      </c>
      <c r="H654" s="399"/>
    </row>
    <row r="655" spans="2:8" x14ac:dyDescent="0.3">
      <c r="B655" s="400">
        <v>2</v>
      </c>
      <c r="C655" s="401" t="s">
        <v>699</v>
      </c>
      <c r="D655" s="412" t="s">
        <v>215</v>
      </c>
      <c r="E655" s="427">
        <v>4.0000000000000001E-3</v>
      </c>
      <c r="F655" s="406">
        <f>VLOOKUP(C655,upahbahan,3,FALSE)</f>
        <v>300000</v>
      </c>
      <c r="G655" s="406">
        <f>E655*F655</f>
        <v>1200</v>
      </c>
      <c r="H655" s="399"/>
    </row>
    <row r="656" spans="2:8" x14ac:dyDescent="0.3">
      <c r="B656" s="400">
        <v>3</v>
      </c>
      <c r="C656" s="401" t="s">
        <v>700</v>
      </c>
      <c r="D656" s="412" t="s">
        <v>215</v>
      </c>
      <c r="E656" s="427">
        <v>9.6000000000000002E-2</v>
      </c>
      <c r="F656" s="406">
        <f>VLOOKUP(C656,upahbahan,3,FALSE)</f>
        <v>370200</v>
      </c>
      <c r="G656" s="406">
        <f>E656*F656</f>
        <v>35539.200000000004</v>
      </c>
      <c r="H656" s="399"/>
    </row>
    <row r="657" spans="2:17" x14ac:dyDescent="0.3">
      <c r="B657" s="407" t="s">
        <v>218</v>
      </c>
      <c r="C657" s="408"/>
      <c r="D657" s="408"/>
      <c r="E657" s="408"/>
      <c r="F657" s="415"/>
      <c r="G657" s="406">
        <f>SUM(G654:G656)</f>
        <v>138589.20000000001</v>
      </c>
      <c r="H657" s="399"/>
    </row>
    <row r="658" spans="2:17" x14ac:dyDescent="0.3">
      <c r="B658" s="400" t="s">
        <v>219</v>
      </c>
      <c r="C658" s="401" t="s">
        <v>220</v>
      </c>
      <c r="D658" s="402"/>
      <c r="E658" s="402"/>
      <c r="F658" s="402"/>
      <c r="G658" s="402"/>
      <c r="H658" s="399"/>
    </row>
    <row r="659" spans="2:17" x14ac:dyDescent="0.3">
      <c r="B659" s="414">
        <v>1</v>
      </c>
      <c r="C659" s="401" t="s">
        <v>701</v>
      </c>
      <c r="D659" s="416" t="s">
        <v>694</v>
      </c>
      <c r="E659" s="416">
        <v>1.286E-2</v>
      </c>
      <c r="F659" s="406">
        <f>VLOOKUP(C659,upahbahan,3,FALSE)</f>
        <v>350000</v>
      </c>
      <c r="G659" s="406">
        <f>E659*F659</f>
        <v>4501</v>
      </c>
      <c r="H659" s="399"/>
    </row>
    <row r="660" spans="2:17" x14ac:dyDescent="0.3">
      <c r="B660" s="407" t="s">
        <v>221</v>
      </c>
      <c r="C660" s="408"/>
      <c r="D660" s="408"/>
      <c r="E660" s="408"/>
      <c r="F660" s="415"/>
      <c r="G660" s="428">
        <f>SUM(G659)</f>
        <v>4501</v>
      </c>
      <c r="H660" s="399"/>
    </row>
    <row r="661" spans="2:17" x14ac:dyDescent="0.3">
      <c r="B661" s="418" t="s">
        <v>222</v>
      </c>
      <c r="C661" s="419" t="s">
        <v>223</v>
      </c>
      <c r="D661" s="420"/>
      <c r="E661" s="420"/>
      <c r="F661" s="421"/>
      <c r="G661" s="422">
        <f>G660+G657+G652</f>
        <v>161615.20000000001</v>
      </c>
      <c r="H661" s="423"/>
    </row>
    <row r="662" spans="2:17" x14ac:dyDescent="0.3">
      <c r="B662" s="418" t="s">
        <v>224</v>
      </c>
      <c r="C662" s="419" t="s">
        <v>225</v>
      </c>
      <c r="D662" s="420"/>
      <c r="E662" s="421"/>
      <c r="F662" s="424">
        <v>0.1</v>
      </c>
      <c r="G662" s="406">
        <f>G661*F662</f>
        <v>16161.520000000002</v>
      </c>
      <c r="H662" s="423"/>
    </row>
    <row r="663" spans="2:17" x14ac:dyDescent="0.3">
      <c r="B663" s="418" t="s">
        <v>226</v>
      </c>
      <c r="C663" s="419" t="s">
        <v>227</v>
      </c>
      <c r="D663" s="420"/>
      <c r="E663" s="420"/>
      <c r="F663" s="421"/>
      <c r="G663" s="425">
        <f>SUM(G661:G662)</f>
        <v>177776.72</v>
      </c>
      <c r="H663" s="423"/>
    </row>
    <row r="666" spans="2:17" ht="15" thickBot="1" x14ac:dyDescent="0.35">
      <c r="B666" s="429" t="s">
        <v>702</v>
      </c>
      <c r="C666" s="430" t="s">
        <v>703</v>
      </c>
      <c r="D666" s="430"/>
      <c r="E666" s="430"/>
      <c r="F666" s="430"/>
      <c r="G666" s="430"/>
      <c r="H666" s="431">
        <f>ROUNDDOWN(G683,-2)</f>
        <v>316700</v>
      </c>
      <c r="K666" s="399" t="s">
        <v>705</v>
      </c>
      <c r="L666" s="461" t="s">
        <v>706</v>
      </c>
      <c r="M666" s="462"/>
      <c r="N666" s="462"/>
      <c r="O666" s="462"/>
      <c r="P666" s="462"/>
      <c r="Q666" s="397">
        <f>ROUNDDOWN(P683,-2)</f>
        <v>142400</v>
      </c>
    </row>
    <row r="667" spans="2:17" ht="42" thickTop="1" x14ac:dyDescent="0.3">
      <c r="B667" s="432" t="s">
        <v>191</v>
      </c>
      <c r="C667" s="433" t="s">
        <v>192</v>
      </c>
      <c r="D667" s="433" t="s">
        <v>193</v>
      </c>
      <c r="E667" s="433" t="s">
        <v>194</v>
      </c>
      <c r="F667" s="433" t="s">
        <v>195</v>
      </c>
      <c r="G667" s="434" t="s">
        <v>196</v>
      </c>
      <c r="H667" s="435"/>
      <c r="K667" s="432" t="s">
        <v>191</v>
      </c>
      <c r="L667" s="433" t="s">
        <v>192</v>
      </c>
      <c r="M667" s="433" t="s">
        <v>193</v>
      </c>
      <c r="N667" s="433" t="s">
        <v>194</v>
      </c>
      <c r="O667" s="433" t="s">
        <v>195</v>
      </c>
      <c r="P667" s="434" t="s">
        <v>196</v>
      </c>
      <c r="Q667" s="463"/>
    </row>
    <row r="668" spans="2:17" x14ac:dyDescent="0.3">
      <c r="B668" s="436" t="s">
        <v>197</v>
      </c>
      <c r="C668" s="437" t="s">
        <v>198</v>
      </c>
      <c r="D668" s="438"/>
      <c r="E668" s="438"/>
      <c r="F668" s="438"/>
      <c r="G668" s="439"/>
      <c r="H668" s="435"/>
      <c r="K668" s="464" t="s">
        <v>197</v>
      </c>
      <c r="L668" s="401" t="s">
        <v>198</v>
      </c>
      <c r="M668" s="402"/>
      <c r="N668" s="402"/>
      <c r="O668" s="402"/>
      <c r="P668" s="465"/>
      <c r="Q668" s="463"/>
    </row>
    <row r="669" spans="2:17" x14ac:dyDescent="0.3">
      <c r="B669" s="440">
        <v>1</v>
      </c>
      <c r="C669" s="437" t="s">
        <v>199</v>
      </c>
      <c r="D669" s="441" t="s">
        <v>200</v>
      </c>
      <c r="E669" s="442">
        <v>0.7</v>
      </c>
      <c r="F669" s="443">
        <f>VLOOKUP(C669,upahbahan,3,FALSE)</f>
        <v>100000</v>
      </c>
      <c r="G669" s="444">
        <f t="shared" ref="G669:G672" si="73">E669*F669</f>
        <v>70000</v>
      </c>
      <c r="H669" s="435"/>
      <c r="K669" s="466">
        <v>1</v>
      </c>
      <c r="L669" s="401" t="s">
        <v>199</v>
      </c>
      <c r="M669" s="400" t="s">
        <v>200</v>
      </c>
      <c r="N669" s="405">
        <v>0.2</v>
      </c>
      <c r="O669" s="406">
        <f>VLOOKUP(L669,upahbahan,3,FALSE)</f>
        <v>100000</v>
      </c>
      <c r="P669" s="467">
        <f>N669*O669</f>
        <v>20000</v>
      </c>
      <c r="Q669" s="463"/>
    </row>
    <row r="670" spans="2:17" x14ac:dyDescent="0.3">
      <c r="B670" s="440">
        <v>2</v>
      </c>
      <c r="C670" s="437" t="s">
        <v>201</v>
      </c>
      <c r="D670" s="441" t="s">
        <v>200</v>
      </c>
      <c r="E670" s="442">
        <v>0.35</v>
      </c>
      <c r="F670" s="443">
        <f>VLOOKUP(C670,upahbahan,3,FALSE)</f>
        <v>145000</v>
      </c>
      <c r="G670" s="444">
        <f t="shared" si="73"/>
        <v>50750</v>
      </c>
      <c r="H670" s="435"/>
      <c r="K670" s="466">
        <v>2</v>
      </c>
      <c r="L670" s="401" t="s">
        <v>201</v>
      </c>
      <c r="M670" s="400" t="s">
        <v>200</v>
      </c>
      <c r="N670" s="405">
        <v>0.1</v>
      </c>
      <c r="O670" s="406">
        <f>VLOOKUP(L670,upahbahan,3,FALSE)</f>
        <v>145000</v>
      </c>
      <c r="P670" s="467">
        <f>N670*O670</f>
        <v>14500</v>
      </c>
      <c r="Q670" s="463"/>
    </row>
    <row r="671" spans="2:17" x14ac:dyDescent="0.3">
      <c r="B671" s="440">
        <v>3</v>
      </c>
      <c r="C671" s="437" t="s">
        <v>202</v>
      </c>
      <c r="D671" s="441" t="s">
        <v>200</v>
      </c>
      <c r="E671" s="442">
        <v>3.5000000000000003E-2</v>
      </c>
      <c r="F671" s="443">
        <f>VLOOKUP(C671,upahbahan,3,FALSE)</f>
        <v>175000</v>
      </c>
      <c r="G671" s="444">
        <f t="shared" si="73"/>
        <v>6125.0000000000009</v>
      </c>
      <c r="H671" s="435"/>
      <c r="K671" s="466">
        <v>3</v>
      </c>
      <c r="L671" s="401" t="s">
        <v>202</v>
      </c>
      <c r="M671" s="400" t="s">
        <v>200</v>
      </c>
      <c r="N671" s="405">
        <v>0.01</v>
      </c>
      <c r="O671" s="406">
        <f>VLOOKUP(L671,upahbahan,3,FALSE)</f>
        <v>175000</v>
      </c>
      <c r="P671" s="467">
        <f>N671*O671</f>
        <v>1750</v>
      </c>
      <c r="Q671" s="463"/>
    </row>
    <row r="672" spans="2:17" x14ac:dyDescent="0.3">
      <c r="B672" s="440">
        <v>4</v>
      </c>
      <c r="C672" s="437" t="s">
        <v>203</v>
      </c>
      <c r="D672" s="441" t="s">
        <v>200</v>
      </c>
      <c r="E672" s="442">
        <v>1.2E-2</v>
      </c>
      <c r="F672" s="443">
        <f>VLOOKUP(C672,upahbahan,3,FALSE)</f>
        <v>200000</v>
      </c>
      <c r="G672" s="444">
        <f t="shared" si="73"/>
        <v>2400</v>
      </c>
      <c r="H672" s="435"/>
      <c r="K672" s="466">
        <v>4</v>
      </c>
      <c r="L672" s="401" t="s">
        <v>203</v>
      </c>
      <c r="M672" s="400" t="s">
        <v>200</v>
      </c>
      <c r="N672" s="405">
        <v>3.3E-3</v>
      </c>
      <c r="O672" s="406">
        <f>VLOOKUP(L672,upahbahan,3,FALSE)</f>
        <v>200000</v>
      </c>
      <c r="P672" s="467">
        <f>N672*O672</f>
        <v>660</v>
      </c>
      <c r="Q672" s="463"/>
    </row>
    <row r="673" spans="2:17" x14ac:dyDescent="0.3">
      <c r="B673" s="445" t="s">
        <v>234</v>
      </c>
      <c r="C673" s="408"/>
      <c r="D673" s="408"/>
      <c r="E673" s="409"/>
      <c r="F673" s="410"/>
      <c r="G673" s="444">
        <f>SUM(G669:G672)</f>
        <v>129275</v>
      </c>
      <c r="H673" s="446"/>
      <c r="K673" s="445" t="s">
        <v>204</v>
      </c>
      <c r="L673" s="408"/>
      <c r="M673" s="408"/>
      <c r="N673" s="468"/>
      <c r="O673" s="415"/>
      <c r="P673" s="467">
        <f>SUM(P669:P672)</f>
        <v>36910</v>
      </c>
      <c r="Q673" s="463"/>
    </row>
    <row r="674" spans="2:17" x14ac:dyDescent="0.3">
      <c r="B674" s="436" t="s">
        <v>205</v>
      </c>
      <c r="C674" s="437" t="s">
        <v>206</v>
      </c>
      <c r="D674" s="438"/>
      <c r="E674" s="438"/>
      <c r="F674" s="438"/>
      <c r="G674" s="439"/>
      <c r="H674" s="435"/>
      <c r="K674" s="464" t="s">
        <v>205</v>
      </c>
      <c r="L674" s="401" t="s">
        <v>206</v>
      </c>
      <c r="M674" s="402"/>
      <c r="N674" s="469"/>
      <c r="O674" s="402"/>
      <c r="P674" s="465"/>
      <c r="Q674" s="463"/>
    </row>
    <row r="675" spans="2:17" x14ac:dyDescent="0.3">
      <c r="B675" s="447" t="s">
        <v>207</v>
      </c>
      <c r="C675" s="437" t="s">
        <v>704</v>
      </c>
      <c r="D675" s="441" t="s">
        <v>277</v>
      </c>
      <c r="E675" s="442">
        <v>1.1000000000000001</v>
      </c>
      <c r="F675" s="443">
        <f>VLOOKUP(C675,upahbahan,3,FALSE)</f>
        <v>121600</v>
      </c>
      <c r="G675" s="444">
        <f t="shared" ref="G675:G677" si="74">E675*F675</f>
        <v>133760</v>
      </c>
      <c r="H675" s="435"/>
      <c r="K675" s="466">
        <v>1</v>
      </c>
      <c r="L675" s="401" t="s">
        <v>387</v>
      </c>
      <c r="M675" s="400" t="s">
        <v>209</v>
      </c>
      <c r="N675" s="426">
        <v>26.25</v>
      </c>
      <c r="O675" s="406">
        <f>VLOOKUP(L675,upahbahan,3,FALSE)</f>
        <v>2500</v>
      </c>
      <c r="P675" s="467">
        <f>N675*O675</f>
        <v>65625</v>
      </c>
      <c r="Q675" s="463"/>
    </row>
    <row r="676" spans="2:17" x14ac:dyDescent="0.3">
      <c r="B676" s="447" t="s">
        <v>210</v>
      </c>
      <c r="C676" s="437" t="s">
        <v>211</v>
      </c>
      <c r="D676" s="441" t="s">
        <v>212</v>
      </c>
      <c r="E676" s="442">
        <v>11.75</v>
      </c>
      <c r="F676" s="443">
        <f>VLOOKUP(C676,upahbahan,3,FALSE)</f>
        <v>1300</v>
      </c>
      <c r="G676" s="444">
        <f t="shared" si="74"/>
        <v>15275</v>
      </c>
      <c r="H676" s="435"/>
      <c r="K676" s="466">
        <v>2</v>
      </c>
      <c r="L676" s="401" t="s">
        <v>240</v>
      </c>
      <c r="M676" s="400" t="s">
        <v>212</v>
      </c>
      <c r="N676" s="426">
        <v>14</v>
      </c>
      <c r="O676" s="406">
        <f>VLOOKUP(L676,upahbahan,3,FALSE)</f>
        <v>1300</v>
      </c>
      <c r="P676" s="467">
        <f>N676*O676</f>
        <v>18200</v>
      </c>
      <c r="Q676" s="463"/>
    </row>
    <row r="677" spans="2:17" x14ac:dyDescent="0.3">
      <c r="B677" s="447" t="s">
        <v>213</v>
      </c>
      <c r="C677" s="448" t="s">
        <v>214</v>
      </c>
      <c r="D677" s="441" t="s">
        <v>215</v>
      </c>
      <c r="E677" s="442">
        <v>3.5000000000000003E-2</v>
      </c>
      <c r="F677" s="443">
        <f>VLOOKUP(C677,upahbahan,3,FALSE)</f>
        <v>275000</v>
      </c>
      <c r="G677" s="444">
        <f t="shared" si="74"/>
        <v>9625.0000000000018</v>
      </c>
      <c r="H677" s="435"/>
      <c r="K677" s="466">
        <v>3</v>
      </c>
      <c r="L677" s="470" t="s">
        <v>214</v>
      </c>
      <c r="M677" s="400" t="s">
        <v>215</v>
      </c>
      <c r="N677" s="426">
        <v>3.2000000000000001E-2</v>
      </c>
      <c r="O677" s="406">
        <f>VLOOKUP(L677,upahbahan,3,FALSE)</f>
        <v>275000</v>
      </c>
      <c r="P677" s="467">
        <f>N677*O677</f>
        <v>8800</v>
      </c>
      <c r="Q677" s="463"/>
    </row>
    <row r="678" spans="2:17" x14ac:dyDescent="0.3">
      <c r="B678" s="445" t="s">
        <v>218</v>
      </c>
      <c r="C678" s="408"/>
      <c r="D678" s="408"/>
      <c r="E678" s="408"/>
      <c r="F678" s="415"/>
      <c r="G678" s="444">
        <f>SUM(G675:G677)</f>
        <v>158660</v>
      </c>
      <c r="H678" s="435"/>
      <c r="K678" s="445" t="s">
        <v>218</v>
      </c>
      <c r="L678" s="408"/>
      <c r="M678" s="408"/>
      <c r="N678" s="408"/>
      <c r="O678" s="415"/>
      <c r="P678" s="467">
        <f>SUM(P675:P677)</f>
        <v>92625</v>
      </c>
      <c r="Q678" s="463"/>
    </row>
    <row r="679" spans="2:17" x14ac:dyDescent="0.3">
      <c r="B679" s="449" t="s">
        <v>219</v>
      </c>
      <c r="C679" s="437" t="s">
        <v>220</v>
      </c>
      <c r="D679" s="438"/>
      <c r="E679" s="438"/>
      <c r="F679" s="438"/>
      <c r="G679" s="439"/>
      <c r="H679" s="435"/>
      <c r="K679" s="471" t="s">
        <v>219</v>
      </c>
      <c r="L679" s="401" t="s">
        <v>220</v>
      </c>
      <c r="M679" s="402"/>
      <c r="N679" s="402"/>
      <c r="O679" s="402"/>
      <c r="P679" s="465"/>
      <c r="Q679" s="463"/>
    </row>
    <row r="680" spans="2:17" x14ac:dyDescent="0.3">
      <c r="B680" s="445" t="s">
        <v>221</v>
      </c>
      <c r="C680" s="408"/>
      <c r="D680" s="408"/>
      <c r="E680" s="408"/>
      <c r="F680" s="415"/>
      <c r="G680" s="450">
        <v>0</v>
      </c>
      <c r="H680" s="435"/>
      <c r="K680" s="445" t="s">
        <v>221</v>
      </c>
      <c r="L680" s="408"/>
      <c r="M680" s="408"/>
      <c r="N680" s="408"/>
      <c r="O680" s="415"/>
      <c r="P680" s="472">
        <v>0</v>
      </c>
      <c r="Q680" s="463"/>
    </row>
    <row r="681" spans="2:17" x14ac:dyDescent="0.3">
      <c r="B681" s="451" t="s">
        <v>222</v>
      </c>
      <c r="C681" s="452" t="s">
        <v>223</v>
      </c>
      <c r="D681" s="453"/>
      <c r="E681" s="453"/>
      <c r="F681" s="454"/>
      <c r="G681" s="444">
        <f>G680+G678+G673</f>
        <v>287935</v>
      </c>
      <c r="H681" s="435"/>
      <c r="K681" s="473" t="s">
        <v>222</v>
      </c>
      <c r="L681" s="419" t="s">
        <v>223</v>
      </c>
      <c r="M681" s="420"/>
      <c r="N681" s="420"/>
      <c r="O681" s="421"/>
      <c r="P681" s="467">
        <f>P680+P678+P673</f>
        <v>129535</v>
      </c>
      <c r="Q681" s="463"/>
    </row>
    <row r="682" spans="2:17" x14ac:dyDescent="0.3">
      <c r="B682" s="451" t="s">
        <v>224</v>
      </c>
      <c r="C682" s="452" t="s">
        <v>225</v>
      </c>
      <c r="D682" s="453"/>
      <c r="E682" s="454"/>
      <c r="F682" s="455">
        <v>0.1</v>
      </c>
      <c r="G682" s="444">
        <f>G681*F682</f>
        <v>28793.5</v>
      </c>
      <c r="H682" s="435"/>
      <c r="K682" s="473" t="s">
        <v>224</v>
      </c>
      <c r="L682" s="419" t="s">
        <v>225</v>
      </c>
      <c r="M682" s="420"/>
      <c r="N682" s="421"/>
      <c r="O682" s="424">
        <v>0.1</v>
      </c>
      <c r="P682" s="467">
        <f>P681*O682</f>
        <v>12953.5</v>
      </c>
      <c r="Q682" s="463"/>
    </row>
    <row r="683" spans="2:17" ht="15" thickBot="1" x14ac:dyDescent="0.35">
      <c r="B683" s="456" t="s">
        <v>226</v>
      </c>
      <c r="C683" s="457" t="s">
        <v>227</v>
      </c>
      <c r="D683" s="458"/>
      <c r="E683" s="458"/>
      <c r="F683" s="459"/>
      <c r="G683" s="460">
        <f>G681+G682</f>
        <v>316728.5</v>
      </c>
      <c r="H683" s="435"/>
      <c r="K683" s="474" t="s">
        <v>226</v>
      </c>
      <c r="L683" s="475" t="s">
        <v>227</v>
      </c>
      <c r="M683" s="476"/>
      <c r="N683" s="476"/>
      <c r="O683" s="477"/>
      <c r="P683" s="478">
        <f>SUM(P681:P682)</f>
        <v>142488.5</v>
      </c>
      <c r="Q683" s="463"/>
    </row>
    <row r="684" spans="2:17" ht="15" thickTop="1" x14ac:dyDescent="0.3"/>
    <row r="687" spans="2:17" ht="15" thickBot="1" x14ac:dyDescent="0.35">
      <c r="B687" s="429" t="s">
        <v>707</v>
      </c>
      <c r="C687" s="479" t="s">
        <v>708</v>
      </c>
      <c r="D687" s="480"/>
      <c r="E687" s="480"/>
      <c r="F687" s="480"/>
      <c r="G687" s="480"/>
      <c r="H687" s="431">
        <f>ROUNDDOWN(G703,-2)</f>
        <v>455700</v>
      </c>
    </row>
    <row r="688" spans="2:17" ht="28.2" thickTop="1" x14ac:dyDescent="0.3">
      <c r="B688" s="432" t="s">
        <v>191</v>
      </c>
      <c r="C688" s="433" t="s">
        <v>192</v>
      </c>
      <c r="D688" s="433" t="s">
        <v>193</v>
      </c>
      <c r="E688" s="433" t="s">
        <v>194</v>
      </c>
      <c r="F688" s="433" t="s">
        <v>195</v>
      </c>
      <c r="G688" s="434" t="s">
        <v>196</v>
      </c>
      <c r="H688" s="435"/>
    </row>
    <row r="689" spans="2:9" x14ac:dyDescent="0.3">
      <c r="B689" s="436" t="s">
        <v>197</v>
      </c>
      <c r="C689" s="437" t="s">
        <v>198</v>
      </c>
      <c r="D689" s="438"/>
      <c r="E689" s="438"/>
      <c r="F689" s="438"/>
      <c r="G689" s="439"/>
      <c r="H689" s="435"/>
    </row>
    <row r="690" spans="2:9" x14ac:dyDescent="0.3">
      <c r="B690" s="447" t="s">
        <v>207</v>
      </c>
      <c r="C690" s="437" t="s">
        <v>199</v>
      </c>
      <c r="D690" s="441" t="s">
        <v>200</v>
      </c>
      <c r="E690" s="481">
        <v>0.05</v>
      </c>
      <c r="F690" s="443">
        <f>VLOOKUP(C690,upahbahan,3,FALSE)</f>
        <v>100000</v>
      </c>
      <c r="G690" s="444">
        <f>E690*F690</f>
        <v>5000</v>
      </c>
      <c r="H690" s="435"/>
      <c r="I690" s="77">
        <f>0.4*0.4</f>
        <v>0.16000000000000003</v>
      </c>
    </row>
    <row r="691" spans="2:9" x14ac:dyDescent="0.3">
      <c r="B691" s="447" t="s">
        <v>210</v>
      </c>
      <c r="C691" s="437" t="s">
        <v>275</v>
      </c>
      <c r="D691" s="441" t="s">
        <v>200</v>
      </c>
      <c r="E691" s="481">
        <v>0.05</v>
      </c>
      <c r="F691" s="443">
        <f>VLOOKUP(C691,upahbahan,3,FALSE)</f>
        <v>145000</v>
      </c>
      <c r="G691" s="444">
        <f t="shared" ref="G691:G693" si="75">E691*F691</f>
        <v>7250</v>
      </c>
      <c r="H691" s="435"/>
    </row>
    <row r="692" spans="2:9" x14ac:dyDescent="0.3">
      <c r="B692" s="447" t="s">
        <v>213</v>
      </c>
      <c r="C692" s="437" t="s">
        <v>202</v>
      </c>
      <c r="D692" s="441" t="s">
        <v>200</v>
      </c>
      <c r="E692" s="481">
        <v>5.0000000000000001E-3</v>
      </c>
      <c r="F692" s="443">
        <f>VLOOKUP(C692,upahbahan,3,FALSE)</f>
        <v>175000</v>
      </c>
      <c r="G692" s="444">
        <f t="shared" si="75"/>
        <v>875</v>
      </c>
      <c r="H692" s="435"/>
      <c r="I692" s="77">
        <f>1/I690*H687</f>
        <v>2848124.9999999995</v>
      </c>
    </row>
    <row r="693" spans="2:9" x14ac:dyDescent="0.3">
      <c r="B693" s="447" t="s">
        <v>216</v>
      </c>
      <c r="C693" s="437" t="s">
        <v>203</v>
      </c>
      <c r="D693" s="441" t="s">
        <v>200</v>
      </c>
      <c r="E693" s="481">
        <v>2E-3</v>
      </c>
      <c r="F693" s="443">
        <f>VLOOKUP(C693,upahbahan,3,FALSE)</f>
        <v>200000</v>
      </c>
      <c r="G693" s="444">
        <f t="shared" si="75"/>
        <v>400</v>
      </c>
      <c r="H693" s="435"/>
    </row>
    <row r="694" spans="2:9" x14ac:dyDescent="0.3">
      <c r="B694" s="445" t="s">
        <v>234</v>
      </c>
      <c r="C694" s="408"/>
      <c r="D694" s="408"/>
      <c r="E694" s="409"/>
      <c r="F694" s="410"/>
      <c r="G694" s="444">
        <f>SUM(G690:G693)</f>
        <v>13525</v>
      </c>
      <c r="H694" s="446"/>
    </row>
    <row r="695" spans="2:9" x14ac:dyDescent="0.3">
      <c r="B695" s="482" t="s">
        <v>205</v>
      </c>
      <c r="C695" s="483" t="s">
        <v>206</v>
      </c>
      <c r="D695" s="438"/>
      <c r="E695" s="435"/>
      <c r="F695" s="438"/>
      <c r="G695" s="484"/>
      <c r="H695" s="435"/>
    </row>
    <row r="696" spans="2:9" x14ac:dyDescent="0.3">
      <c r="B696" s="482">
        <v>1</v>
      </c>
      <c r="C696" s="483" t="s">
        <v>709</v>
      </c>
      <c r="D696" s="485" t="s">
        <v>212</v>
      </c>
      <c r="E696" s="486">
        <v>1</v>
      </c>
      <c r="F696" s="443">
        <f>VLOOKUP(C696,upahbahan,3,FALSE)</f>
        <v>400000</v>
      </c>
      <c r="G696" s="444">
        <f t="shared" ref="G696:G697" si="76">E696*F696</f>
        <v>400000</v>
      </c>
      <c r="H696" s="435"/>
    </row>
    <row r="697" spans="2:9" x14ac:dyDescent="0.3">
      <c r="B697" s="487">
        <v>2</v>
      </c>
      <c r="C697" s="483" t="s">
        <v>710</v>
      </c>
      <c r="D697" s="485" t="s">
        <v>212</v>
      </c>
      <c r="E697" s="488">
        <v>4</v>
      </c>
      <c r="F697" s="443">
        <f>VLOOKUP(C697,upahbahan,3,FALSE)</f>
        <v>200</v>
      </c>
      <c r="G697" s="444">
        <f t="shared" si="76"/>
        <v>800</v>
      </c>
      <c r="H697" s="435"/>
    </row>
    <row r="698" spans="2:9" x14ac:dyDescent="0.3">
      <c r="B698" s="445" t="s">
        <v>218</v>
      </c>
      <c r="C698" s="408"/>
      <c r="D698" s="489"/>
      <c r="E698" s="408"/>
      <c r="F698" s="415"/>
      <c r="G698" s="444">
        <f>SUM(G696:G697)</f>
        <v>400800</v>
      </c>
      <c r="H698" s="435"/>
    </row>
    <row r="699" spans="2:9" x14ac:dyDescent="0.3">
      <c r="B699" s="436" t="s">
        <v>219</v>
      </c>
      <c r="C699" s="437" t="s">
        <v>220</v>
      </c>
      <c r="D699" s="485"/>
      <c r="E699" s="438"/>
      <c r="F699" s="438"/>
      <c r="G699" s="439"/>
      <c r="H699" s="435"/>
    </row>
    <row r="700" spans="2:9" x14ac:dyDescent="0.3">
      <c r="B700" s="445" t="s">
        <v>221</v>
      </c>
      <c r="C700" s="408"/>
      <c r="D700" s="408"/>
      <c r="E700" s="408"/>
      <c r="F700" s="415"/>
      <c r="G700" s="490">
        <f>SUM(G699)</f>
        <v>0</v>
      </c>
      <c r="H700" s="435"/>
    </row>
    <row r="701" spans="2:9" x14ac:dyDescent="0.3">
      <c r="B701" s="451" t="s">
        <v>222</v>
      </c>
      <c r="C701" s="452" t="s">
        <v>223</v>
      </c>
      <c r="D701" s="453"/>
      <c r="E701" s="453"/>
      <c r="F701" s="454"/>
      <c r="G701" s="444">
        <f>G700+G698+G694</f>
        <v>414325</v>
      </c>
      <c r="H701" s="435"/>
    </row>
    <row r="702" spans="2:9" x14ac:dyDescent="0.3">
      <c r="B702" s="451" t="s">
        <v>224</v>
      </c>
      <c r="C702" s="452" t="s">
        <v>225</v>
      </c>
      <c r="D702" s="453"/>
      <c r="E702" s="454"/>
      <c r="F702" s="455">
        <v>0.1</v>
      </c>
      <c r="G702" s="444">
        <f>G701*F702</f>
        <v>41432.5</v>
      </c>
      <c r="H702" s="435"/>
    </row>
    <row r="703" spans="2:9" ht="15" thickBot="1" x14ac:dyDescent="0.35">
      <c r="B703" s="456" t="s">
        <v>226</v>
      </c>
      <c r="C703" s="457" t="s">
        <v>227</v>
      </c>
      <c r="D703" s="458"/>
      <c r="E703" s="458"/>
      <c r="F703" s="459"/>
      <c r="G703" s="460">
        <f>SUM(G701:G702)</f>
        <v>455757.5</v>
      </c>
      <c r="H703" s="435"/>
    </row>
    <row r="704" spans="2:9" ht="15" thickTop="1" x14ac:dyDescent="0.3"/>
  </sheetData>
  <dataValidations count="1">
    <dataValidation type="list" allowBlank="1" showInputMessage="1" showErrorMessage="1" sqref="C620:C623 C648:C651 C690:C693" xr:uid="{606653E1-2524-41C6-A2C0-65D0EF92405D}">
      <formula1>TENAGA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14"/>
  <sheetViews>
    <sheetView tabSelected="1" topLeftCell="A46" workbookViewId="0">
      <selection activeCell="E326" sqref="E326"/>
    </sheetView>
  </sheetViews>
  <sheetFormatPr defaultRowHeight="18" customHeight="1" x14ac:dyDescent="0.3"/>
  <cols>
    <col min="1" max="1" width="8.88671875" style="32"/>
    <col min="2" max="2" width="6.109375" style="32" customWidth="1"/>
    <col min="3" max="3" width="37.33203125" style="32" customWidth="1"/>
    <col min="4" max="4" width="12.5546875" style="235" bestFit="1" customWidth="1"/>
    <col min="5" max="5" width="9.44140625" style="34" bestFit="1" customWidth="1"/>
    <col min="6" max="6" width="4.77734375" style="23" bestFit="1" customWidth="1"/>
    <col min="7" max="7" width="13.77734375" style="51" customWidth="1"/>
    <col min="8" max="8" width="16.33203125" style="51" bestFit="1" customWidth="1"/>
    <col min="9" max="10" width="8.88671875" style="32"/>
    <col min="11" max="11" width="8.88671875" style="30"/>
  </cols>
  <sheetData>
    <row r="2" spans="1:11" s="29" customFormat="1" ht="39" customHeight="1" x14ac:dyDescent="0.35">
      <c r="A2" s="33"/>
      <c r="B2" s="249" t="s">
        <v>148</v>
      </c>
      <c r="C2" s="38"/>
      <c r="D2" s="234"/>
      <c r="E2" s="48"/>
      <c r="F2" s="15"/>
      <c r="G2" s="49"/>
      <c r="H2" s="50"/>
      <c r="I2" s="33"/>
      <c r="J2" s="33"/>
      <c r="K2" s="31"/>
    </row>
    <row r="3" spans="1:11" ht="18" customHeight="1" x14ac:dyDescent="0.3">
      <c r="B3" s="31" t="s">
        <v>149</v>
      </c>
    </row>
    <row r="4" spans="1:11" ht="18" customHeight="1" x14ac:dyDescent="0.3">
      <c r="B4" s="32" t="s">
        <v>150</v>
      </c>
    </row>
    <row r="5" spans="1:11" ht="18" customHeight="1" x14ac:dyDescent="0.3">
      <c r="B5" s="32" t="s">
        <v>151</v>
      </c>
    </row>
    <row r="7" spans="1:11" ht="18" customHeight="1" x14ac:dyDescent="0.3">
      <c r="C7" s="52" t="s">
        <v>14</v>
      </c>
      <c r="D7" s="236"/>
    </row>
    <row r="9" spans="1:11" ht="18" customHeight="1" thickBot="1" x14ac:dyDescent="0.35"/>
    <row r="10" spans="1:11" s="44" customFormat="1" ht="18" customHeight="1" x14ac:dyDescent="0.3">
      <c r="A10" s="46"/>
      <c r="B10" s="364" t="s">
        <v>2</v>
      </c>
      <c r="C10" s="328" t="s">
        <v>3</v>
      </c>
      <c r="D10" s="349" t="s">
        <v>152</v>
      </c>
      <c r="E10" s="329" t="s">
        <v>153</v>
      </c>
      <c r="F10" s="349" t="s">
        <v>4</v>
      </c>
      <c r="G10" s="330" t="s">
        <v>154</v>
      </c>
      <c r="H10" s="358" t="s">
        <v>155</v>
      </c>
      <c r="I10" s="46"/>
      <c r="J10" s="46"/>
      <c r="K10" s="46"/>
    </row>
    <row r="11" spans="1:11" s="45" customFormat="1" ht="18" customHeight="1" thickBot="1" x14ac:dyDescent="0.35">
      <c r="A11" s="23"/>
      <c r="B11" s="365">
        <v>1</v>
      </c>
      <c r="C11" s="331">
        <v>2</v>
      </c>
      <c r="D11" s="350">
        <v>3</v>
      </c>
      <c r="E11" s="331">
        <v>4</v>
      </c>
      <c r="F11" s="354">
        <v>5</v>
      </c>
      <c r="G11" s="331">
        <v>6</v>
      </c>
      <c r="H11" s="359">
        <v>7</v>
      </c>
      <c r="I11" s="23"/>
      <c r="J11" s="23"/>
      <c r="K11" s="47"/>
    </row>
    <row r="12" spans="1:11" ht="18" customHeight="1" x14ac:dyDescent="0.3">
      <c r="B12" s="366"/>
      <c r="D12" s="351"/>
      <c r="F12" s="355"/>
      <c r="H12" s="360"/>
    </row>
    <row r="13" spans="1:11" s="45" customFormat="1" ht="24" customHeight="1" x14ac:dyDescent="0.3">
      <c r="A13" s="23"/>
      <c r="B13" s="367" t="s">
        <v>13</v>
      </c>
      <c r="C13" s="371" t="s">
        <v>156</v>
      </c>
      <c r="D13" s="352"/>
      <c r="E13" s="321"/>
      <c r="F13" s="356"/>
      <c r="G13" s="322"/>
      <c r="H13" s="361"/>
      <c r="I13" s="23"/>
      <c r="J13" s="23"/>
      <c r="K13" s="47"/>
    </row>
    <row r="14" spans="1:11" ht="18" customHeight="1" x14ac:dyDescent="0.3">
      <c r="B14" s="366"/>
      <c r="D14" s="351"/>
      <c r="F14" s="355"/>
      <c r="H14" s="360"/>
    </row>
    <row r="15" spans="1:11" ht="18" customHeight="1" x14ac:dyDescent="0.3">
      <c r="B15" s="368" t="s">
        <v>499</v>
      </c>
      <c r="C15" s="33" t="s">
        <v>164</v>
      </c>
      <c r="D15" s="351"/>
      <c r="F15" s="355"/>
      <c r="H15" s="360"/>
    </row>
    <row r="16" spans="1:11" ht="18" customHeight="1" x14ac:dyDescent="0.3">
      <c r="B16" s="366">
        <v>1</v>
      </c>
      <c r="C16" s="32" t="s">
        <v>157</v>
      </c>
      <c r="D16" s="351"/>
      <c r="E16" s="34">
        <f>'ANALISA VOLUME'!E16-'ANALISA VOLUME'!N40</f>
        <v>1283.2500000000002</v>
      </c>
      <c r="F16" s="355" t="s">
        <v>15</v>
      </c>
      <c r="G16" s="51">
        <f>AHS!$Q$5</f>
        <v>153400</v>
      </c>
      <c r="H16" s="360">
        <f>E16*G16</f>
        <v>196850550.00000003</v>
      </c>
    </row>
    <row r="17" spans="2:8" ht="18" customHeight="1" x14ac:dyDescent="0.3">
      <c r="B17" s="366"/>
      <c r="C17" s="32" t="s">
        <v>341</v>
      </c>
      <c r="D17" s="351" t="s">
        <v>342</v>
      </c>
      <c r="F17" s="355"/>
      <c r="G17" s="51">
        <f>AHS!$Q$5</f>
        <v>153400</v>
      </c>
      <c r="H17" s="360"/>
    </row>
    <row r="18" spans="2:8" ht="18" customHeight="1" x14ac:dyDescent="0.3">
      <c r="B18" s="366"/>
      <c r="C18" s="32" t="s">
        <v>487</v>
      </c>
      <c r="D18" s="351" t="s">
        <v>489</v>
      </c>
      <c r="F18" s="355"/>
      <c r="G18" s="51">
        <f>AHS!$Q$28+AHS!$Q$172</f>
        <v>243700</v>
      </c>
      <c r="H18" s="360"/>
    </row>
    <row r="19" spans="2:8" ht="18" customHeight="1" x14ac:dyDescent="0.3">
      <c r="B19" s="366">
        <v>2</v>
      </c>
      <c r="C19" s="32" t="s">
        <v>159</v>
      </c>
      <c r="D19" s="351"/>
      <c r="E19" s="34">
        <f>E16*2</f>
        <v>2566.5000000000005</v>
      </c>
      <c r="F19" s="355" t="s">
        <v>15</v>
      </c>
      <c r="G19" s="51">
        <f>AHS!$H$50+AHS!$H$69</f>
        <v>111300</v>
      </c>
      <c r="H19" s="360">
        <f t="shared" ref="H19" si="0">E19*G19</f>
        <v>285651450.00000006</v>
      </c>
    </row>
    <row r="20" spans="2:8" ht="18" customHeight="1" x14ac:dyDescent="0.3">
      <c r="B20" s="366"/>
      <c r="D20" s="351"/>
      <c r="F20" s="355"/>
      <c r="H20" s="360"/>
    </row>
    <row r="21" spans="2:8" ht="18" customHeight="1" x14ac:dyDescent="0.3">
      <c r="B21" s="368" t="s">
        <v>500</v>
      </c>
      <c r="C21" s="33" t="s">
        <v>161</v>
      </c>
      <c r="D21" s="351"/>
      <c r="F21" s="355"/>
      <c r="H21" s="360"/>
    </row>
    <row r="22" spans="2:8" ht="18" customHeight="1" x14ac:dyDescent="0.3">
      <c r="B22" s="366">
        <v>1</v>
      </c>
      <c r="C22" s="32" t="s">
        <v>166</v>
      </c>
      <c r="D22" s="351" t="s">
        <v>488</v>
      </c>
      <c r="E22" s="34">
        <f>'ANALISA VOLUME'!E48</f>
        <v>1053.5</v>
      </c>
      <c r="F22" s="355" t="s">
        <v>15</v>
      </c>
      <c r="G22" s="51">
        <f>AHS!$Q$172+AHS!$H$172</f>
        <v>194000</v>
      </c>
      <c r="H22" s="360">
        <f t="shared" ref="H22:H23" si="1">E22*G22</f>
        <v>204379000</v>
      </c>
    </row>
    <row r="23" spans="2:8" ht="18" customHeight="1" x14ac:dyDescent="0.3">
      <c r="B23" s="366">
        <v>2</v>
      </c>
      <c r="C23" s="32" t="s">
        <v>167</v>
      </c>
      <c r="D23" s="351" t="s">
        <v>423</v>
      </c>
      <c r="E23" s="34">
        <f>('ANALISA VOLUME'!E13+'ANALISA VOLUME'!E14)*2</f>
        <v>861.10000000000014</v>
      </c>
      <c r="F23" s="355" t="s">
        <v>107</v>
      </c>
      <c r="G23" s="51">
        <v>35000</v>
      </c>
      <c r="H23" s="360">
        <f t="shared" si="1"/>
        <v>30138500.000000004</v>
      </c>
    </row>
    <row r="24" spans="2:8" ht="18" customHeight="1" x14ac:dyDescent="0.3">
      <c r="B24" s="366"/>
      <c r="D24" s="351"/>
      <c r="F24" s="355"/>
      <c r="H24" s="360"/>
    </row>
    <row r="25" spans="2:8" ht="18" customHeight="1" x14ac:dyDescent="0.3">
      <c r="B25" s="368" t="s">
        <v>501</v>
      </c>
      <c r="C25" s="33" t="s">
        <v>549</v>
      </c>
      <c r="D25" s="351"/>
      <c r="F25" s="355"/>
      <c r="H25" s="360"/>
    </row>
    <row r="26" spans="2:8" ht="18" customHeight="1" x14ac:dyDescent="0.3">
      <c r="B26" s="366">
        <v>1</v>
      </c>
      <c r="C26" s="32" t="s">
        <v>168</v>
      </c>
      <c r="D26" s="351"/>
      <c r="E26" s="34">
        <f>'ANALISA VOLUME'!E62</f>
        <v>355.92000000000007</v>
      </c>
      <c r="F26" s="355" t="s">
        <v>15</v>
      </c>
      <c r="H26" s="360"/>
    </row>
    <row r="27" spans="2:8" ht="18" customHeight="1" x14ac:dyDescent="0.3">
      <c r="B27" s="366"/>
      <c r="C27" s="32" t="s">
        <v>336</v>
      </c>
      <c r="D27" s="351" t="s">
        <v>343</v>
      </c>
      <c r="E27" s="34">
        <f>'ANALISA VOLUME'!J59</f>
        <v>30.337499999999999</v>
      </c>
      <c r="F27" s="355" t="s">
        <v>15</v>
      </c>
      <c r="G27" s="51">
        <f>AHS!$H$87</f>
        <v>222000</v>
      </c>
      <c r="H27" s="360">
        <f t="shared" ref="H27:H28" si="2">E27*G27</f>
        <v>6734925</v>
      </c>
    </row>
    <row r="28" spans="2:8" ht="18" customHeight="1" x14ac:dyDescent="0.3">
      <c r="B28" s="366"/>
      <c r="C28" s="32" t="s">
        <v>337</v>
      </c>
      <c r="D28" s="351" t="s">
        <v>343</v>
      </c>
      <c r="E28" s="34">
        <f>E26-E27</f>
        <v>325.5825000000001</v>
      </c>
      <c r="F28" s="355" t="s">
        <v>15</v>
      </c>
      <c r="G28" s="51">
        <f>AHS!$H$109</f>
        <v>354000</v>
      </c>
      <c r="H28" s="360">
        <f t="shared" si="2"/>
        <v>115256205.00000003</v>
      </c>
    </row>
    <row r="29" spans="2:8" ht="18" customHeight="1" x14ac:dyDescent="0.3">
      <c r="B29" s="366">
        <v>2</v>
      </c>
      <c r="C29" s="32" t="s">
        <v>169</v>
      </c>
      <c r="D29" s="351" t="s">
        <v>343</v>
      </c>
      <c r="E29" s="34">
        <f>E23</f>
        <v>861.10000000000014</v>
      </c>
      <c r="F29" s="355" t="s">
        <v>107</v>
      </c>
      <c r="G29" s="51">
        <f>AHS!$H$130</f>
        <v>40400</v>
      </c>
      <c r="H29" s="360">
        <f t="shared" ref="H29:H30" si="3">E29*G29</f>
        <v>34788440.000000007</v>
      </c>
    </row>
    <row r="30" spans="2:8" ht="18" customHeight="1" x14ac:dyDescent="0.3">
      <c r="B30" s="366">
        <v>3</v>
      </c>
      <c r="C30" s="32" t="s">
        <v>330</v>
      </c>
      <c r="D30" s="351" t="s">
        <v>343</v>
      </c>
      <c r="E30" s="34">
        <f>'ANALISA VOLUME'!L71</f>
        <v>1.6500000000000001</v>
      </c>
      <c r="F30" s="355" t="s">
        <v>15</v>
      </c>
      <c r="G30" s="51">
        <f>AHS!$H$151</f>
        <v>269900</v>
      </c>
      <c r="H30" s="360">
        <f t="shared" si="3"/>
        <v>445335.00000000006</v>
      </c>
    </row>
    <row r="31" spans="2:8" ht="18" customHeight="1" x14ac:dyDescent="0.3">
      <c r="B31" s="366"/>
      <c r="D31" s="351"/>
      <c r="F31" s="355"/>
      <c r="H31" s="360"/>
    </row>
    <row r="32" spans="2:8" ht="18" customHeight="1" x14ac:dyDescent="0.3">
      <c r="B32" s="368" t="s">
        <v>502</v>
      </c>
      <c r="C32" s="33" t="s">
        <v>172</v>
      </c>
      <c r="D32" s="351" t="s">
        <v>542</v>
      </c>
      <c r="F32" s="355"/>
      <c r="H32" s="360"/>
    </row>
    <row r="33" spans="2:8" ht="18" customHeight="1" x14ac:dyDescent="0.3">
      <c r="B33" s="366">
        <v>1</v>
      </c>
      <c r="C33" s="32" t="s">
        <v>38</v>
      </c>
      <c r="D33" s="351"/>
      <c r="E33" s="34">
        <v>5</v>
      </c>
      <c r="F33" s="355" t="s">
        <v>42</v>
      </c>
      <c r="G33" s="51">
        <f>'ANALISA PINTU JENDELA'!F16</f>
        <v>5421570.9249999998</v>
      </c>
      <c r="H33" s="360">
        <f t="shared" ref="H33:H37" si="4">E33*G33</f>
        <v>27107854.625</v>
      </c>
    </row>
    <row r="34" spans="2:8" ht="18" customHeight="1" x14ac:dyDescent="0.3">
      <c r="B34" s="366">
        <v>2</v>
      </c>
      <c r="C34" s="32" t="s">
        <v>183</v>
      </c>
      <c r="D34" s="351"/>
      <c r="E34" s="34">
        <v>5</v>
      </c>
      <c r="F34" s="355" t="s">
        <v>42</v>
      </c>
      <c r="G34" s="51">
        <f>'ANALISA PINTU JENDELA'!F16</f>
        <v>5421570.9249999998</v>
      </c>
      <c r="H34" s="360">
        <f t="shared" ref="H34" si="5">E34*G34</f>
        <v>27107854.625</v>
      </c>
    </row>
    <row r="35" spans="2:8" ht="18" customHeight="1" x14ac:dyDescent="0.3">
      <c r="B35" s="366">
        <v>3</v>
      </c>
      <c r="C35" s="32" t="s">
        <v>39</v>
      </c>
      <c r="D35" s="351"/>
      <c r="E35" s="34">
        <v>13</v>
      </c>
      <c r="F35" s="355" t="s">
        <v>42</v>
      </c>
      <c r="G35" s="51">
        <f>'ANALISA PINTU JENDELA'!F28</f>
        <v>5638214.8249999993</v>
      </c>
      <c r="H35" s="360">
        <f t="shared" si="4"/>
        <v>73296792.724999994</v>
      </c>
    </row>
    <row r="36" spans="2:8" ht="18" customHeight="1" x14ac:dyDescent="0.3">
      <c r="B36" s="366">
        <v>4</v>
      </c>
      <c r="C36" s="32" t="s">
        <v>40</v>
      </c>
      <c r="D36" s="351"/>
      <c r="E36" s="34">
        <v>4</v>
      </c>
      <c r="F36" s="355" t="s">
        <v>42</v>
      </c>
      <c r="G36" s="51">
        <f>'ANALISA PINTU JENDELA'!F41</f>
        <v>7187743.2249999996</v>
      </c>
      <c r="H36" s="360">
        <f t="shared" si="4"/>
        <v>28750972.899999999</v>
      </c>
    </row>
    <row r="37" spans="2:8" ht="18" customHeight="1" x14ac:dyDescent="0.3">
      <c r="B37" s="366">
        <v>5</v>
      </c>
      <c r="C37" s="32" t="s">
        <v>41</v>
      </c>
      <c r="D37" s="351"/>
      <c r="E37" s="34">
        <v>2</v>
      </c>
      <c r="F37" s="355" t="s">
        <v>42</v>
      </c>
      <c r="G37" s="51">
        <f>'ANALISA PINTU JENDELA'!F120</f>
        <v>6153645.9749999996</v>
      </c>
      <c r="H37" s="360">
        <f t="shared" si="4"/>
        <v>12307291.949999999</v>
      </c>
    </row>
    <row r="38" spans="2:8" ht="18" customHeight="1" x14ac:dyDescent="0.3">
      <c r="B38" s="366">
        <v>6</v>
      </c>
      <c r="C38" s="32" t="s">
        <v>184</v>
      </c>
      <c r="D38" s="351"/>
      <c r="E38" s="34">
        <v>12</v>
      </c>
      <c r="F38" s="355" t="s">
        <v>42</v>
      </c>
      <c r="G38" s="51">
        <f>'ANALISA PINTU JENDELA'!N42</f>
        <v>3889259.0384615385</v>
      </c>
      <c r="H38" s="360">
        <f t="shared" ref="H38:H41" si="6">E38*G38</f>
        <v>46671108.461538464</v>
      </c>
    </row>
    <row r="39" spans="2:8" ht="18" customHeight="1" x14ac:dyDescent="0.3">
      <c r="B39" s="366">
        <v>7</v>
      </c>
      <c r="C39" s="32" t="s">
        <v>185</v>
      </c>
      <c r="D39" s="351"/>
      <c r="E39" s="34">
        <v>1</v>
      </c>
      <c r="F39" s="355" t="s">
        <v>42</v>
      </c>
      <c r="G39" s="51">
        <f>'ANALISA PINTU JENDELA'!N70</f>
        <v>2914036.038461539</v>
      </c>
      <c r="H39" s="360">
        <f t="shared" si="6"/>
        <v>2914036.038461539</v>
      </c>
    </row>
    <row r="40" spans="2:8" ht="18" customHeight="1" x14ac:dyDescent="0.3">
      <c r="B40" s="366">
        <v>8</v>
      </c>
      <c r="C40" s="32" t="s">
        <v>186</v>
      </c>
      <c r="D40" s="351"/>
      <c r="E40" s="34">
        <v>2</v>
      </c>
      <c r="F40" s="355" t="s">
        <v>42</v>
      </c>
      <c r="G40" s="51">
        <f>'ANALISA PINTU JENDELA'!N121</f>
        <v>1210599.25</v>
      </c>
      <c r="H40" s="360">
        <f t="shared" si="6"/>
        <v>2421198.5</v>
      </c>
    </row>
    <row r="41" spans="2:8" ht="18" customHeight="1" x14ac:dyDescent="0.3">
      <c r="B41" s="366">
        <v>9</v>
      </c>
      <c r="C41" s="32" t="s">
        <v>187</v>
      </c>
      <c r="D41" s="351"/>
      <c r="E41" s="34">
        <v>1</v>
      </c>
      <c r="F41" s="355" t="s">
        <v>42</v>
      </c>
      <c r="G41" s="51">
        <f>'ANALISA PINTU JENDELA'!N128</f>
        <v>3430656.1374999997</v>
      </c>
      <c r="H41" s="360">
        <f t="shared" si="6"/>
        <v>3430656.1374999997</v>
      </c>
    </row>
    <row r="42" spans="2:8" ht="18" customHeight="1" x14ac:dyDescent="0.3">
      <c r="B42" s="366"/>
      <c r="D42" s="351"/>
      <c r="F42" s="355"/>
      <c r="H42" s="360"/>
    </row>
    <row r="43" spans="2:8" ht="18" customHeight="1" x14ac:dyDescent="0.3">
      <c r="B43" s="366"/>
      <c r="D43" s="351"/>
      <c r="F43" s="355"/>
      <c r="H43" s="360"/>
    </row>
    <row r="44" spans="2:8" ht="18" customHeight="1" x14ac:dyDescent="0.3">
      <c r="B44" s="368" t="s">
        <v>503</v>
      </c>
      <c r="C44" s="33" t="s">
        <v>437</v>
      </c>
      <c r="D44" s="351"/>
      <c r="F44" s="355"/>
      <c r="H44" s="360"/>
    </row>
    <row r="45" spans="2:8" ht="18" customHeight="1" x14ac:dyDescent="0.3">
      <c r="B45" s="366">
        <v>1</v>
      </c>
      <c r="C45" s="32" t="s">
        <v>438</v>
      </c>
      <c r="D45" s="351"/>
      <c r="F45" s="355"/>
      <c r="H45" s="360"/>
    </row>
    <row r="46" spans="2:8" ht="18" customHeight="1" x14ac:dyDescent="0.3">
      <c r="B46" s="366"/>
      <c r="C46" s="32" t="s">
        <v>442</v>
      </c>
      <c r="D46" s="351" t="s">
        <v>444</v>
      </c>
      <c r="E46" s="34">
        <v>6</v>
      </c>
      <c r="F46" s="355" t="s">
        <v>42</v>
      </c>
      <c r="G46" s="51">
        <f>AHS!$H$415</f>
        <v>2107200</v>
      </c>
      <c r="H46" s="360">
        <f t="shared" ref="H46:H50" si="7">E46*G46</f>
        <v>12643200</v>
      </c>
    </row>
    <row r="47" spans="2:8" ht="18" customHeight="1" x14ac:dyDescent="0.3">
      <c r="B47" s="366"/>
      <c r="C47" s="32" t="s">
        <v>439</v>
      </c>
      <c r="D47" s="351" t="s">
        <v>444</v>
      </c>
      <c r="E47" s="34">
        <v>5</v>
      </c>
      <c r="F47" s="355" t="s">
        <v>267</v>
      </c>
      <c r="G47" s="51">
        <f>AHS!$H$434</f>
        <v>845000</v>
      </c>
      <c r="H47" s="360">
        <f t="shared" si="7"/>
        <v>4225000</v>
      </c>
    </row>
    <row r="48" spans="2:8" ht="18" customHeight="1" x14ac:dyDescent="0.3">
      <c r="B48" s="366"/>
      <c r="C48" s="32" t="s">
        <v>440</v>
      </c>
      <c r="D48" s="351" t="s">
        <v>444</v>
      </c>
      <c r="E48" s="34">
        <v>6</v>
      </c>
      <c r="F48" s="355" t="s">
        <v>42</v>
      </c>
      <c r="G48" s="51">
        <f>AHS!$H$508</f>
        <v>673000</v>
      </c>
      <c r="H48" s="360">
        <f t="shared" si="7"/>
        <v>4038000</v>
      </c>
    </row>
    <row r="49" spans="2:8" ht="18" customHeight="1" x14ac:dyDescent="0.3">
      <c r="B49" s="366"/>
      <c r="C49" s="32" t="s">
        <v>441</v>
      </c>
      <c r="D49" s="351"/>
      <c r="E49" s="34">
        <v>10</v>
      </c>
      <c r="F49" s="355" t="s">
        <v>317</v>
      </c>
      <c r="G49" s="51">
        <f>AHS!$H$490</f>
        <v>72000</v>
      </c>
      <c r="H49" s="360">
        <f t="shared" si="7"/>
        <v>720000</v>
      </c>
    </row>
    <row r="50" spans="2:8" ht="18" customHeight="1" x14ac:dyDescent="0.3">
      <c r="B50" s="366"/>
      <c r="C50" s="32" t="s">
        <v>443</v>
      </c>
      <c r="D50" s="351"/>
      <c r="E50" s="34">
        <v>6</v>
      </c>
      <c r="F50" s="355" t="s">
        <v>267</v>
      </c>
      <c r="G50" s="51">
        <f>AHS!$H$453</f>
        <v>127000</v>
      </c>
      <c r="H50" s="360">
        <f t="shared" si="7"/>
        <v>762000</v>
      </c>
    </row>
    <row r="51" spans="2:8" ht="18" customHeight="1" x14ac:dyDescent="0.3">
      <c r="B51" s="366"/>
      <c r="C51" s="32" t="s">
        <v>466</v>
      </c>
      <c r="D51" s="351" t="s">
        <v>444</v>
      </c>
      <c r="E51" s="34">
        <v>6</v>
      </c>
      <c r="F51" s="355" t="s">
        <v>42</v>
      </c>
      <c r="G51" s="51">
        <f>AHS!$H$471</f>
        <v>194100</v>
      </c>
      <c r="H51" s="360">
        <f t="shared" ref="H51" si="8">E51*G51</f>
        <v>1164600</v>
      </c>
    </row>
    <row r="52" spans="2:8" ht="18" customHeight="1" x14ac:dyDescent="0.3">
      <c r="B52" s="366"/>
      <c r="D52" s="351"/>
      <c r="F52" s="355"/>
      <c r="H52" s="360"/>
    </row>
    <row r="53" spans="2:8" ht="18" customHeight="1" x14ac:dyDescent="0.3">
      <c r="B53" s="366"/>
      <c r="D53" s="351"/>
      <c r="F53" s="355"/>
      <c r="H53" s="360"/>
    </row>
    <row r="54" spans="2:8" ht="18" customHeight="1" x14ac:dyDescent="0.3">
      <c r="B54" s="368" t="s">
        <v>504</v>
      </c>
      <c r="C54" s="33" t="s">
        <v>174</v>
      </c>
      <c r="D54" s="351"/>
      <c r="F54" s="355"/>
      <c r="H54" s="360"/>
    </row>
    <row r="55" spans="2:8" ht="18" customHeight="1" x14ac:dyDescent="0.3">
      <c r="B55" s="366">
        <v>1</v>
      </c>
      <c r="C55" s="32" t="s">
        <v>175</v>
      </c>
      <c r="D55" s="351" t="s">
        <v>344</v>
      </c>
      <c r="E55" s="34">
        <f>E19</f>
        <v>2566.5000000000005</v>
      </c>
      <c r="F55" s="355" t="s">
        <v>15</v>
      </c>
      <c r="G55" s="51">
        <f>AHS!$H$191</f>
        <v>73300</v>
      </c>
      <c r="H55" s="360">
        <f t="shared" ref="H55:H57" si="9">E55*G55</f>
        <v>188124450.00000003</v>
      </c>
    </row>
    <row r="56" spans="2:8" ht="18" customHeight="1" x14ac:dyDescent="0.3">
      <c r="B56" s="366">
        <v>2</v>
      </c>
      <c r="C56" s="32" t="s">
        <v>176</v>
      </c>
      <c r="D56" s="351" t="s">
        <v>344</v>
      </c>
      <c r="E56" s="34">
        <f>E22</f>
        <v>1053.5</v>
      </c>
      <c r="F56" s="355" t="s">
        <v>15</v>
      </c>
      <c r="G56" s="51">
        <f>AHS!$H$228</f>
        <v>62800</v>
      </c>
      <c r="H56" s="360">
        <f t="shared" si="9"/>
        <v>66159800</v>
      </c>
    </row>
    <row r="57" spans="2:8" ht="18" customHeight="1" x14ac:dyDescent="0.3">
      <c r="B57" s="366">
        <v>3</v>
      </c>
      <c r="C57" s="32" t="s">
        <v>177</v>
      </c>
      <c r="D57" s="351"/>
      <c r="E57" s="34">
        <f>'ANALISA VOLUME'!E63</f>
        <v>697.57999999999993</v>
      </c>
      <c r="F57" s="355" t="s">
        <v>15</v>
      </c>
      <c r="G57" s="51">
        <f>AHS!$H$247</f>
        <v>96400</v>
      </c>
      <c r="H57" s="360">
        <f t="shared" si="9"/>
        <v>67246712</v>
      </c>
    </row>
    <row r="58" spans="2:8" ht="18" customHeight="1" x14ac:dyDescent="0.3">
      <c r="B58" s="366"/>
      <c r="D58" s="351"/>
      <c r="F58" s="355"/>
      <c r="H58" s="360"/>
    </row>
    <row r="59" spans="2:8" ht="18" customHeight="1" x14ac:dyDescent="0.3">
      <c r="B59" s="366"/>
      <c r="D59" s="351"/>
      <c r="F59" s="355"/>
      <c r="H59" s="360"/>
    </row>
    <row r="60" spans="2:8" ht="18" customHeight="1" x14ac:dyDescent="0.3">
      <c r="B60" s="368" t="s">
        <v>505</v>
      </c>
      <c r="C60" s="33" t="s">
        <v>421</v>
      </c>
      <c r="D60" s="351"/>
      <c r="F60" s="355"/>
      <c r="H60" s="360"/>
    </row>
    <row r="61" spans="2:8" ht="18" customHeight="1" x14ac:dyDescent="0.3">
      <c r="B61" s="366">
        <v>1</v>
      </c>
      <c r="C61" s="32" t="s">
        <v>422</v>
      </c>
      <c r="D61" s="351" t="s">
        <v>547</v>
      </c>
      <c r="E61" s="34">
        <f>(10.87*4)+(1.75*4)+3.42</f>
        <v>53.9</v>
      </c>
      <c r="F61" s="355" t="s">
        <v>107</v>
      </c>
      <c r="G61" s="51">
        <f>AHS!$H$549</f>
        <v>315000</v>
      </c>
      <c r="H61" s="360">
        <f t="shared" ref="H61" si="10">E61*G61</f>
        <v>16978500</v>
      </c>
    </row>
    <row r="62" spans="2:8" ht="18" customHeight="1" x14ac:dyDescent="0.3">
      <c r="B62" s="366">
        <v>2</v>
      </c>
      <c r="C62" s="32" t="s">
        <v>548</v>
      </c>
      <c r="D62" s="351"/>
      <c r="E62" s="34">
        <f>120*0.2</f>
        <v>24</v>
      </c>
      <c r="F62" s="355" t="s">
        <v>107</v>
      </c>
      <c r="G62" s="51">
        <f>AHS!Q666</f>
        <v>142400</v>
      </c>
      <c r="H62" s="360">
        <f t="shared" ref="H62" si="11">E62*G62</f>
        <v>3417600</v>
      </c>
    </row>
    <row r="63" spans="2:8" ht="18" customHeight="1" x14ac:dyDescent="0.3">
      <c r="B63" s="366"/>
      <c r="D63" s="351"/>
      <c r="F63" s="355"/>
      <c r="H63" s="360"/>
    </row>
    <row r="64" spans="2:8" ht="8.4" customHeight="1" x14ac:dyDescent="0.3">
      <c r="B64" s="366"/>
      <c r="D64" s="351"/>
      <c r="F64" s="355"/>
      <c r="H64" s="360"/>
    </row>
    <row r="65" spans="1:11" s="45" customFormat="1" ht="24" customHeight="1" x14ac:dyDescent="0.3">
      <c r="A65" s="23"/>
      <c r="B65" s="369"/>
      <c r="C65" s="318"/>
      <c r="D65" s="352"/>
      <c r="E65" s="319"/>
      <c r="F65" s="356"/>
      <c r="G65" s="320" t="s">
        <v>550</v>
      </c>
      <c r="H65" s="362">
        <f>SUM(H14:H64)</f>
        <v>1463732032.9625001</v>
      </c>
      <c r="I65" s="23"/>
      <c r="J65" s="23"/>
      <c r="K65" s="47"/>
    </row>
    <row r="66" spans="1:11" ht="18" customHeight="1" x14ac:dyDescent="0.3">
      <c r="B66" s="366"/>
      <c r="D66" s="351"/>
      <c r="F66" s="355"/>
      <c r="H66" s="360"/>
    </row>
    <row r="67" spans="1:11" ht="18" customHeight="1" x14ac:dyDescent="0.3">
      <c r="B67" s="367" t="s">
        <v>160</v>
      </c>
      <c r="C67" s="371" t="s">
        <v>178</v>
      </c>
      <c r="D67" s="352"/>
      <c r="E67" s="321"/>
      <c r="F67" s="356"/>
      <c r="G67" s="322"/>
      <c r="H67" s="361"/>
    </row>
    <row r="68" spans="1:11" ht="18" customHeight="1" x14ac:dyDescent="0.3">
      <c r="B68" s="366"/>
      <c r="D68" s="351"/>
      <c r="F68" s="355"/>
      <c r="H68" s="360"/>
    </row>
    <row r="69" spans="1:11" ht="18" customHeight="1" x14ac:dyDescent="0.3">
      <c r="B69" s="368" t="s">
        <v>506</v>
      </c>
      <c r="C69" s="33" t="s">
        <v>164</v>
      </c>
      <c r="D69" s="351"/>
      <c r="F69" s="355"/>
      <c r="H69" s="360"/>
    </row>
    <row r="70" spans="1:11" ht="18" customHeight="1" x14ac:dyDescent="0.3">
      <c r="B70" s="366">
        <v>1</v>
      </c>
      <c r="C70" s="32" t="s">
        <v>157</v>
      </c>
      <c r="D70" s="351"/>
      <c r="E70" s="34">
        <f>'ANALISA VOLUME'!F16-'ANALISA VOLUME'!O40</f>
        <v>1773.4364999999998</v>
      </c>
      <c r="F70" s="355" t="s">
        <v>15</v>
      </c>
      <c r="G70" s="51">
        <f>AHS!$Q$5</f>
        <v>153400</v>
      </c>
      <c r="H70" s="360">
        <f>E70*G70</f>
        <v>272045159.09999996</v>
      </c>
    </row>
    <row r="71" spans="1:11" ht="18" customHeight="1" x14ac:dyDescent="0.3">
      <c r="B71" s="366"/>
      <c r="C71" s="32" t="s">
        <v>341</v>
      </c>
      <c r="D71" s="351" t="s">
        <v>342</v>
      </c>
      <c r="F71" s="355"/>
      <c r="G71" s="51">
        <f>AHS!$Q$5</f>
        <v>153400</v>
      </c>
      <c r="H71" s="360"/>
    </row>
    <row r="72" spans="1:11" ht="18" customHeight="1" x14ac:dyDescent="0.3">
      <c r="B72" s="366"/>
      <c r="C72" s="32" t="s">
        <v>487</v>
      </c>
      <c r="D72" s="351" t="s">
        <v>489</v>
      </c>
      <c r="F72" s="355"/>
      <c r="G72" s="51">
        <f>AHS!$Q$28+AHS!$Q$172</f>
        <v>243700</v>
      </c>
      <c r="H72" s="360"/>
    </row>
    <row r="73" spans="1:11" ht="18" customHeight="1" x14ac:dyDescent="0.3">
      <c r="B73" s="366">
        <v>2</v>
      </c>
      <c r="C73" s="32" t="s">
        <v>159</v>
      </c>
      <c r="D73" s="351"/>
      <c r="E73" s="34">
        <f>E70*2</f>
        <v>3546.8729999999996</v>
      </c>
      <c r="F73" s="355" t="s">
        <v>15</v>
      </c>
      <c r="G73" s="51">
        <f>AHS!$H$50+AHS!$H$69</f>
        <v>111300</v>
      </c>
      <c r="H73" s="360">
        <f t="shared" ref="H73:H75" si="12">E73*G73</f>
        <v>394766964.89999998</v>
      </c>
    </row>
    <row r="74" spans="1:11" ht="18" customHeight="1" x14ac:dyDescent="0.3">
      <c r="B74" s="366">
        <v>3</v>
      </c>
      <c r="C74" s="32" t="s">
        <v>165</v>
      </c>
      <c r="D74" s="351"/>
      <c r="E74" s="34">
        <f>'ANALISA VOLUME'!M81</f>
        <v>233.91199999999998</v>
      </c>
      <c r="F74" s="355" t="s">
        <v>15</v>
      </c>
      <c r="G74" s="51">
        <f>AHS!$H$151</f>
        <v>269900</v>
      </c>
      <c r="H74" s="360">
        <f t="shared" si="12"/>
        <v>63132848.799999997</v>
      </c>
    </row>
    <row r="75" spans="1:11" ht="18" customHeight="1" x14ac:dyDescent="0.3">
      <c r="B75" s="366">
        <v>4</v>
      </c>
      <c r="C75" s="32" t="s">
        <v>170</v>
      </c>
      <c r="D75" s="351"/>
      <c r="E75" s="34">
        <f>(28*3.2)</f>
        <v>89.600000000000009</v>
      </c>
      <c r="F75" s="355" t="s">
        <v>15</v>
      </c>
      <c r="G75" s="51">
        <v>150000</v>
      </c>
      <c r="H75" s="360">
        <f t="shared" si="12"/>
        <v>13440000.000000002</v>
      </c>
    </row>
    <row r="76" spans="1:11" ht="18" customHeight="1" x14ac:dyDescent="0.3">
      <c r="B76" s="366"/>
      <c r="D76" s="351"/>
      <c r="F76" s="355"/>
      <c r="H76" s="360"/>
    </row>
    <row r="77" spans="1:11" ht="18" customHeight="1" x14ac:dyDescent="0.3">
      <c r="B77" s="368" t="s">
        <v>507</v>
      </c>
      <c r="C77" s="33" t="s">
        <v>161</v>
      </c>
      <c r="D77" s="351"/>
      <c r="F77" s="355"/>
      <c r="H77" s="360"/>
    </row>
    <row r="78" spans="1:11" ht="18" customHeight="1" x14ac:dyDescent="0.3">
      <c r="B78" s="366">
        <v>1</v>
      </c>
      <c r="C78" s="32" t="s">
        <v>166</v>
      </c>
      <c r="D78" s="351"/>
      <c r="E78" s="34">
        <f>'ANALISA VOLUME'!F65</f>
        <v>1053.5</v>
      </c>
      <c r="F78" s="355" t="s">
        <v>15</v>
      </c>
      <c r="G78" s="51">
        <f>AHS!$Q$172+AHS!$H$172</f>
        <v>194000</v>
      </c>
      <c r="H78" s="360">
        <f t="shared" ref="H78:H79" si="13">E78*G78</f>
        <v>204379000</v>
      </c>
    </row>
    <row r="79" spans="1:11" ht="18" customHeight="1" x14ac:dyDescent="0.3">
      <c r="B79" s="366">
        <v>2</v>
      </c>
      <c r="C79" s="32" t="s">
        <v>167</v>
      </c>
      <c r="D79" s="351"/>
      <c r="E79" s="34">
        <f>('ANALISA VOLUME'!F13+'ANALISA VOLUME'!F14)*2</f>
        <v>1080.3699999999999</v>
      </c>
      <c r="F79" s="355" t="s">
        <v>107</v>
      </c>
      <c r="G79" s="51">
        <v>35000</v>
      </c>
      <c r="H79" s="360">
        <f t="shared" si="13"/>
        <v>37812949.999999993</v>
      </c>
    </row>
    <row r="80" spans="1:11" ht="18" customHeight="1" x14ac:dyDescent="0.3">
      <c r="B80" s="366"/>
      <c r="D80" s="351"/>
      <c r="F80" s="355"/>
      <c r="H80" s="360"/>
    </row>
    <row r="81" spans="2:8" ht="18" customHeight="1" x14ac:dyDescent="0.3">
      <c r="B81" s="368" t="s">
        <v>508</v>
      </c>
      <c r="C81" s="33" t="s">
        <v>163</v>
      </c>
      <c r="D81" s="351"/>
      <c r="F81" s="355"/>
      <c r="H81" s="360"/>
    </row>
    <row r="82" spans="2:8" ht="18" customHeight="1" x14ac:dyDescent="0.3">
      <c r="B82" s="366">
        <v>1</v>
      </c>
      <c r="C82" s="32" t="s">
        <v>168</v>
      </c>
      <c r="D82" s="351"/>
      <c r="E82" s="34">
        <f>'ANALISA VOLUME'!F81+'ANALISA VOLUME'!F84</f>
        <v>908.44800000000009</v>
      </c>
      <c r="F82" s="355" t="s">
        <v>15</v>
      </c>
      <c r="H82" s="360"/>
    </row>
    <row r="83" spans="2:8" ht="18" customHeight="1" x14ac:dyDescent="0.3">
      <c r="B83" s="366"/>
      <c r="C83" s="32" t="s">
        <v>336</v>
      </c>
      <c r="D83" s="351" t="s">
        <v>343</v>
      </c>
      <c r="E83" s="34">
        <f>'ANALISA VOLUME'!L81</f>
        <v>41.094499999999996</v>
      </c>
      <c r="F83" s="355" t="s">
        <v>15</v>
      </c>
      <c r="G83" s="51">
        <f>AHS!$H$87</f>
        <v>222000</v>
      </c>
      <c r="H83" s="360">
        <f t="shared" ref="H83:H85" si="14">E83*G83</f>
        <v>9122979</v>
      </c>
    </row>
    <row r="84" spans="2:8" ht="18" customHeight="1" x14ac:dyDescent="0.3">
      <c r="B84" s="366"/>
      <c r="C84" s="32" t="s">
        <v>337</v>
      </c>
      <c r="D84" s="351" t="s">
        <v>343</v>
      </c>
      <c r="E84" s="34">
        <f>E82-E83</f>
        <v>867.35350000000005</v>
      </c>
      <c r="F84" s="355" t="s">
        <v>15</v>
      </c>
      <c r="G84" s="51">
        <f>AHS!$H$109</f>
        <v>354000</v>
      </c>
      <c r="H84" s="360">
        <f t="shared" si="14"/>
        <v>307043139</v>
      </c>
    </row>
    <row r="85" spans="2:8" ht="18" customHeight="1" x14ac:dyDescent="0.3">
      <c r="B85" s="366">
        <v>2</v>
      </c>
      <c r="C85" s="32" t="s">
        <v>169</v>
      </c>
      <c r="D85" s="351"/>
      <c r="E85" s="34">
        <f>E79</f>
        <v>1080.3699999999999</v>
      </c>
      <c r="F85" s="355" t="s">
        <v>107</v>
      </c>
      <c r="G85" s="51">
        <f>AHS!$H$130</f>
        <v>40400</v>
      </c>
      <c r="H85" s="360">
        <f t="shared" si="14"/>
        <v>43646947.999999993</v>
      </c>
    </row>
    <row r="86" spans="2:8" ht="18" customHeight="1" x14ac:dyDescent="0.3">
      <c r="B86" s="366"/>
      <c r="D86" s="351"/>
      <c r="F86" s="355"/>
      <c r="H86" s="360"/>
    </row>
    <row r="87" spans="2:8" ht="18" customHeight="1" x14ac:dyDescent="0.3">
      <c r="B87" s="368" t="s">
        <v>509</v>
      </c>
      <c r="C87" s="33" t="s">
        <v>172</v>
      </c>
      <c r="D87" s="351"/>
      <c r="F87" s="355"/>
      <c r="H87" s="360"/>
    </row>
    <row r="88" spans="2:8" ht="18" customHeight="1" x14ac:dyDescent="0.3">
      <c r="B88" s="366">
        <v>1</v>
      </c>
      <c r="C88" s="32" t="s">
        <v>38</v>
      </c>
      <c r="D88" s="351"/>
      <c r="E88" s="34">
        <v>19</v>
      </c>
      <c r="F88" s="355" t="s">
        <v>42</v>
      </c>
      <c r="G88" s="51">
        <f>'ANALISA PINTU JENDELA'!F16</f>
        <v>5421570.9249999998</v>
      </c>
      <c r="H88" s="360">
        <f t="shared" ref="H88:H91" si="15">E88*G88</f>
        <v>103009847.575</v>
      </c>
    </row>
    <row r="89" spans="2:8" ht="18" customHeight="1" x14ac:dyDescent="0.3">
      <c r="B89" s="366">
        <v>2</v>
      </c>
      <c r="C89" s="32" t="s">
        <v>39</v>
      </c>
      <c r="D89" s="351"/>
      <c r="E89" s="34">
        <f>26+3</f>
        <v>29</v>
      </c>
      <c r="F89" s="355" t="s">
        <v>42</v>
      </c>
      <c r="G89" s="51">
        <f>'ANALISA PINTU JENDELA'!F28</f>
        <v>5638214.8249999993</v>
      </c>
      <c r="H89" s="360">
        <f t="shared" si="15"/>
        <v>163508229.92499998</v>
      </c>
    </row>
    <row r="90" spans="2:8" ht="18" customHeight="1" x14ac:dyDescent="0.3">
      <c r="B90" s="366">
        <v>3</v>
      </c>
      <c r="C90" s="32" t="s">
        <v>40</v>
      </c>
      <c r="D90" s="351"/>
      <c r="E90" s="34">
        <v>9</v>
      </c>
      <c r="F90" s="355" t="s">
        <v>42</v>
      </c>
      <c r="G90" s="51">
        <f>'ANALISA PINTU JENDELA'!F41</f>
        <v>7187743.2249999996</v>
      </c>
      <c r="H90" s="360">
        <f t="shared" si="15"/>
        <v>64689689.024999999</v>
      </c>
    </row>
    <row r="91" spans="2:8" ht="18" customHeight="1" x14ac:dyDescent="0.3">
      <c r="B91" s="366">
        <v>4</v>
      </c>
      <c r="C91" s="32" t="s">
        <v>44</v>
      </c>
      <c r="D91" s="351"/>
      <c r="E91" s="34">
        <v>1</v>
      </c>
      <c r="F91" s="355" t="s">
        <v>42</v>
      </c>
      <c r="G91" s="51">
        <f>'ANALISA PINTU JENDELA'!F68</f>
        <v>8920894.4249999989</v>
      </c>
      <c r="H91" s="360">
        <f t="shared" si="15"/>
        <v>8920894.4249999989</v>
      </c>
    </row>
    <row r="92" spans="2:8" ht="18" customHeight="1" x14ac:dyDescent="0.3">
      <c r="B92" s="366">
        <v>5</v>
      </c>
      <c r="C92" s="32" t="s">
        <v>321</v>
      </c>
      <c r="D92" s="351"/>
      <c r="E92" s="34">
        <v>1</v>
      </c>
      <c r="F92" s="355" t="s">
        <v>42</v>
      </c>
      <c r="G92" s="51">
        <f>'ANALISA PINTU JENDELA'!N17</f>
        <v>8856624.9499999993</v>
      </c>
      <c r="H92" s="360">
        <f t="shared" ref="H92:H95" si="16">E92*G92</f>
        <v>8856624.9499999993</v>
      </c>
    </row>
    <row r="93" spans="2:8" ht="18" customHeight="1" x14ac:dyDescent="0.3">
      <c r="B93" s="366">
        <v>6</v>
      </c>
      <c r="C93" s="32" t="s">
        <v>46</v>
      </c>
      <c r="D93" s="351"/>
      <c r="E93" s="34">
        <v>1</v>
      </c>
      <c r="F93" s="355" t="s">
        <v>42</v>
      </c>
      <c r="G93" s="51">
        <f>'ANALISA PINTU JENDELA'!N29</f>
        <v>4946365.961538461</v>
      </c>
      <c r="H93" s="360">
        <f t="shared" si="16"/>
        <v>4946365.961538461</v>
      </c>
    </row>
    <row r="94" spans="2:8" ht="18" customHeight="1" x14ac:dyDescent="0.3">
      <c r="B94" s="366">
        <v>7</v>
      </c>
      <c r="C94" s="32" t="s">
        <v>48</v>
      </c>
      <c r="D94" s="351"/>
      <c r="E94" s="34">
        <v>1</v>
      </c>
      <c r="F94" s="355" t="s">
        <v>42</v>
      </c>
      <c r="G94" s="51">
        <f>'ANALISA PINTU JENDELA'!N56</f>
        <v>3816030.9615384615</v>
      </c>
      <c r="H94" s="360">
        <f t="shared" si="16"/>
        <v>3816030.9615384615</v>
      </c>
    </row>
    <row r="95" spans="2:8" ht="18" customHeight="1" x14ac:dyDescent="0.3">
      <c r="B95" s="366">
        <v>8</v>
      </c>
      <c r="C95" s="32" t="s">
        <v>47</v>
      </c>
      <c r="D95" s="351"/>
      <c r="E95" s="34">
        <v>1</v>
      </c>
      <c r="F95" s="355" t="s">
        <v>42</v>
      </c>
      <c r="G95" s="51">
        <f>'ANALISA PINTU JENDELA'!F72</f>
        <v>0</v>
      </c>
      <c r="H95" s="360">
        <f t="shared" si="16"/>
        <v>0</v>
      </c>
    </row>
    <row r="96" spans="2:8" ht="18" customHeight="1" x14ac:dyDescent="0.3">
      <c r="B96" s="366"/>
      <c r="D96" s="351"/>
      <c r="F96" s="355"/>
      <c r="H96" s="360"/>
    </row>
    <row r="97" spans="2:8" ht="18" customHeight="1" x14ac:dyDescent="0.3">
      <c r="B97" s="366"/>
      <c r="D97" s="351"/>
      <c r="F97" s="355"/>
      <c r="H97" s="360"/>
    </row>
    <row r="98" spans="2:8" ht="18" customHeight="1" x14ac:dyDescent="0.3">
      <c r="B98" s="368" t="s">
        <v>510</v>
      </c>
      <c r="C98" s="33" t="s">
        <v>437</v>
      </c>
      <c r="D98" s="351"/>
      <c r="F98" s="355"/>
      <c r="H98" s="360"/>
    </row>
    <row r="99" spans="2:8" ht="18" customHeight="1" x14ac:dyDescent="0.3">
      <c r="B99" s="366">
        <v>1</v>
      </c>
      <c r="C99" s="32" t="s">
        <v>438</v>
      </c>
      <c r="D99" s="351"/>
      <c r="F99" s="355"/>
      <c r="H99" s="360"/>
    </row>
    <row r="100" spans="2:8" ht="18" customHeight="1" x14ac:dyDescent="0.3">
      <c r="B100" s="366"/>
      <c r="C100" s="32" t="s">
        <v>442</v>
      </c>
      <c r="D100" s="351" t="s">
        <v>444</v>
      </c>
      <c r="E100" s="34">
        <v>13</v>
      </c>
      <c r="F100" s="355" t="s">
        <v>42</v>
      </c>
      <c r="G100" s="51">
        <f>AHS!$H$415</f>
        <v>2107200</v>
      </c>
      <c r="H100" s="360">
        <f t="shared" ref="H100:H105" si="17">E100*G100</f>
        <v>27393600</v>
      </c>
    </row>
    <row r="101" spans="2:8" ht="18" customHeight="1" x14ac:dyDescent="0.3">
      <c r="B101" s="366"/>
      <c r="C101" s="32" t="s">
        <v>439</v>
      </c>
      <c r="D101" s="351" t="s">
        <v>444</v>
      </c>
      <c r="E101" s="34">
        <v>4</v>
      </c>
      <c r="F101" s="355" t="s">
        <v>267</v>
      </c>
      <c r="G101" s="51">
        <f>AHS!$H$434</f>
        <v>845000</v>
      </c>
      <c r="H101" s="360">
        <f t="shared" si="17"/>
        <v>3380000</v>
      </c>
    </row>
    <row r="102" spans="2:8" ht="18" customHeight="1" x14ac:dyDescent="0.3">
      <c r="B102" s="366"/>
      <c r="C102" s="32" t="s">
        <v>440</v>
      </c>
      <c r="D102" s="351" t="s">
        <v>444</v>
      </c>
      <c r="E102" s="34">
        <v>23</v>
      </c>
      <c r="F102" s="355" t="s">
        <v>42</v>
      </c>
      <c r="G102" s="51">
        <f>AHS!$H$508</f>
        <v>673000</v>
      </c>
      <c r="H102" s="360">
        <f t="shared" si="17"/>
        <v>15479000</v>
      </c>
    </row>
    <row r="103" spans="2:8" ht="18" customHeight="1" x14ac:dyDescent="0.3">
      <c r="B103" s="366"/>
      <c r="C103" s="32" t="s">
        <v>441</v>
      </c>
      <c r="D103" s="351"/>
      <c r="E103" s="34">
        <v>15</v>
      </c>
      <c r="F103" s="355" t="s">
        <v>317</v>
      </c>
      <c r="G103" s="51">
        <f>AHS!$H$490</f>
        <v>72000</v>
      </c>
      <c r="H103" s="360">
        <f t="shared" si="17"/>
        <v>1080000</v>
      </c>
    </row>
    <row r="104" spans="2:8" ht="18" customHeight="1" x14ac:dyDescent="0.3">
      <c r="B104" s="366"/>
      <c r="C104" s="32" t="s">
        <v>443</v>
      </c>
      <c r="D104" s="351"/>
      <c r="E104" s="34">
        <v>8</v>
      </c>
      <c r="F104" s="355" t="s">
        <v>267</v>
      </c>
      <c r="G104" s="51">
        <f>AHS!$H$453</f>
        <v>127000</v>
      </c>
      <c r="H104" s="360">
        <f t="shared" si="17"/>
        <v>1016000</v>
      </c>
    </row>
    <row r="105" spans="2:8" ht="18" customHeight="1" x14ac:dyDescent="0.3">
      <c r="B105" s="366"/>
      <c r="C105" s="32" t="s">
        <v>466</v>
      </c>
      <c r="D105" s="351" t="s">
        <v>444</v>
      </c>
      <c r="E105" s="34">
        <v>13</v>
      </c>
      <c r="F105" s="355" t="s">
        <v>42</v>
      </c>
      <c r="G105" s="51">
        <f>AHS!$H$471</f>
        <v>194100</v>
      </c>
      <c r="H105" s="360">
        <f t="shared" si="17"/>
        <v>2523300</v>
      </c>
    </row>
    <row r="106" spans="2:8" ht="18" customHeight="1" x14ac:dyDescent="0.3">
      <c r="B106" s="366"/>
      <c r="D106" s="351"/>
      <c r="F106" s="355"/>
      <c r="H106" s="360"/>
    </row>
    <row r="107" spans="2:8" ht="18" customHeight="1" x14ac:dyDescent="0.3">
      <c r="B107" s="368" t="s">
        <v>511</v>
      </c>
      <c r="C107" s="33" t="s">
        <v>174</v>
      </c>
      <c r="D107" s="351"/>
      <c r="F107" s="355"/>
      <c r="H107" s="360"/>
    </row>
    <row r="108" spans="2:8" ht="18" customHeight="1" x14ac:dyDescent="0.3">
      <c r="B108" s="366">
        <v>1</v>
      </c>
      <c r="C108" s="32" t="s">
        <v>175</v>
      </c>
      <c r="D108" s="351"/>
      <c r="E108" s="34">
        <f>E73</f>
        <v>3546.8729999999996</v>
      </c>
      <c r="F108" s="355" t="s">
        <v>15</v>
      </c>
      <c r="G108" s="51">
        <f>AHS!$H$191</f>
        <v>73300</v>
      </c>
      <c r="H108" s="360">
        <f t="shared" ref="H108:H110" si="18">E108*G108</f>
        <v>259985790.89999998</v>
      </c>
    </row>
    <row r="109" spans="2:8" ht="18" customHeight="1" x14ac:dyDescent="0.3">
      <c r="B109" s="366">
        <v>2</v>
      </c>
      <c r="C109" s="32" t="s">
        <v>176</v>
      </c>
      <c r="D109" s="351"/>
      <c r="E109" s="34">
        <f>E78</f>
        <v>1053.5</v>
      </c>
      <c r="F109" s="355" t="s">
        <v>15</v>
      </c>
      <c r="G109" s="51">
        <f>AHS!$H$228</f>
        <v>62800</v>
      </c>
      <c r="H109" s="360">
        <f t="shared" si="18"/>
        <v>66159800</v>
      </c>
    </row>
    <row r="110" spans="2:8" ht="18" customHeight="1" x14ac:dyDescent="0.3">
      <c r="B110" s="366">
        <v>3</v>
      </c>
      <c r="C110" s="32" t="s">
        <v>177</v>
      </c>
      <c r="D110" s="351"/>
      <c r="F110" s="355" t="s">
        <v>15</v>
      </c>
      <c r="G110" s="51">
        <f>AHS!$H$247</f>
        <v>96400</v>
      </c>
      <c r="H110" s="360">
        <f t="shared" si="18"/>
        <v>0</v>
      </c>
    </row>
    <row r="111" spans="2:8" ht="18" customHeight="1" x14ac:dyDescent="0.3">
      <c r="B111" s="366"/>
      <c r="D111" s="351"/>
      <c r="F111" s="355"/>
      <c r="H111" s="360"/>
    </row>
    <row r="112" spans="2:8" ht="18" customHeight="1" x14ac:dyDescent="0.3">
      <c r="B112" s="368" t="s">
        <v>512</v>
      </c>
      <c r="C112" s="33" t="s">
        <v>421</v>
      </c>
      <c r="D112" s="351"/>
      <c r="F112" s="355"/>
      <c r="H112" s="360"/>
    </row>
    <row r="113" spans="1:11" ht="18" customHeight="1" x14ac:dyDescent="0.3">
      <c r="B113" s="366">
        <v>1</v>
      </c>
      <c r="C113" s="32" t="s">
        <v>422</v>
      </c>
      <c r="D113" s="351"/>
      <c r="E113" s="34">
        <f>(11.25*4)+(1.75*4)+3.42</f>
        <v>55.42</v>
      </c>
      <c r="F113" s="355" t="s">
        <v>107</v>
      </c>
      <c r="G113" s="51">
        <f>AHS!$H$549</f>
        <v>315000</v>
      </c>
      <c r="H113" s="360">
        <f t="shared" ref="H113" si="19">E113*G113</f>
        <v>17457300</v>
      </c>
    </row>
    <row r="114" spans="1:11" ht="18" customHeight="1" x14ac:dyDescent="0.3">
      <c r="B114" s="366">
        <v>2</v>
      </c>
      <c r="C114" s="32" t="s">
        <v>467</v>
      </c>
      <c r="D114" s="351"/>
      <c r="F114" s="355"/>
      <c r="H114" s="360"/>
    </row>
    <row r="115" spans="1:11" ht="18" customHeight="1" x14ac:dyDescent="0.3">
      <c r="B115" s="366"/>
      <c r="C115" s="32" t="s">
        <v>544</v>
      </c>
      <c r="D115" s="351"/>
      <c r="E115" s="34">
        <f>(3.4*2)+(2.4*2)+(0.87+0.87+2.3)</f>
        <v>15.64</v>
      </c>
      <c r="F115" s="355" t="s">
        <v>107</v>
      </c>
      <c r="G115" s="51">
        <v>350000</v>
      </c>
      <c r="H115" s="360">
        <f t="shared" ref="H115:H116" si="20">E115*G115</f>
        <v>5474000</v>
      </c>
    </row>
    <row r="116" spans="1:11" ht="18" customHeight="1" x14ac:dyDescent="0.3">
      <c r="B116" s="366"/>
      <c r="C116" s="32" t="s">
        <v>545</v>
      </c>
      <c r="D116" s="351"/>
      <c r="E116" s="34">
        <f t="shared" ref="E116:E117" si="21">(3.06*2)+(3.06*2)+(0.87+0.87+2.3)</f>
        <v>16.28</v>
      </c>
      <c r="F116" s="355" t="s">
        <v>107</v>
      </c>
      <c r="G116" s="51">
        <v>350000</v>
      </c>
      <c r="H116" s="360">
        <f t="shared" si="20"/>
        <v>5698000</v>
      </c>
    </row>
    <row r="117" spans="1:11" ht="18" customHeight="1" x14ac:dyDescent="0.3">
      <c r="B117" s="366"/>
      <c r="C117" s="32" t="s">
        <v>546</v>
      </c>
      <c r="D117" s="351"/>
      <c r="E117" s="34">
        <f t="shared" si="21"/>
        <v>16.28</v>
      </c>
      <c r="F117" s="355" t="s">
        <v>107</v>
      </c>
      <c r="G117" s="51">
        <v>350000</v>
      </c>
      <c r="H117" s="360">
        <f t="shared" ref="H117" si="22">E117*G117</f>
        <v>5698000</v>
      </c>
    </row>
    <row r="118" spans="1:11" ht="18" customHeight="1" x14ac:dyDescent="0.3">
      <c r="B118" s="366"/>
      <c r="D118" s="351"/>
      <c r="F118" s="355"/>
      <c r="H118" s="360"/>
    </row>
    <row r="119" spans="1:11" ht="7.8" customHeight="1" x14ac:dyDescent="0.3">
      <c r="B119" s="366"/>
      <c r="D119" s="351"/>
      <c r="F119" s="355"/>
      <c r="H119" s="360"/>
    </row>
    <row r="120" spans="1:11" s="45" customFormat="1" ht="24" customHeight="1" x14ac:dyDescent="0.3">
      <c r="A120" s="23"/>
      <c r="B120" s="369"/>
      <c r="C120" s="318"/>
      <c r="D120" s="352"/>
      <c r="E120" s="319"/>
      <c r="F120" s="356"/>
      <c r="G120" s="320" t="s">
        <v>551</v>
      </c>
      <c r="H120" s="362">
        <f>SUM(H68:H119)</f>
        <v>2114482462.523077</v>
      </c>
      <c r="I120" s="23"/>
      <c r="J120" s="23"/>
      <c r="K120" s="47"/>
    </row>
    <row r="121" spans="1:11" ht="18" customHeight="1" x14ac:dyDescent="0.3">
      <c r="B121" s="366"/>
      <c r="D121" s="351"/>
      <c r="F121" s="355"/>
      <c r="H121" s="360"/>
    </row>
    <row r="122" spans="1:11" ht="18" customHeight="1" x14ac:dyDescent="0.3">
      <c r="B122" s="367" t="s">
        <v>162</v>
      </c>
      <c r="C122" s="371" t="s">
        <v>179</v>
      </c>
      <c r="D122" s="352"/>
      <c r="E122" s="321"/>
      <c r="F122" s="356"/>
      <c r="G122" s="322"/>
      <c r="H122" s="361"/>
    </row>
    <row r="123" spans="1:11" ht="18" customHeight="1" x14ac:dyDescent="0.3">
      <c r="B123" s="366"/>
      <c r="D123" s="351"/>
      <c r="F123" s="355"/>
      <c r="H123" s="360"/>
    </row>
    <row r="124" spans="1:11" ht="18" customHeight="1" x14ac:dyDescent="0.3">
      <c r="B124" s="368" t="s">
        <v>513</v>
      </c>
      <c r="C124" s="33" t="s">
        <v>164</v>
      </c>
      <c r="D124" s="351"/>
      <c r="F124" s="355"/>
      <c r="H124" s="360"/>
    </row>
    <row r="125" spans="1:11" ht="18" customHeight="1" x14ac:dyDescent="0.3">
      <c r="B125" s="366">
        <v>1</v>
      </c>
      <c r="C125" s="32" t="s">
        <v>157</v>
      </c>
      <c r="D125" s="351"/>
      <c r="E125" s="34">
        <f>'ANALISA VOLUME'!G16-'ANALISA VOLUME'!P40</f>
        <v>2440.4245000000001</v>
      </c>
      <c r="F125" s="355" t="s">
        <v>15</v>
      </c>
      <c r="G125" s="51">
        <f>AHS!$Q$5</f>
        <v>153400</v>
      </c>
      <c r="H125" s="360">
        <f>E125*G125</f>
        <v>374361118.30000001</v>
      </c>
    </row>
    <row r="126" spans="1:11" ht="18" customHeight="1" x14ac:dyDescent="0.3">
      <c r="B126" s="366"/>
      <c r="C126" s="32" t="s">
        <v>341</v>
      </c>
      <c r="D126" s="351" t="s">
        <v>342</v>
      </c>
      <c r="F126" s="355"/>
      <c r="G126" s="51">
        <f>AHS!$Q$5</f>
        <v>153400</v>
      </c>
      <c r="H126" s="360"/>
    </row>
    <row r="127" spans="1:11" ht="18" customHeight="1" x14ac:dyDescent="0.3">
      <c r="B127" s="366"/>
      <c r="C127" s="32" t="s">
        <v>487</v>
      </c>
      <c r="D127" s="351" t="s">
        <v>489</v>
      </c>
      <c r="F127" s="355"/>
      <c r="G127" s="51">
        <f>AHS!$Q$28+AHS!$Q$172</f>
        <v>243700</v>
      </c>
      <c r="H127" s="360"/>
    </row>
    <row r="128" spans="1:11" ht="18" customHeight="1" x14ac:dyDescent="0.3">
      <c r="B128" s="366">
        <v>2</v>
      </c>
      <c r="C128" s="32" t="s">
        <v>159</v>
      </c>
      <c r="D128" s="351"/>
      <c r="E128" s="34">
        <f>E125*2</f>
        <v>4880.8490000000002</v>
      </c>
      <c r="F128" s="355" t="s">
        <v>15</v>
      </c>
      <c r="G128" s="51">
        <f>AHS!$H$50+AHS!$H$69</f>
        <v>111300</v>
      </c>
      <c r="H128" s="360">
        <f t="shared" ref="H128:H129" si="23">E128*G128</f>
        <v>543238493.70000005</v>
      </c>
    </row>
    <row r="129" spans="2:8" ht="18" customHeight="1" x14ac:dyDescent="0.3">
      <c r="B129" s="366">
        <v>3</v>
      </c>
      <c r="C129" s="32" t="s">
        <v>165</v>
      </c>
      <c r="D129" s="351"/>
      <c r="E129" s="34">
        <f>'ANALISA VOLUME'!N96</f>
        <v>170.27199999999996</v>
      </c>
      <c r="F129" s="355" t="s">
        <v>15</v>
      </c>
      <c r="G129" s="51">
        <f>AHS!$H$151</f>
        <v>269900</v>
      </c>
      <c r="H129" s="360">
        <f t="shared" si="23"/>
        <v>45956412.79999999</v>
      </c>
    </row>
    <row r="130" spans="2:8" ht="18" customHeight="1" x14ac:dyDescent="0.3">
      <c r="B130" s="366"/>
      <c r="D130" s="351"/>
      <c r="F130" s="355"/>
      <c r="H130" s="360"/>
    </row>
    <row r="131" spans="2:8" ht="18" customHeight="1" x14ac:dyDescent="0.3">
      <c r="B131" s="368" t="s">
        <v>514</v>
      </c>
      <c r="C131" s="33" t="s">
        <v>161</v>
      </c>
      <c r="D131" s="351"/>
      <c r="F131" s="355"/>
      <c r="H131" s="360"/>
    </row>
    <row r="132" spans="2:8" ht="18" customHeight="1" x14ac:dyDescent="0.3">
      <c r="B132" s="366">
        <v>1</v>
      </c>
      <c r="C132" s="32" t="s">
        <v>166</v>
      </c>
      <c r="D132" s="351"/>
      <c r="E132" s="34">
        <f>'ANALISA VOLUME'!G86</f>
        <v>1102.5</v>
      </c>
      <c r="F132" s="355" t="s">
        <v>15</v>
      </c>
      <c r="G132" s="51">
        <f>AHS!$Q$172+AHS!$H$172</f>
        <v>194000</v>
      </c>
      <c r="H132" s="360">
        <f t="shared" ref="H132:H133" si="24">E132*G132</f>
        <v>213885000</v>
      </c>
    </row>
    <row r="133" spans="2:8" ht="18" customHeight="1" x14ac:dyDescent="0.3">
      <c r="B133" s="366">
        <v>2</v>
      </c>
      <c r="C133" s="32" t="s">
        <v>167</v>
      </c>
      <c r="D133" s="351"/>
      <c r="E133" s="34">
        <f>('ANALISA VOLUME'!G13+'ANALISA VOLUME'!H14)*2</f>
        <v>1142.8600000000001</v>
      </c>
      <c r="F133" s="355" t="s">
        <v>107</v>
      </c>
      <c r="G133" s="51">
        <v>35000</v>
      </c>
      <c r="H133" s="360">
        <f t="shared" si="24"/>
        <v>40000100.000000007</v>
      </c>
    </row>
    <row r="134" spans="2:8" ht="18" customHeight="1" x14ac:dyDescent="0.3">
      <c r="B134" s="366"/>
      <c r="D134" s="351"/>
      <c r="F134" s="355"/>
      <c r="H134" s="360"/>
    </row>
    <row r="135" spans="2:8" ht="18" customHeight="1" x14ac:dyDescent="0.3">
      <c r="B135" s="368" t="s">
        <v>515</v>
      </c>
      <c r="C135" s="33" t="s">
        <v>163</v>
      </c>
      <c r="D135" s="351"/>
      <c r="F135" s="355"/>
      <c r="H135" s="360"/>
    </row>
    <row r="136" spans="2:8" ht="18" customHeight="1" x14ac:dyDescent="0.3">
      <c r="B136" s="366">
        <v>1</v>
      </c>
      <c r="C136" s="32" t="s">
        <v>168</v>
      </c>
      <c r="D136" s="351"/>
      <c r="E136" s="34">
        <f>'ANALISA VOLUME'!G92</f>
        <v>789.79</v>
      </c>
      <c r="F136" s="355" t="s">
        <v>15</v>
      </c>
      <c r="H136" s="360">
        <f t="shared" ref="H136:H139" si="25">E136*G136</f>
        <v>0</v>
      </c>
    </row>
    <row r="137" spans="2:8" ht="18" customHeight="1" x14ac:dyDescent="0.3">
      <c r="B137" s="366"/>
      <c r="C137" s="32" t="s">
        <v>336</v>
      </c>
      <c r="D137" s="351" t="s">
        <v>343</v>
      </c>
      <c r="E137" s="34">
        <f>'ANALISA VOLUME'!M96</f>
        <v>27.957500000000003</v>
      </c>
      <c r="F137" s="355" t="s">
        <v>15</v>
      </c>
      <c r="G137" s="51">
        <f>AHS!$H$87</f>
        <v>222000</v>
      </c>
      <c r="H137" s="360">
        <f t="shared" si="25"/>
        <v>6206565.0000000009</v>
      </c>
    </row>
    <row r="138" spans="2:8" ht="18" customHeight="1" x14ac:dyDescent="0.3">
      <c r="B138" s="366"/>
      <c r="C138" s="32" t="s">
        <v>337</v>
      </c>
      <c r="D138" s="351" t="s">
        <v>343</v>
      </c>
      <c r="E138" s="34">
        <f>E136-E137</f>
        <v>761.83249999999998</v>
      </c>
      <c r="F138" s="355" t="s">
        <v>15</v>
      </c>
      <c r="G138" s="51">
        <f>AHS!$H$109</f>
        <v>354000</v>
      </c>
      <c r="H138" s="360">
        <f t="shared" si="25"/>
        <v>269688705</v>
      </c>
    </row>
    <row r="139" spans="2:8" ht="18" customHeight="1" x14ac:dyDescent="0.3">
      <c r="B139" s="366">
        <v>2</v>
      </c>
      <c r="C139" s="32" t="s">
        <v>169</v>
      </c>
      <c r="D139" s="351"/>
      <c r="E139" s="34">
        <f>E133</f>
        <v>1142.8600000000001</v>
      </c>
      <c r="F139" s="355" t="s">
        <v>107</v>
      </c>
      <c r="G139" s="51">
        <f>AHS!$H$130</f>
        <v>40400</v>
      </c>
      <c r="H139" s="360">
        <f t="shared" si="25"/>
        <v>46171544.000000007</v>
      </c>
    </row>
    <row r="140" spans="2:8" ht="18" customHeight="1" x14ac:dyDescent="0.3">
      <c r="B140" s="366"/>
      <c r="D140" s="351"/>
      <c r="F140" s="355"/>
      <c r="H140" s="360"/>
    </row>
    <row r="141" spans="2:8" ht="18" customHeight="1" x14ac:dyDescent="0.3">
      <c r="B141" s="368" t="s">
        <v>516</v>
      </c>
      <c r="C141" s="33" t="s">
        <v>172</v>
      </c>
      <c r="D141" s="351"/>
      <c r="F141" s="355"/>
      <c r="H141" s="360"/>
    </row>
    <row r="142" spans="2:8" ht="18" customHeight="1" x14ac:dyDescent="0.3">
      <c r="B142" s="366">
        <v>1</v>
      </c>
      <c r="C142" s="32" t="s">
        <v>38</v>
      </c>
      <c r="D142" s="351"/>
      <c r="E142" s="34">
        <v>23</v>
      </c>
      <c r="F142" s="355" t="s">
        <v>42</v>
      </c>
      <c r="G142" s="51">
        <f>'ANALISA PINTU JENDELA'!F16</f>
        <v>5421570.9249999998</v>
      </c>
      <c r="H142" s="360">
        <f t="shared" ref="H142:H145" si="26">E142*G142</f>
        <v>124696131.27499999</v>
      </c>
    </row>
    <row r="143" spans="2:8" ht="18" customHeight="1" x14ac:dyDescent="0.3">
      <c r="B143" s="366">
        <v>2</v>
      </c>
      <c r="C143" s="32" t="s">
        <v>39</v>
      </c>
      <c r="D143" s="351"/>
      <c r="E143" s="34">
        <v>21</v>
      </c>
      <c r="F143" s="355" t="s">
        <v>42</v>
      </c>
      <c r="G143" s="51">
        <f>'ANALISA PINTU JENDELA'!F28</f>
        <v>5638214.8249999993</v>
      </c>
      <c r="H143" s="360">
        <f t="shared" si="26"/>
        <v>118402511.32499999</v>
      </c>
    </row>
    <row r="144" spans="2:8" ht="18" customHeight="1" x14ac:dyDescent="0.3">
      <c r="B144" s="366">
        <v>3</v>
      </c>
      <c r="C144" s="32" t="s">
        <v>40</v>
      </c>
      <c r="D144" s="351"/>
      <c r="E144" s="34">
        <v>11</v>
      </c>
      <c r="F144" s="355" t="s">
        <v>42</v>
      </c>
      <c r="G144" s="51">
        <f>'ANALISA PINTU JENDELA'!F41</f>
        <v>7187743.2249999996</v>
      </c>
      <c r="H144" s="360">
        <f t="shared" si="26"/>
        <v>79065175.474999994</v>
      </c>
    </row>
    <row r="145" spans="2:8" ht="18" customHeight="1" x14ac:dyDescent="0.3">
      <c r="B145" s="366">
        <v>4</v>
      </c>
      <c r="C145" s="32" t="s">
        <v>65</v>
      </c>
      <c r="D145" s="351"/>
      <c r="E145" s="34">
        <v>2</v>
      </c>
      <c r="F145" s="355" t="s">
        <v>42</v>
      </c>
      <c r="G145" s="51">
        <f>'ANALISA PINTU JENDELA'!F80</f>
        <v>9973406.0499999989</v>
      </c>
      <c r="H145" s="360">
        <f t="shared" si="26"/>
        <v>19946812.099999998</v>
      </c>
    </row>
    <row r="146" spans="2:8" ht="18" customHeight="1" x14ac:dyDescent="0.3">
      <c r="B146" s="366">
        <v>5</v>
      </c>
      <c r="C146" s="32" t="s">
        <v>322</v>
      </c>
      <c r="D146" s="351"/>
      <c r="E146" s="34">
        <v>1</v>
      </c>
      <c r="F146" s="355" t="s">
        <v>42</v>
      </c>
      <c r="G146" s="51">
        <f>'ANALISA PINTU JENDELA'!F94</f>
        <v>8763924.0249999985</v>
      </c>
      <c r="H146" s="360">
        <f t="shared" ref="H146" si="27">E146*G146</f>
        <v>8763924.0249999985</v>
      </c>
    </row>
    <row r="147" spans="2:8" ht="18" customHeight="1" x14ac:dyDescent="0.3">
      <c r="B147" s="366">
        <v>6</v>
      </c>
      <c r="C147" s="32" t="s">
        <v>323</v>
      </c>
      <c r="D147" s="351"/>
      <c r="E147" s="34">
        <v>4</v>
      </c>
      <c r="F147" s="355" t="s">
        <v>42</v>
      </c>
      <c r="G147" s="51">
        <f>'ANALISA PINTU JENDELA'!F54</f>
        <v>8920894.4249999989</v>
      </c>
      <c r="H147" s="360">
        <f t="shared" ref="H147:H148" si="28">E147*G147</f>
        <v>35683577.699999996</v>
      </c>
    </row>
    <row r="148" spans="2:8" ht="18" customHeight="1" x14ac:dyDescent="0.3">
      <c r="B148" s="366">
        <v>7</v>
      </c>
      <c r="C148" s="32" t="s">
        <v>66</v>
      </c>
      <c r="D148" s="351"/>
      <c r="F148" s="355" t="s">
        <v>42</v>
      </c>
      <c r="G148" s="51">
        <f>'ANALISA PINTU JENDELA'!F96</f>
        <v>0</v>
      </c>
      <c r="H148" s="360">
        <f t="shared" si="28"/>
        <v>0</v>
      </c>
    </row>
    <row r="149" spans="2:8" ht="18" customHeight="1" x14ac:dyDescent="0.3">
      <c r="B149" s="366">
        <v>8</v>
      </c>
      <c r="C149" s="32" t="s">
        <v>46</v>
      </c>
      <c r="D149" s="351"/>
      <c r="E149" s="34">
        <v>8</v>
      </c>
      <c r="F149" s="355" t="s">
        <v>42</v>
      </c>
      <c r="G149" s="51">
        <f>'ANALISA PINTU JENDELA'!N29</f>
        <v>4946365.961538461</v>
      </c>
      <c r="H149" s="360">
        <f t="shared" ref="H149:H151" si="29">E149*G149</f>
        <v>39570927.692307688</v>
      </c>
    </row>
    <row r="150" spans="2:8" ht="18" customHeight="1" x14ac:dyDescent="0.3">
      <c r="B150" s="366">
        <v>9</v>
      </c>
      <c r="C150" s="32" t="s">
        <v>48</v>
      </c>
      <c r="D150" s="351"/>
      <c r="E150" s="34">
        <v>2</v>
      </c>
      <c r="F150" s="355" t="s">
        <v>42</v>
      </c>
      <c r="G150" s="51">
        <f>'ANALISA PINTU JENDELA'!N56</f>
        <v>3816030.9615384615</v>
      </c>
      <c r="H150" s="360">
        <f t="shared" si="29"/>
        <v>7632061.923076923</v>
      </c>
    </row>
    <row r="151" spans="2:8" ht="18" customHeight="1" x14ac:dyDescent="0.3">
      <c r="B151" s="366">
        <v>10</v>
      </c>
      <c r="C151" s="32" t="s">
        <v>47</v>
      </c>
      <c r="D151" s="351"/>
      <c r="E151" s="34">
        <v>4</v>
      </c>
      <c r="F151" s="355" t="s">
        <v>42</v>
      </c>
      <c r="G151" s="51">
        <f>'ANALISA PINTU JENDELA'!N90</f>
        <v>8798181.3749999981</v>
      </c>
      <c r="H151" s="360">
        <f t="shared" si="29"/>
        <v>35192725.499999993</v>
      </c>
    </row>
    <row r="152" spans="2:8" ht="18" customHeight="1" x14ac:dyDescent="0.3">
      <c r="B152" s="366">
        <v>11</v>
      </c>
      <c r="C152" s="32" t="s">
        <v>67</v>
      </c>
      <c r="D152" s="351"/>
      <c r="E152" s="34">
        <v>2</v>
      </c>
      <c r="F152" s="355" t="s">
        <v>42</v>
      </c>
      <c r="G152" s="51">
        <f>'ANALISA PINTU JENDELA'!N101</f>
        <v>2724511</v>
      </c>
      <c r="H152" s="360">
        <f t="shared" ref="H152:H153" si="30">E152*G152</f>
        <v>5449022</v>
      </c>
    </row>
    <row r="153" spans="2:8" ht="18" customHeight="1" x14ac:dyDescent="0.3">
      <c r="B153" s="366">
        <v>12</v>
      </c>
      <c r="C153" s="32" t="s">
        <v>68</v>
      </c>
      <c r="D153" s="351"/>
      <c r="E153" s="34">
        <v>1</v>
      </c>
      <c r="F153" s="355" t="s">
        <v>42</v>
      </c>
      <c r="G153" s="51">
        <f>'ANALISA PINTU JENDELA'!N111</f>
        <v>4868703.25</v>
      </c>
      <c r="H153" s="360">
        <f t="shared" si="30"/>
        <v>4868703.25</v>
      </c>
    </row>
    <row r="154" spans="2:8" ht="18" customHeight="1" x14ac:dyDescent="0.3">
      <c r="B154" s="366"/>
      <c r="D154" s="351"/>
      <c r="F154" s="355"/>
      <c r="H154" s="360"/>
    </row>
    <row r="155" spans="2:8" ht="18" customHeight="1" x14ac:dyDescent="0.3">
      <c r="B155" s="368" t="s">
        <v>517</v>
      </c>
      <c r="C155" s="33" t="s">
        <v>437</v>
      </c>
      <c r="D155" s="351"/>
      <c r="F155" s="355"/>
      <c r="H155" s="360"/>
    </row>
    <row r="156" spans="2:8" ht="18" customHeight="1" x14ac:dyDescent="0.3">
      <c r="B156" s="366">
        <v>1</v>
      </c>
      <c r="C156" s="32" t="s">
        <v>438</v>
      </c>
      <c r="D156" s="351"/>
      <c r="F156" s="355"/>
      <c r="H156" s="360"/>
    </row>
    <row r="157" spans="2:8" ht="18" customHeight="1" x14ac:dyDescent="0.3">
      <c r="B157" s="366"/>
      <c r="C157" s="32" t="s">
        <v>442</v>
      </c>
      <c r="D157" s="351" t="s">
        <v>444</v>
      </c>
      <c r="E157" s="34">
        <v>11</v>
      </c>
      <c r="F157" s="355" t="s">
        <v>42</v>
      </c>
      <c r="G157" s="51">
        <f>AHS!$H$415</f>
        <v>2107200</v>
      </c>
      <c r="H157" s="360">
        <f t="shared" ref="H157:H162" si="31">E157*G157</f>
        <v>23179200</v>
      </c>
    </row>
    <row r="158" spans="2:8" ht="18" customHeight="1" x14ac:dyDescent="0.3">
      <c r="B158" s="366"/>
      <c r="C158" s="32" t="s">
        <v>439</v>
      </c>
      <c r="D158" s="351" t="s">
        <v>444</v>
      </c>
      <c r="E158" s="34">
        <v>8</v>
      </c>
      <c r="F158" s="355" t="s">
        <v>267</v>
      </c>
      <c r="G158" s="51">
        <f>AHS!$H$434</f>
        <v>845000</v>
      </c>
      <c r="H158" s="360">
        <f t="shared" si="31"/>
        <v>6760000</v>
      </c>
    </row>
    <row r="159" spans="2:8" ht="18" customHeight="1" x14ac:dyDescent="0.3">
      <c r="B159" s="366"/>
      <c r="C159" s="32" t="s">
        <v>440</v>
      </c>
      <c r="D159" s="351" t="s">
        <v>444</v>
      </c>
      <c r="E159" s="34">
        <v>16</v>
      </c>
      <c r="F159" s="355" t="s">
        <v>42</v>
      </c>
      <c r="G159" s="51">
        <f>AHS!$H$508</f>
        <v>673000</v>
      </c>
      <c r="H159" s="360">
        <f t="shared" si="31"/>
        <v>10768000</v>
      </c>
    </row>
    <row r="160" spans="2:8" ht="18" customHeight="1" x14ac:dyDescent="0.3">
      <c r="B160" s="366"/>
      <c r="C160" s="32" t="s">
        <v>441</v>
      </c>
      <c r="D160" s="351"/>
      <c r="E160" s="34">
        <v>15</v>
      </c>
      <c r="F160" s="355" t="s">
        <v>317</v>
      </c>
      <c r="G160" s="51">
        <f>AHS!$H$490</f>
        <v>72000</v>
      </c>
      <c r="H160" s="360">
        <f t="shared" si="31"/>
        <v>1080000</v>
      </c>
    </row>
    <row r="161" spans="2:8" ht="18" customHeight="1" x14ac:dyDescent="0.3">
      <c r="B161" s="366"/>
      <c r="C161" s="32" t="s">
        <v>443</v>
      </c>
      <c r="D161" s="351"/>
      <c r="E161" s="34">
        <v>16</v>
      </c>
      <c r="F161" s="355" t="s">
        <v>267</v>
      </c>
      <c r="G161" s="51">
        <f>AHS!$H$453</f>
        <v>127000</v>
      </c>
      <c r="H161" s="360">
        <f t="shared" si="31"/>
        <v>2032000</v>
      </c>
    </row>
    <row r="162" spans="2:8" ht="18" customHeight="1" x14ac:dyDescent="0.3">
      <c r="B162" s="366"/>
      <c r="C162" s="32" t="s">
        <v>466</v>
      </c>
      <c r="D162" s="351" t="s">
        <v>444</v>
      </c>
      <c r="E162" s="34">
        <v>11</v>
      </c>
      <c r="F162" s="355" t="s">
        <v>42</v>
      </c>
      <c r="G162" s="51">
        <f>AHS!$H$471</f>
        <v>194100</v>
      </c>
      <c r="H162" s="360">
        <f t="shared" si="31"/>
        <v>2135100</v>
      </c>
    </row>
    <row r="163" spans="2:8" ht="18" customHeight="1" x14ac:dyDescent="0.3">
      <c r="B163" s="366"/>
      <c r="D163" s="351"/>
      <c r="F163" s="355"/>
      <c r="H163" s="360"/>
    </row>
    <row r="164" spans="2:8" ht="18" customHeight="1" x14ac:dyDescent="0.3">
      <c r="B164" s="366"/>
      <c r="D164" s="351"/>
      <c r="F164" s="355"/>
      <c r="H164" s="360"/>
    </row>
    <row r="165" spans="2:8" ht="18" customHeight="1" x14ac:dyDescent="0.3">
      <c r="B165" s="366"/>
      <c r="D165" s="351"/>
      <c r="F165" s="355"/>
      <c r="H165" s="360"/>
    </row>
    <row r="166" spans="2:8" ht="18" customHeight="1" x14ac:dyDescent="0.3">
      <c r="B166" s="368" t="s">
        <v>518</v>
      </c>
      <c r="C166" s="33" t="s">
        <v>174</v>
      </c>
      <c r="D166" s="351"/>
      <c r="F166" s="355"/>
      <c r="H166" s="360"/>
    </row>
    <row r="167" spans="2:8" ht="18" customHeight="1" x14ac:dyDescent="0.3">
      <c r="B167" s="366">
        <v>1</v>
      </c>
      <c r="C167" s="32" t="s">
        <v>175</v>
      </c>
      <c r="D167" s="351"/>
      <c r="E167" s="34">
        <f>E128</f>
        <v>4880.8490000000002</v>
      </c>
      <c r="F167" s="355" t="s">
        <v>15</v>
      </c>
      <c r="G167" s="51">
        <f>AHS!$H$191</f>
        <v>73300</v>
      </c>
      <c r="H167" s="360">
        <f t="shared" ref="H167:H169" si="32">E167*G167</f>
        <v>357766231.69999999</v>
      </c>
    </row>
    <row r="168" spans="2:8" ht="18" customHeight="1" x14ac:dyDescent="0.3">
      <c r="B168" s="366">
        <v>2</v>
      </c>
      <c r="C168" s="32" t="s">
        <v>176</v>
      </c>
      <c r="D168" s="351"/>
      <c r="E168" s="34">
        <f>E132</f>
        <v>1102.5</v>
      </c>
      <c r="F168" s="355" t="s">
        <v>15</v>
      </c>
      <c r="G168" s="51">
        <f>AHS!$H$228</f>
        <v>62800</v>
      </c>
      <c r="H168" s="360">
        <f t="shared" si="32"/>
        <v>69237000</v>
      </c>
    </row>
    <row r="169" spans="2:8" ht="18" customHeight="1" x14ac:dyDescent="0.3">
      <c r="B169" s="366">
        <v>3</v>
      </c>
      <c r="C169" s="32" t="s">
        <v>177</v>
      </c>
      <c r="D169" s="351"/>
      <c r="F169" s="355" t="s">
        <v>15</v>
      </c>
      <c r="G169" s="51">
        <f>AHS!$H$247</f>
        <v>96400</v>
      </c>
      <c r="H169" s="360">
        <f t="shared" si="32"/>
        <v>0</v>
      </c>
    </row>
    <row r="170" spans="2:8" ht="18" customHeight="1" x14ac:dyDescent="0.3">
      <c r="B170" s="366"/>
      <c r="D170" s="351"/>
      <c r="F170" s="355"/>
      <c r="H170" s="360"/>
    </row>
    <row r="171" spans="2:8" ht="18" customHeight="1" x14ac:dyDescent="0.3">
      <c r="B171" s="368" t="s">
        <v>519</v>
      </c>
      <c r="C171" s="33" t="s">
        <v>421</v>
      </c>
      <c r="D171" s="351"/>
      <c r="F171" s="355"/>
      <c r="H171" s="360"/>
    </row>
    <row r="172" spans="2:8" ht="18" customHeight="1" x14ac:dyDescent="0.3">
      <c r="B172" s="366">
        <v>1</v>
      </c>
      <c r="C172" s="32" t="s">
        <v>422</v>
      </c>
      <c r="D172" s="351"/>
      <c r="E172" s="34">
        <f>(11.18*6)+(1.75*6)+(3.42*2)</f>
        <v>84.42</v>
      </c>
      <c r="F172" s="355" t="s">
        <v>107</v>
      </c>
      <c r="G172" s="51">
        <f>AHS!$H$549</f>
        <v>315000</v>
      </c>
      <c r="H172" s="360">
        <f t="shared" ref="H172:H175" si="33">E172*G172</f>
        <v>26592300</v>
      </c>
    </row>
    <row r="173" spans="2:8" ht="18" customHeight="1" x14ac:dyDescent="0.3">
      <c r="B173" s="366">
        <v>2</v>
      </c>
      <c r="C173" s="32" t="s">
        <v>467</v>
      </c>
      <c r="D173" s="351"/>
      <c r="F173" s="355"/>
      <c r="H173" s="360"/>
    </row>
    <row r="174" spans="2:8" ht="18" customHeight="1" x14ac:dyDescent="0.3">
      <c r="B174" s="366"/>
      <c r="C174" s="32" t="s">
        <v>544</v>
      </c>
      <c r="D174" s="351"/>
      <c r="E174" s="34">
        <f>(3.77*2)+(3.77*2)+(0.87+0.87+2.3)</f>
        <v>19.12</v>
      </c>
      <c r="F174" s="355" t="s">
        <v>107</v>
      </c>
      <c r="G174" s="51">
        <v>350000</v>
      </c>
      <c r="H174" s="360">
        <f t="shared" si="33"/>
        <v>6692000</v>
      </c>
    </row>
    <row r="175" spans="2:8" ht="18" customHeight="1" x14ac:dyDescent="0.3">
      <c r="B175" s="366"/>
      <c r="C175" s="32" t="s">
        <v>545</v>
      </c>
      <c r="D175" s="351"/>
      <c r="E175" s="34">
        <f>(3.77*2)+(3.77*2)+(0.87+0.87+2.3)</f>
        <v>19.12</v>
      </c>
      <c r="F175" s="355" t="s">
        <v>107</v>
      </c>
      <c r="G175" s="51">
        <v>350000</v>
      </c>
      <c r="H175" s="360">
        <f t="shared" si="33"/>
        <v>6692000</v>
      </c>
    </row>
    <row r="176" spans="2:8" ht="18" customHeight="1" x14ac:dyDescent="0.3">
      <c r="B176" s="366">
        <v>3</v>
      </c>
      <c r="C176" s="32" t="s">
        <v>468</v>
      </c>
      <c r="D176" s="351"/>
      <c r="E176" s="34">
        <f>(22.5+2.9)*2</f>
        <v>50.8</v>
      </c>
      <c r="F176" s="355" t="s">
        <v>107</v>
      </c>
      <c r="G176" s="51">
        <v>475000</v>
      </c>
      <c r="H176" s="360">
        <f t="shared" ref="H176" si="34">E176*G176</f>
        <v>24130000</v>
      </c>
    </row>
    <row r="177" spans="1:11" ht="18" customHeight="1" x14ac:dyDescent="0.3">
      <c r="B177" s="366"/>
      <c r="D177" s="351"/>
      <c r="F177" s="355"/>
      <c r="H177" s="360"/>
    </row>
    <row r="178" spans="1:11" ht="7.2" customHeight="1" x14ac:dyDescent="0.3">
      <c r="B178" s="366"/>
      <c r="D178" s="351"/>
      <c r="F178" s="355"/>
      <c r="H178" s="360"/>
    </row>
    <row r="179" spans="1:11" s="45" customFormat="1" ht="24" customHeight="1" x14ac:dyDescent="0.3">
      <c r="A179" s="23"/>
      <c r="B179" s="369"/>
      <c r="C179" s="318"/>
      <c r="D179" s="352"/>
      <c r="E179" s="319"/>
      <c r="F179" s="356"/>
      <c r="G179" s="320" t="s">
        <v>552</v>
      </c>
      <c r="H179" s="362">
        <f>SUM(H124:H178)</f>
        <v>2555843342.7653847</v>
      </c>
      <c r="I179" s="23"/>
      <c r="J179" s="23"/>
      <c r="K179" s="47"/>
    </row>
    <row r="180" spans="1:11" ht="18" customHeight="1" x14ac:dyDescent="0.3">
      <c r="B180" s="366"/>
      <c r="D180" s="351"/>
      <c r="F180" s="355"/>
      <c r="H180" s="360"/>
    </row>
    <row r="181" spans="1:11" ht="18" customHeight="1" x14ac:dyDescent="0.3">
      <c r="B181" s="367" t="s">
        <v>171</v>
      </c>
      <c r="C181" s="371" t="s">
        <v>180</v>
      </c>
      <c r="D181" s="352"/>
      <c r="E181" s="321"/>
      <c r="F181" s="356"/>
      <c r="G181" s="322"/>
      <c r="H181" s="361"/>
    </row>
    <row r="182" spans="1:11" ht="18" customHeight="1" x14ac:dyDescent="0.3">
      <c r="B182" s="366"/>
      <c r="D182" s="351"/>
      <c r="F182" s="355"/>
      <c r="H182" s="360"/>
    </row>
    <row r="183" spans="1:11" ht="18" customHeight="1" x14ac:dyDescent="0.3">
      <c r="B183" s="368" t="s">
        <v>520</v>
      </c>
      <c r="C183" s="33" t="s">
        <v>164</v>
      </c>
      <c r="D183" s="351"/>
      <c r="F183" s="355"/>
      <c r="H183" s="360"/>
    </row>
    <row r="184" spans="1:11" ht="18" customHeight="1" x14ac:dyDescent="0.3">
      <c r="B184" s="366">
        <v>1</v>
      </c>
      <c r="C184" s="32" t="s">
        <v>157</v>
      </c>
      <c r="D184" s="351"/>
      <c r="E184" s="34">
        <f>'ANALISA VOLUME'!H16-'ANALISA VOLUME'!Q40</f>
        <v>1575.384</v>
      </c>
      <c r="F184" s="355" t="s">
        <v>15</v>
      </c>
      <c r="G184" s="51">
        <f>AHS!$Q$5</f>
        <v>153400</v>
      </c>
      <c r="H184" s="360">
        <f>E184*G184</f>
        <v>241663905.59999999</v>
      </c>
    </row>
    <row r="185" spans="1:11" ht="18" customHeight="1" x14ac:dyDescent="0.3">
      <c r="B185" s="366"/>
      <c r="C185" s="32" t="s">
        <v>341</v>
      </c>
      <c r="D185" s="351" t="s">
        <v>342</v>
      </c>
      <c r="F185" s="355"/>
      <c r="G185" s="51">
        <f>AHS!$Q$5</f>
        <v>153400</v>
      </c>
      <c r="H185" s="360"/>
    </row>
    <row r="186" spans="1:11" ht="18" customHeight="1" x14ac:dyDescent="0.3">
      <c r="B186" s="366"/>
      <c r="C186" s="32" t="s">
        <v>487</v>
      </c>
      <c r="D186" s="351" t="s">
        <v>489</v>
      </c>
      <c r="F186" s="355"/>
      <c r="G186" s="51">
        <f>AHS!$Q$28+AHS!$Q$172</f>
        <v>243700</v>
      </c>
      <c r="H186" s="360"/>
    </row>
    <row r="187" spans="1:11" ht="18" customHeight="1" x14ac:dyDescent="0.3">
      <c r="B187" s="366">
        <v>2</v>
      </c>
      <c r="C187" s="32" t="s">
        <v>159</v>
      </c>
      <c r="D187" s="351"/>
      <c r="E187" s="34">
        <f>E184*2</f>
        <v>3150.768</v>
      </c>
      <c r="F187" s="355" t="s">
        <v>15</v>
      </c>
      <c r="G187" s="51">
        <f>AHS!$H$50+AHS!$H$69</f>
        <v>111300</v>
      </c>
      <c r="H187" s="360">
        <f t="shared" ref="H187:H188" si="35">E187*G187</f>
        <v>350680478.39999998</v>
      </c>
    </row>
    <row r="188" spans="1:11" ht="18" customHeight="1" x14ac:dyDescent="0.3">
      <c r="B188" s="366">
        <v>3</v>
      </c>
      <c r="C188" s="32" t="s">
        <v>165</v>
      </c>
      <c r="D188" s="351"/>
      <c r="E188" s="34">
        <f>'ANALISA VOLUME'!O106</f>
        <v>308.18399999999997</v>
      </c>
      <c r="F188" s="355" t="s">
        <v>15</v>
      </c>
      <c r="G188" s="51">
        <f>AHS!$H$151</f>
        <v>269900</v>
      </c>
      <c r="H188" s="360">
        <f t="shared" si="35"/>
        <v>83178861.599999994</v>
      </c>
    </row>
    <row r="189" spans="1:11" ht="18" customHeight="1" x14ac:dyDescent="0.3">
      <c r="B189" s="366"/>
      <c r="D189" s="351"/>
      <c r="F189" s="355"/>
      <c r="H189" s="360"/>
    </row>
    <row r="190" spans="1:11" ht="18" customHeight="1" x14ac:dyDescent="0.3">
      <c r="B190" s="368" t="s">
        <v>521</v>
      </c>
      <c r="C190" s="33" t="s">
        <v>161</v>
      </c>
      <c r="D190" s="351"/>
      <c r="F190" s="355"/>
      <c r="H190" s="360"/>
    </row>
    <row r="191" spans="1:11" ht="18" customHeight="1" x14ac:dyDescent="0.3">
      <c r="B191" s="366">
        <v>1</v>
      </c>
      <c r="C191" s="32" t="s">
        <v>166</v>
      </c>
      <c r="D191" s="351"/>
      <c r="E191" s="34">
        <f>'ANALISA VOLUME'!H107+'ANALISA VOLUME'!H110</f>
        <v>1043.6824999999999</v>
      </c>
      <c r="F191" s="355" t="s">
        <v>15</v>
      </c>
      <c r="G191" s="51">
        <f>AHS!$Q$172+AHS!$H$172</f>
        <v>194000</v>
      </c>
      <c r="H191" s="360">
        <f t="shared" ref="H191:H192" si="36">E191*G191</f>
        <v>202474404.99999997</v>
      </c>
    </row>
    <row r="192" spans="1:11" ht="18" customHeight="1" x14ac:dyDescent="0.3">
      <c r="B192" s="366">
        <v>2</v>
      </c>
      <c r="C192" s="32" t="s">
        <v>167</v>
      </c>
      <c r="D192" s="351"/>
      <c r="E192" s="34">
        <f>('ANALISA VOLUME'!H13+'ANALISA VOLUME'!I14)*2</f>
        <v>1041.22</v>
      </c>
      <c r="F192" s="355" t="s">
        <v>107</v>
      </c>
      <c r="G192" s="51">
        <v>35000</v>
      </c>
      <c r="H192" s="360">
        <f t="shared" si="36"/>
        <v>36442700</v>
      </c>
    </row>
    <row r="193" spans="2:8" ht="18" customHeight="1" x14ac:dyDescent="0.3">
      <c r="B193" s="366"/>
      <c r="D193" s="351"/>
      <c r="F193" s="355"/>
      <c r="H193" s="360"/>
    </row>
    <row r="194" spans="2:8" ht="18" customHeight="1" x14ac:dyDescent="0.3">
      <c r="B194" s="368" t="s">
        <v>522</v>
      </c>
      <c r="C194" s="33" t="s">
        <v>163</v>
      </c>
      <c r="D194" s="351"/>
      <c r="F194" s="355"/>
      <c r="H194" s="360"/>
    </row>
    <row r="195" spans="2:8" ht="18" customHeight="1" x14ac:dyDescent="0.3">
      <c r="B195" s="366">
        <v>1</v>
      </c>
      <c r="C195" s="32" t="s">
        <v>168</v>
      </c>
      <c r="D195" s="351"/>
      <c r="E195" s="34">
        <f>E191</f>
        <v>1043.6824999999999</v>
      </c>
      <c r="F195" s="355" t="s">
        <v>15</v>
      </c>
      <c r="H195" s="360">
        <f t="shared" ref="H195:H198" si="37">E195*G195</f>
        <v>0</v>
      </c>
    </row>
    <row r="196" spans="2:8" ht="18" customHeight="1" x14ac:dyDescent="0.3">
      <c r="B196" s="366"/>
      <c r="C196" s="32" t="s">
        <v>336</v>
      </c>
      <c r="D196" s="351" t="s">
        <v>343</v>
      </c>
      <c r="E196" s="34">
        <f>'ANALISA VOLUME'!N106</f>
        <v>59.488999999999997</v>
      </c>
      <c r="F196" s="355" t="s">
        <v>15</v>
      </c>
      <c r="G196" s="51">
        <f>AHS!$H$87</f>
        <v>222000</v>
      </c>
      <c r="H196" s="360">
        <f t="shared" si="37"/>
        <v>13206558</v>
      </c>
    </row>
    <row r="197" spans="2:8" ht="18" customHeight="1" x14ac:dyDescent="0.3">
      <c r="B197" s="366"/>
      <c r="C197" s="32" t="s">
        <v>337</v>
      </c>
      <c r="D197" s="351" t="s">
        <v>343</v>
      </c>
      <c r="E197" s="34">
        <f>E195-E196</f>
        <v>984.19349999999986</v>
      </c>
      <c r="F197" s="355" t="s">
        <v>15</v>
      </c>
      <c r="G197" s="51">
        <f>AHS!$H$109</f>
        <v>354000</v>
      </c>
      <c r="H197" s="360">
        <f t="shared" si="37"/>
        <v>348404498.99999994</v>
      </c>
    </row>
    <row r="198" spans="2:8" ht="18" customHeight="1" x14ac:dyDescent="0.3">
      <c r="B198" s="366">
        <v>2</v>
      </c>
      <c r="C198" s="32" t="s">
        <v>169</v>
      </c>
      <c r="D198" s="351"/>
      <c r="E198" s="34">
        <f>E192</f>
        <v>1041.22</v>
      </c>
      <c r="F198" s="355" t="s">
        <v>107</v>
      </c>
      <c r="G198" s="51">
        <f>AHS!$H$130</f>
        <v>40400</v>
      </c>
      <c r="H198" s="360">
        <f t="shared" si="37"/>
        <v>42065288</v>
      </c>
    </row>
    <row r="199" spans="2:8" ht="18" customHeight="1" x14ac:dyDescent="0.3">
      <c r="B199" s="366"/>
      <c r="D199" s="351"/>
      <c r="F199" s="355"/>
      <c r="H199" s="360"/>
    </row>
    <row r="200" spans="2:8" ht="18" customHeight="1" x14ac:dyDescent="0.3">
      <c r="B200" s="368" t="s">
        <v>523</v>
      </c>
      <c r="C200" s="33" t="s">
        <v>172</v>
      </c>
      <c r="D200" s="351"/>
      <c r="F200" s="355"/>
      <c r="H200" s="360"/>
    </row>
    <row r="201" spans="2:8" ht="18" customHeight="1" x14ac:dyDescent="0.3">
      <c r="B201" s="366">
        <v>1</v>
      </c>
      <c r="C201" s="32" t="s">
        <v>38</v>
      </c>
      <c r="D201" s="351"/>
      <c r="E201" s="34">
        <v>18</v>
      </c>
      <c r="F201" s="355" t="s">
        <v>42</v>
      </c>
      <c r="G201" s="51">
        <f>'ANALISA PINTU JENDELA'!F16</f>
        <v>5421570.9249999998</v>
      </c>
      <c r="H201" s="360">
        <f t="shared" ref="H201:H207" si="38">E201*G201</f>
        <v>97588276.649999991</v>
      </c>
    </row>
    <row r="202" spans="2:8" ht="18" customHeight="1" x14ac:dyDescent="0.3">
      <c r="B202" s="366">
        <v>2</v>
      </c>
      <c r="C202" s="32" t="s">
        <v>39</v>
      </c>
      <c r="D202" s="351"/>
      <c r="E202" s="34">
        <v>14</v>
      </c>
      <c r="F202" s="355" t="s">
        <v>42</v>
      </c>
      <c r="G202" s="51">
        <f>'ANALISA PINTU JENDELA'!F28</f>
        <v>5638214.8249999993</v>
      </c>
      <c r="H202" s="360">
        <f t="shared" si="38"/>
        <v>78935007.549999982</v>
      </c>
    </row>
    <row r="203" spans="2:8" ht="18" customHeight="1" x14ac:dyDescent="0.3">
      <c r="B203" s="366">
        <v>3</v>
      </c>
      <c r="C203" s="32" t="s">
        <v>40</v>
      </c>
      <c r="D203" s="351"/>
      <c r="E203" s="34">
        <v>13</v>
      </c>
      <c r="F203" s="355" t="s">
        <v>42</v>
      </c>
      <c r="G203" s="51">
        <f>'ANALISA PINTU JENDELA'!F41</f>
        <v>7187743.2249999996</v>
      </c>
      <c r="H203" s="360">
        <f t="shared" si="38"/>
        <v>93440661.924999997</v>
      </c>
    </row>
    <row r="204" spans="2:8" ht="18" customHeight="1" x14ac:dyDescent="0.3">
      <c r="B204" s="366">
        <v>4</v>
      </c>
      <c r="C204" s="32" t="s">
        <v>44</v>
      </c>
      <c r="D204" s="351"/>
      <c r="E204" s="34">
        <v>1</v>
      </c>
      <c r="F204" s="355" t="s">
        <v>42</v>
      </c>
      <c r="G204" s="51">
        <f>'ANALISA PINTU JENDELA'!F68</f>
        <v>8920894.4249999989</v>
      </c>
      <c r="H204" s="360">
        <f t="shared" si="38"/>
        <v>8920894.4249999989</v>
      </c>
    </row>
    <row r="205" spans="2:8" ht="18" customHeight="1" x14ac:dyDescent="0.3">
      <c r="B205" s="366">
        <v>5</v>
      </c>
      <c r="C205" s="32" t="s">
        <v>46</v>
      </c>
      <c r="D205" s="351"/>
      <c r="E205" s="34">
        <v>3</v>
      </c>
      <c r="F205" s="355" t="s">
        <v>42</v>
      </c>
      <c r="G205" s="51">
        <f>'ANALISA PINTU JENDELA'!N66</f>
        <v>65200</v>
      </c>
      <c r="H205" s="360">
        <f t="shared" si="38"/>
        <v>195600</v>
      </c>
    </row>
    <row r="206" spans="2:8" ht="18" customHeight="1" x14ac:dyDescent="0.3">
      <c r="B206" s="366">
        <v>6</v>
      </c>
      <c r="C206" s="32" t="s">
        <v>48</v>
      </c>
      <c r="D206" s="351"/>
      <c r="E206" s="34">
        <v>12</v>
      </c>
      <c r="F206" s="355" t="s">
        <v>42</v>
      </c>
      <c r="G206" s="51">
        <f>'ANALISA PINTU JENDELA'!N56</f>
        <v>3816030.9615384615</v>
      </c>
      <c r="H206" s="360">
        <f t="shared" si="38"/>
        <v>45792371.538461536</v>
      </c>
    </row>
    <row r="207" spans="2:8" ht="18" customHeight="1" x14ac:dyDescent="0.3">
      <c r="B207" s="366">
        <v>7</v>
      </c>
      <c r="C207" s="32" t="s">
        <v>47</v>
      </c>
      <c r="D207" s="351"/>
      <c r="E207" s="34">
        <v>2</v>
      </c>
      <c r="F207" s="355" t="s">
        <v>42</v>
      </c>
      <c r="G207" s="51">
        <f>'ANALISA PINTU JENDELA'!N90</f>
        <v>8798181.3749999981</v>
      </c>
      <c r="H207" s="360">
        <f t="shared" si="38"/>
        <v>17596362.749999996</v>
      </c>
    </row>
    <row r="208" spans="2:8" ht="18" customHeight="1" x14ac:dyDescent="0.3">
      <c r="B208" s="366"/>
      <c r="D208" s="351"/>
      <c r="F208" s="355"/>
      <c r="H208" s="360"/>
    </row>
    <row r="209" spans="2:8" ht="18" customHeight="1" x14ac:dyDescent="0.3">
      <c r="B209" s="368" t="s">
        <v>524</v>
      </c>
      <c r="C209" s="33" t="s">
        <v>437</v>
      </c>
      <c r="D209" s="351"/>
      <c r="F209" s="355"/>
      <c r="H209" s="360"/>
    </row>
    <row r="210" spans="2:8" ht="18" customHeight="1" x14ac:dyDescent="0.3">
      <c r="B210" s="366">
        <v>1</v>
      </c>
      <c r="C210" s="32" t="s">
        <v>438</v>
      </c>
      <c r="D210" s="351"/>
      <c r="F210" s="355"/>
      <c r="H210" s="360"/>
    </row>
    <row r="211" spans="2:8" ht="18" customHeight="1" x14ac:dyDescent="0.3">
      <c r="B211" s="366"/>
      <c r="C211" s="32" t="s">
        <v>442</v>
      </c>
      <c r="D211" s="351" t="s">
        <v>444</v>
      </c>
      <c r="E211" s="34">
        <v>15</v>
      </c>
      <c r="F211" s="355" t="s">
        <v>42</v>
      </c>
      <c r="G211" s="51">
        <f>AHS!$H$415</f>
        <v>2107200</v>
      </c>
      <c r="H211" s="360">
        <f t="shared" ref="H211:H216" si="39">E211*G211</f>
        <v>31608000</v>
      </c>
    </row>
    <row r="212" spans="2:8" ht="18" customHeight="1" x14ac:dyDescent="0.3">
      <c r="B212" s="366"/>
      <c r="C212" s="32" t="s">
        <v>439</v>
      </c>
      <c r="D212" s="351" t="s">
        <v>444</v>
      </c>
      <c r="E212" s="34">
        <v>14</v>
      </c>
      <c r="F212" s="355" t="s">
        <v>267</v>
      </c>
      <c r="G212" s="51">
        <f>AHS!$H$434</f>
        <v>845000</v>
      </c>
      <c r="H212" s="360">
        <f t="shared" si="39"/>
        <v>11830000</v>
      </c>
    </row>
    <row r="213" spans="2:8" ht="18" customHeight="1" x14ac:dyDescent="0.3">
      <c r="B213" s="366"/>
      <c r="C213" s="32" t="s">
        <v>440</v>
      </c>
      <c r="D213" s="351" t="s">
        <v>444</v>
      </c>
      <c r="E213" s="34">
        <v>17</v>
      </c>
      <c r="F213" s="355" t="s">
        <v>42</v>
      </c>
      <c r="G213" s="51">
        <f>AHS!$H$508</f>
        <v>673000</v>
      </c>
      <c r="H213" s="360">
        <f t="shared" si="39"/>
        <v>11441000</v>
      </c>
    </row>
    <row r="214" spans="2:8" ht="18" customHeight="1" x14ac:dyDescent="0.3">
      <c r="B214" s="366"/>
      <c r="C214" s="32" t="s">
        <v>441</v>
      </c>
      <c r="D214" s="351"/>
      <c r="E214" s="34">
        <v>25</v>
      </c>
      <c r="F214" s="355" t="s">
        <v>317</v>
      </c>
      <c r="G214" s="51">
        <f>AHS!$H$490</f>
        <v>72000</v>
      </c>
      <c r="H214" s="360">
        <f t="shared" si="39"/>
        <v>1800000</v>
      </c>
    </row>
    <row r="215" spans="2:8" ht="18" customHeight="1" x14ac:dyDescent="0.3">
      <c r="B215" s="366"/>
      <c r="C215" s="32" t="s">
        <v>443</v>
      </c>
      <c r="D215" s="351"/>
      <c r="E215" s="34">
        <v>17</v>
      </c>
      <c r="F215" s="355" t="s">
        <v>267</v>
      </c>
      <c r="G215" s="51">
        <f>AHS!$H$453</f>
        <v>127000</v>
      </c>
      <c r="H215" s="360">
        <f t="shared" si="39"/>
        <v>2159000</v>
      </c>
    </row>
    <row r="216" spans="2:8" ht="18" customHeight="1" x14ac:dyDescent="0.3">
      <c r="B216" s="366"/>
      <c r="C216" s="32" t="s">
        <v>466</v>
      </c>
      <c r="D216" s="351" t="s">
        <v>444</v>
      </c>
      <c r="E216" s="34">
        <v>15</v>
      </c>
      <c r="F216" s="355" t="s">
        <v>42</v>
      </c>
      <c r="G216" s="51">
        <f>AHS!$H$471</f>
        <v>194100</v>
      </c>
      <c r="H216" s="360">
        <f t="shared" si="39"/>
        <v>2911500</v>
      </c>
    </row>
    <row r="217" spans="2:8" ht="18" customHeight="1" x14ac:dyDescent="0.3">
      <c r="B217" s="366"/>
      <c r="D217" s="351"/>
      <c r="F217" s="355"/>
      <c r="H217" s="360"/>
    </row>
    <row r="218" spans="2:8" ht="18" customHeight="1" x14ac:dyDescent="0.3">
      <c r="B218" s="368" t="s">
        <v>525</v>
      </c>
      <c r="C218" s="33" t="s">
        <v>174</v>
      </c>
      <c r="D218" s="351"/>
      <c r="F218" s="355"/>
      <c r="H218" s="360"/>
    </row>
    <row r="219" spans="2:8" ht="18" customHeight="1" x14ac:dyDescent="0.3">
      <c r="B219" s="366">
        <v>1</v>
      </c>
      <c r="C219" s="32" t="s">
        <v>175</v>
      </c>
      <c r="D219" s="351"/>
      <c r="E219" s="34">
        <f>E187</f>
        <v>3150.768</v>
      </c>
      <c r="F219" s="355" t="s">
        <v>15</v>
      </c>
      <c r="G219" s="51">
        <f>AHS!$H$191</f>
        <v>73300</v>
      </c>
      <c r="H219" s="360">
        <f t="shared" ref="H219:H221" si="40">E219*G219</f>
        <v>230951294.40000001</v>
      </c>
    </row>
    <row r="220" spans="2:8" ht="18" customHeight="1" x14ac:dyDescent="0.3">
      <c r="B220" s="366">
        <v>2</v>
      </c>
      <c r="C220" s="32" t="s">
        <v>176</v>
      </c>
      <c r="D220" s="351"/>
      <c r="E220" s="34">
        <f>E191</f>
        <v>1043.6824999999999</v>
      </c>
      <c r="F220" s="355" t="s">
        <v>15</v>
      </c>
      <c r="G220" s="51">
        <f>AHS!$H$228</f>
        <v>62800</v>
      </c>
      <c r="H220" s="360">
        <f t="shared" si="40"/>
        <v>65543260.999999993</v>
      </c>
    </row>
    <row r="221" spans="2:8" ht="18" customHeight="1" x14ac:dyDescent="0.3">
      <c r="B221" s="366">
        <v>3</v>
      </c>
      <c r="C221" s="32" t="s">
        <v>177</v>
      </c>
      <c r="D221" s="351"/>
      <c r="F221" s="355" t="s">
        <v>15</v>
      </c>
      <c r="G221" s="51">
        <f>AHS!$H$247</f>
        <v>96400</v>
      </c>
      <c r="H221" s="360">
        <f t="shared" si="40"/>
        <v>0</v>
      </c>
    </row>
    <row r="222" spans="2:8" ht="18" customHeight="1" x14ac:dyDescent="0.3">
      <c r="B222" s="366"/>
      <c r="D222" s="351"/>
      <c r="F222" s="355"/>
      <c r="H222" s="360"/>
    </row>
    <row r="223" spans="2:8" ht="18" customHeight="1" x14ac:dyDescent="0.3">
      <c r="B223" s="368" t="s">
        <v>526</v>
      </c>
      <c r="C223" s="33" t="s">
        <v>421</v>
      </c>
      <c r="D223" s="351"/>
      <c r="F223" s="355"/>
      <c r="H223" s="360"/>
    </row>
    <row r="224" spans="2:8" ht="18" customHeight="1" x14ac:dyDescent="0.3">
      <c r="B224" s="366">
        <v>1</v>
      </c>
      <c r="C224" s="32" t="s">
        <v>422</v>
      </c>
      <c r="D224" s="351"/>
      <c r="E224" s="34">
        <f>(11.18*4)+(1.75*3)+3.42</f>
        <v>53.39</v>
      </c>
      <c r="F224" s="355" t="s">
        <v>107</v>
      </c>
      <c r="G224" s="51">
        <f>AHS!$H$549</f>
        <v>315000</v>
      </c>
      <c r="H224" s="360">
        <f t="shared" ref="H224:H228" si="41">E224*G224</f>
        <v>16817850</v>
      </c>
    </row>
    <row r="225" spans="1:11" ht="18" customHeight="1" x14ac:dyDescent="0.3">
      <c r="B225" s="366">
        <v>2</v>
      </c>
      <c r="C225" s="32" t="s">
        <v>467</v>
      </c>
      <c r="D225" s="351"/>
      <c r="F225" s="355"/>
      <c r="H225" s="360"/>
    </row>
    <row r="226" spans="1:11" ht="18" customHeight="1" x14ac:dyDescent="0.3">
      <c r="B226" s="366"/>
      <c r="C226" s="32" t="s">
        <v>544</v>
      </c>
      <c r="D226" s="351"/>
      <c r="E226" s="34">
        <f>(2*2)+(2*2)+(0.87+0.87+2.3)</f>
        <v>12.04</v>
      </c>
      <c r="F226" s="355" t="s">
        <v>107</v>
      </c>
      <c r="G226" s="51">
        <v>350000</v>
      </c>
      <c r="H226" s="360">
        <f t="shared" si="41"/>
        <v>4214000</v>
      </c>
    </row>
    <row r="227" spans="1:11" ht="18" customHeight="1" x14ac:dyDescent="0.3">
      <c r="B227" s="366"/>
      <c r="C227" s="32" t="s">
        <v>545</v>
      </c>
      <c r="D227" s="351"/>
      <c r="E227" s="34">
        <f>(2.4*2)+(2*2)+(0.87+0.87+2.3)</f>
        <v>12.84</v>
      </c>
      <c r="F227" s="355" t="s">
        <v>107</v>
      </c>
      <c r="G227" s="51">
        <v>350000</v>
      </c>
      <c r="H227" s="360">
        <f t="shared" si="41"/>
        <v>4494000</v>
      </c>
    </row>
    <row r="228" spans="1:11" ht="18" customHeight="1" x14ac:dyDescent="0.3">
      <c r="B228" s="366">
        <v>3</v>
      </c>
      <c r="C228" s="32" t="s">
        <v>468</v>
      </c>
      <c r="D228" s="351"/>
      <c r="E228" s="34">
        <f>(22.5+2.9)*2</f>
        <v>50.8</v>
      </c>
      <c r="F228" s="355" t="s">
        <v>107</v>
      </c>
      <c r="G228" s="51">
        <v>475000</v>
      </c>
      <c r="H228" s="360">
        <f t="shared" si="41"/>
        <v>24130000</v>
      </c>
    </row>
    <row r="229" spans="1:11" s="45" customFormat="1" ht="24" customHeight="1" x14ac:dyDescent="0.3">
      <c r="A229" s="23"/>
      <c r="B229" s="366"/>
      <c r="C229" s="32"/>
      <c r="D229" s="351"/>
      <c r="E229" s="34"/>
      <c r="F229" s="355"/>
      <c r="G229" s="51"/>
      <c r="H229" s="360"/>
      <c r="I229" s="23"/>
      <c r="J229" s="23"/>
      <c r="K229" s="47"/>
    </row>
    <row r="230" spans="1:11" ht="7.8" customHeight="1" x14ac:dyDescent="0.3">
      <c r="B230" s="366"/>
      <c r="D230" s="351"/>
      <c r="F230" s="355"/>
      <c r="H230" s="360"/>
    </row>
    <row r="231" spans="1:11" ht="18" customHeight="1" x14ac:dyDescent="0.3">
      <c r="B231" s="369"/>
      <c r="C231" s="318"/>
      <c r="D231" s="352"/>
      <c r="E231" s="319"/>
      <c r="F231" s="356"/>
      <c r="G231" s="320" t="s">
        <v>553</v>
      </c>
      <c r="H231" s="362">
        <f>SUM(H184:H230)</f>
        <v>2068485775.8384614</v>
      </c>
    </row>
    <row r="232" spans="1:11" ht="18" customHeight="1" x14ac:dyDescent="0.3">
      <c r="B232" s="366"/>
      <c r="D232" s="351"/>
      <c r="F232" s="355"/>
      <c r="H232" s="360"/>
    </row>
    <row r="233" spans="1:11" ht="18" customHeight="1" x14ac:dyDescent="0.3">
      <c r="B233" s="367" t="s">
        <v>173</v>
      </c>
      <c r="C233" s="371" t="s">
        <v>181</v>
      </c>
      <c r="D233" s="352"/>
      <c r="E233" s="321"/>
      <c r="F233" s="356"/>
      <c r="G233" s="322"/>
      <c r="H233" s="361"/>
    </row>
    <row r="234" spans="1:11" ht="18" customHeight="1" x14ac:dyDescent="0.3">
      <c r="B234" s="366"/>
      <c r="D234" s="351"/>
      <c r="F234" s="355"/>
      <c r="H234" s="360"/>
    </row>
    <row r="235" spans="1:11" ht="18" customHeight="1" x14ac:dyDescent="0.3">
      <c r="B235" s="368" t="s">
        <v>527</v>
      </c>
      <c r="C235" s="33" t="s">
        <v>164</v>
      </c>
      <c r="D235" s="351"/>
      <c r="F235" s="355"/>
      <c r="H235" s="360"/>
    </row>
    <row r="236" spans="1:11" ht="18" customHeight="1" x14ac:dyDescent="0.3">
      <c r="B236" s="366">
        <v>1</v>
      </c>
      <c r="C236" s="32" t="s">
        <v>157</v>
      </c>
      <c r="D236" s="351"/>
      <c r="E236" s="34">
        <f>'ANALISA VOLUME'!I16-'ANALISA VOLUME'!R40</f>
        <v>1556.0699999999997</v>
      </c>
      <c r="F236" s="355" t="s">
        <v>15</v>
      </c>
      <c r="G236" s="51">
        <f>AHS!$Q$5</f>
        <v>153400</v>
      </c>
      <c r="H236" s="360">
        <f>E236*G236</f>
        <v>238701137.99999997</v>
      </c>
    </row>
    <row r="237" spans="1:11" ht="18" customHeight="1" x14ac:dyDescent="0.3">
      <c r="B237" s="366"/>
      <c r="C237" s="32" t="s">
        <v>341</v>
      </c>
      <c r="D237" s="351" t="s">
        <v>342</v>
      </c>
      <c r="F237" s="355"/>
      <c r="G237" s="51">
        <f>AHS!$Q$5</f>
        <v>153400</v>
      </c>
      <c r="H237" s="360"/>
    </row>
    <row r="238" spans="1:11" ht="18" customHeight="1" x14ac:dyDescent="0.3">
      <c r="B238" s="366"/>
      <c r="C238" s="32" t="s">
        <v>487</v>
      </c>
      <c r="D238" s="351" t="s">
        <v>489</v>
      </c>
      <c r="F238" s="355"/>
      <c r="G238" s="51">
        <f>AHS!$Q$28+AHS!$Q$172</f>
        <v>243700</v>
      </c>
      <c r="H238" s="360"/>
    </row>
    <row r="239" spans="1:11" ht="18" customHeight="1" x14ac:dyDescent="0.3">
      <c r="B239" s="366">
        <v>2</v>
      </c>
      <c r="C239" s="32" t="s">
        <v>159</v>
      </c>
      <c r="D239" s="351"/>
      <c r="E239" s="34">
        <f>E236*2</f>
        <v>3112.1399999999994</v>
      </c>
      <c r="F239" s="355" t="s">
        <v>15</v>
      </c>
      <c r="G239" s="51">
        <f>AHS!$H$50+AHS!$H$69</f>
        <v>111300</v>
      </c>
      <c r="H239" s="360">
        <f t="shared" ref="H239:H240" si="42">E239*G239</f>
        <v>346381181.99999994</v>
      </c>
    </row>
    <row r="240" spans="1:11" ht="18" customHeight="1" x14ac:dyDescent="0.3">
      <c r="B240" s="366">
        <v>3</v>
      </c>
      <c r="C240" s="32" t="s">
        <v>165</v>
      </c>
      <c r="D240" s="351"/>
      <c r="E240" s="34">
        <f>'ANALISA VOLUME'!P119</f>
        <v>284.43200000000002</v>
      </c>
      <c r="F240" s="355" t="s">
        <v>15</v>
      </c>
      <c r="G240" s="51">
        <f>AHS!$H$151</f>
        <v>269900</v>
      </c>
      <c r="H240" s="360">
        <f t="shared" si="42"/>
        <v>76768196.799999997</v>
      </c>
    </row>
    <row r="241" spans="2:8" ht="18" customHeight="1" x14ac:dyDescent="0.3">
      <c r="B241" s="366"/>
      <c r="D241" s="351"/>
      <c r="F241" s="355"/>
      <c r="H241" s="360"/>
    </row>
    <row r="242" spans="2:8" ht="18" customHeight="1" x14ac:dyDescent="0.3">
      <c r="B242" s="368" t="s">
        <v>528</v>
      </c>
      <c r="C242" s="33" t="s">
        <v>161</v>
      </c>
      <c r="D242" s="351"/>
      <c r="F242" s="355"/>
      <c r="H242" s="360"/>
    </row>
    <row r="243" spans="2:8" ht="18" customHeight="1" x14ac:dyDescent="0.3">
      <c r="B243" s="366">
        <v>1</v>
      </c>
      <c r="C243" s="32" t="s">
        <v>166</v>
      </c>
      <c r="D243" s="351"/>
      <c r="E243" s="34">
        <f>'ANALISA VOLUME'!I124+'ANALISA VOLUME'!I127</f>
        <v>972.87</v>
      </c>
      <c r="F243" s="355" t="s">
        <v>15</v>
      </c>
      <c r="G243" s="51">
        <f>AHS!$Q$172+AHS!$H$172</f>
        <v>194000</v>
      </c>
      <c r="H243" s="360">
        <f t="shared" ref="H243:H244" si="43">E243*G243</f>
        <v>188736780</v>
      </c>
    </row>
    <row r="244" spans="2:8" ht="18" customHeight="1" x14ac:dyDescent="0.3">
      <c r="B244" s="366">
        <v>2</v>
      </c>
      <c r="C244" s="32" t="s">
        <v>167</v>
      </c>
      <c r="D244" s="351"/>
      <c r="E244" s="34">
        <f>('ANALISA VOLUME'!I13+'ANALISA VOLUME'!I14)*2</f>
        <v>1068.5999999999999</v>
      </c>
      <c r="F244" s="355" t="s">
        <v>107</v>
      </c>
      <c r="G244" s="51">
        <v>35000</v>
      </c>
      <c r="H244" s="360">
        <f t="shared" si="43"/>
        <v>37401000</v>
      </c>
    </row>
    <row r="245" spans="2:8" ht="18" customHeight="1" x14ac:dyDescent="0.3">
      <c r="B245" s="366"/>
      <c r="D245" s="351"/>
      <c r="F245" s="355"/>
      <c r="H245" s="360"/>
    </row>
    <row r="246" spans="2:8" ht="18" customHeight="1" x14ac:dyDescent="0.3">
      <c r="B246" s="368" t="s">
        <v>529</v>
      </c>
      <c r="C246" s="33" t="s">
        <v>163</v>
      </c>
      <c r="D246" s="351"/>
      <c r="F246" s="355"/>
      <c r="H246" s="360"/>
    </row>
    <row r="247" spans="2:8" ht="18" customHeight="1" x14ac:dyDescent="0.3">
      <c r="B247" s="366">
        <v>1</v>
      </c>
      <c r="C247" s="32" t="s">
        <v>168</v>
      </c>
      <c r="D247" s="351"/>
      <c r="E247" s="34">
        <f>'ANALISA VOLUME'!I124+'ANALISA VOLUME'!I127</f>
        <v>972.87</v>
      </c>
      <c r="F247" s="355" t="s">
        <v>15</v>
      </c>
      <c r="H247" s="360">
        <f t="shared" ref="H247:H250" si="44">E247*G247</f>
        <v>0</v>
      </c>
    </row>
    <row r="248" spans="2:8" ht="18" customHeight="1" x14ac:dyDescent="0.3">
      <c r="B248" s="366"/>
      <c r="C248" s="32" t="s">
        <v>336</v>
      </c>
      <c r="D248" s="351" t="s">
        <v>343</v>
      </c>
      <c r="E248" s="34">
        <f>'ANALISA VOLUME'!O119</f>
        <v>52.576500000000003</v>
      </c>
      <c r="F248" s="355" t="s">
        <v>15</v>
      </c>
      <c r="G248" s="51">
        <f>AHS!$H$87</f>
        <v>222000</v>
      </c>
      <c r="H248" s="360">
        <f t="shared" si="44"/>
        <v>11671983</v>
      </c>
    </row>
    <row r="249" spans="2:8" ht="18" customHeight="1" x14ac:dyDescent="0.3">
      <c r="B249" s="366"/>
      <c r="C249" s="32" t="s">
        <v>337</v>
      </c>
      <c r="D249" s="351" t="s">
        <v>343</v>
      </c>
      <c r="E249" s="34">
        <f>E247-E248</f>
        <v>920.29349999999999</v>
      </c>
      <c r="F249" s="355" t="s">
        <v>15</v>
      </c>
      <c r="G249" s="51">
        <f>AHS!$H$109</f>
        <v>354000</v>
      </c>
      <c r="H249" s="360">
        <f t="shared" si="44"/>
        <v>325783899</v>
      </c>
    </row>
    <row r="250" spans="2:8" ht="18" customHeight="1" x14ac:dyDescent="0.3">
      <c r="B250" s="366">
        <v>2</v>
      </c>
      <c r="C250" s="32" t="s">
        <v>169</v>
      </c>
      <c r="D250" s="351"/>
      <c r="E250" s="34">
        <f>E244</f>
        <v>1068.5999999999999</v>
      </c>
      <c r="F250" s="355" t="s">
        <v>107</v>
      </c>
      <c r="G250" s="51">
        <f>AHS!$H$130</f>
        <v>40400</v>
      </c>
      <c r="H250" s="360">
        <f t="shared" si="44"/>
        <v>43171440</v>
      </c>
    </row>
    <row r="251" spans="2:8" ht="18" customHeight="1" x14ac:dyDescent="0.3">
      <c r="B251" s="366"/>
      <c r="D251" s="351"/>
      <c r="F251" s="355"/>
      <c r="H251" s="360"/>
    </row>
    <row r="252" spans="2:8" ht="18" customHeight="1" x14ac:dyDescent="0.3">
      <c r="B252" s="368" t="s">
        <v>530</v>
      </c>
      <c r="C252" s="33" t="s">
        <v>172</v>
      </c>
      <c r="D252" s="351"/>
      <c r="F252" s="355"/>
      <c r="H252" s="360"/>
    </row>
    <row r="253" spans="2:8" ht="18" customHeight="1" x14ac:dyDescent="0.3">
      <c r="B253" s="366">
        <v>1</v>
      </c>
      <c r="C253" s="32" t="s">
        <v>38</v>
      </c>
      <c r="D253" s="351"/>
      <c r="E253" s="34">
        <v>20</v>
      </c>
      <c r="F253" s="355" t="s">
        <v>42</v>
      </c>
      <c r="G253" s="51">
        <f>'ANALISA PINTU JENDELA'!F16</f>
        <v>5421570.9249999998</v>
      </c>
      <c r="H253" s="360">
        <f t="shared" ref="H253:H258" si="45">E253*G253</f>
        <v>108431418.5</v>
      </c>
    </row>
    <row r="254" spans="2:8" ht="18" customHeight="1" x14ac:dyDescent="0.3">
      <c r="B254" s="366">
        <v>2</v>
      </c>
      <c r="C254" s="32" t="s">
        <v>39</v>
      </c>
      <c r="D254" s="351"/>
      <c r="E254" s="34">
        <v>8</v>
      </c>
      <c r="F254" s="355" t="s">
        <v>42</v>
      </c>
      <c r="G254" s="51">
        <f>'ANALISA PINTU JENDELA'!F28</f>
        <v>5638214.8249999993</v>
      </c>
      <c r="H254" s="360">
        <f t="shared" si="45"/>
        <v>45105718.599999994</v>
      </c>
    </row>
    <row r="255" spans="2:8" ht="18" customHeight="1" x14ac:dyDescent="0.3">
      <c r="B255" s="366">
        <v>3</v>
      </c>
      <c r="C255" s="32" t="s">
        <v>40</v>
      </c>
      <c r="D255" s="351"/>
      <c r="E255" s="34">
        <v>14</v>
      </c>
      <c r="F255" s="355" t="s">
        <v>42</v>
      </c>
      <c r="G255" s="51">
        <f>'ANALISA PINTU JENDELA'!F41</f>
        <v>7187743.2249999996</v>
      </c>
      <c r="H255" s="360">
        <f t="shared" si="45"/>
        <v>100628405.14999999</v>
      </c>
    </row>
    <row r="256" spans="2:8" ht="18" customHeight="1" x14ac:dyDescent="0.3">
      <c r="B256" s="366">
        <v>4</v>
      </c>
      <c r="C256" s="32" t="s">
        <v>46</v>
      </c>
      <c r="D256" s="351"/>
      <c r="E256" s="34">
        <v>9</v>
      </c>
      <c r="F256" s="355" t="s">
        <v>42</v>
      </c>
      <c r="G256" s="51">
        <f>'ANALISA PINTU JENDELA'!N98</f>
        <v>1523050.0000000002</v>
      </c>
      <c r="H256" s="360">
        <f t="shared" si="45"/>
        <v>13707450.000000002</v>
      </c>
    </row>
    <row r="257" spans="2:8" ht="18" customHeight="1" x14ac:dyDescent="0.3">
      <c r="B257" s="366">
        <v>5</v>
      </c>
      <c r="C257" s="32" t="s">
        <v>48</v>
      </c>
      <c r="D257" s="351"/>
      <c r="E257" s="34">
        <v>12</v>
      </c>
      <c r="F257" s="355" t="s">
        <v>42</v>
      </c>
      <c r="G257" s="51">
        <f>'ANALISA PINTU JENDELA'!N120</f>
        <v>1052695</v>
      </c>
      <c r="H257" s="360">
        <f t="shared" si="45"/>
        <v>12632340</v>
      </c>
    </row>
    <row r="258" spans="2:8" ht="18" customHeight="1" x14ac:dyDescent="0.3">
      <c r="B258" s="366">
        <v>6</v>
      </c>
      <c r="C258" s="32" t="s">
        <v>47</v>
      </c>
      <c r="D258" s="351"/>
      <c r="E258" s="34">
        <v>2</v>
      </c>
      <c r="F258" s="355" t="s">
        <v>42</v>
      </c>
      <c r="G258" s="51">
        <f>'ANALISA PINTU JENDELA'!N90</f>
        <v>8798181.3749999981</v>
      </c>
      <c r="H258" s="360">
        <f t="shared" si="45"/>
        <v>17596362.749999996</v>
      </c>
    </row>
    <row r="259" spans="2:8" ht="18" customHeight="1" x14ac:dyDescent="0.3">
      <c r="B259" s="366">
        <v>7</v>
      </c>
      <c r="C259" s="32" t="s">
        <v>91</v>
      </c>
      <c r="D259" s="351"/>
      <c r="E259" s="34">
        <v>1</v>
      </c>
      <c r="F259" s="355" t="s">
        <v>42</v>
      </c>
      <c r="G259" s="51">
        <f>'ANALISA PINTU JENDELA'!F180</f>
        <v>0</v>
      </c>
      <c r="H259" s="360">
        <f t="shared" ref="H259" si="46">E259*G259</f>
        <v>0</v>
      </c>
    </row>
    <row r="260" spans="2:8" ht="18" customHeight="1" x14ac:dyDescent="0.3">
      <c r="B260" s="366"/>
      <c r="D260" s="351"/>
      <c r="F260" s="355"/>
      <c r="H260" s="360"/>
    </row>
    <row r="261" spans="2:8" ht="18" customHeight="1" x14ac:dyDescent="0.3">
      <c r="B261" s="368" t="s">
        <v>531</v>
      </c>
      <c r="C261" s="33" t="s">
        <v>437</v>
      </c>
      <c r="D261" s="351"/>
      <c r="F261" s="355"/>
      <c r="H261" s="360"/>
    </row>
    <row r="262" spans="2:8" ht="18" customHeight="1" x14ac:dyDescent="0.3">
      <c r="B262" s="366">
        <v>1</v>
      </c>
      <c r="C262" s="32" t="s">
        <v>438</v>
      </c>
      <c r="D262" s="351"/>
      <c r="F262" s="355"/>
      <c r="H262" s="360"/>
    </row>
    <row r="263" spans="2:8" ht="18" customHeight="1" x14ac:dyDescent="0.3">
      <c r="B263" s="366"/>
      <c r="C263" s="32" t="s">
        <v>442</v>
      </c>
      <c r="D263" s="351" t="s">
        <v>444</v>
      </c>
      <c r="E263" s="34">
        <v>15</v>
      </c>
      <c r="F263" s="355" t="s">
        <v>42</v>
      </c>
      <c r="G263" s="51">
        <f>AHS!$H$415</f>
        <v>2107200</v>
      </c>
      <c r="H263" s="360">
        <f t="shared" ref="H263:H268" si="47">E263*G263</f>
        <v>31608000</v>
      </c>
    </row>
    <row r="264" spans="2:8" ht="18" customHeight="1" x14ac:dyDescent="0.3">
      <c r="B264" s="366"/>
      <c r="C264" s="32" t="s">
        <v>439</v>
      </c>
      <c r="D264" s="351" t="s">
        <v>444</v>
      </c>
      <c r="E264" s="34">
        <v>13</v>
      </c>
      <c r="F264" s="355" t="s">
        <v>267</v>
      </c>
      <c r="G264" s="51">
        <f>AHS!$H$434</f>
        <v>845000</v>
      </c>
      <c r="H264" s="360">
        <f t="shared" si="47"/>
        <v>10985000</v>
      </c>
    </row>
    <row r="265" spans="2:8" ht="18" customHeight="1" x14ac:dyDescent="0.3">
      <c r="B265" s="366"/>
      <c r="C265" s="32" t="s">
        <v>440</v>
      </c>
      <c r="D265" s="351" t="s">
        <v>444</v>
      </c>
      <c r="E265" s="34">
        <v>21</v>
      </c>
      <c r="F265" s="355" t="s">
        <v>42</v>
      </c>
      <c r="G265" s="51">
        <f>AHS!$H$508</f>
        <v>673000</v>
      </c>
      <c r="H265" s="360">
        <f t="shared" si="47"/>
        <v>14133000</v>
      </c>
    </row>
    <row r="266" spans="2:8" ht="18" customHeight="1" x14ac:dyDescent="0.3">
      <c r="B266" s="366"/>
      <c r="C266" s="32" t="s">
        <v>441</v>
      </c>
      <c r="D266" s="351"/>
      <c r="E266" s="34">
        <v>21</v>
      </c>
      <c r="F266" s="355" t="s">
        <v>317</v>
      </c>
      <c r="G266" s="51">
        <f>AHS!$H$490</f>
        <v>72000</v>
      </c>
      <c r="H266" s="360">
        <f t="shared" si="47"/>
        <v>1512000</v>
      </c>
    </row>
    <row r="267" spans="2:8" ht="18" customHeight="1" x14ac:dyDescent="0.3">
      <c r="B267" s="366"/>
      <c r="C267" s="32" t="s">
        <v>443</v>
      </c>
      <c r="D267" s="351"/>
      <c r="E267" s="34">
        <v>22</v>
      </c>
      <c r="F267" s="355" t="s">
        <v>267</v>
      </c>
      <c r="G267" s="51">
        <f>AHS!$H$453</f>
        <v>127000</v>
      </c>
      <c r="H267" s="360">
        <f t="shared" si="47"/>
        <v>2794000</v>
      </c>
    </row>
    <row r="268" spans="2:8" ht="18" customHeight="1" x14ac:dyDescent="0.3">
      <c r="B268" s="366"/>
      <c r="C268" s="32" t="s">
        <v>466</v>
      </c>
      <c r="D268" s="351" t="s">
        <v>444</v>
      </c>
      <c r="E268" s="34">
        <v>13</v>
      </c>
      <c r="F268" s="355" t="s">
        <v>42</v>
      </c>
      <c r="G268" s="51">
        <f>AHS!$H$471</f>
        <v>194100</v>
      </c>
      <c r="H268" s="360">
        <f t="shared" si="47"/>
        <v>2523300</v>
      </c>
    </row>
    <row r="269" spans="2:8" ht="18" customHeight="1" x14ac:dyDescent="0.3">
      <c r="B269" s="366"/>
      <c r="D269" s="351"/>
      <c r="F269" s="355"/>
      <c r="H269" s="360"/>
    </row>
    <row r="270" spans="2:8" ht="18" customHeight="1" x14ac:dyDescent="0.3">
      <c r="B270" s="366"/>
      <c r="D270" s="351"/>
      <c r="F270" s="355"/>
      <c r="H270" s="360"/>
    </row>
    <row r="271" spans="2:8" ht="18" customHeight="1" x14ac:dyDescent="0.3">
      <c r="B271" s="368" t="s">
        <v>532</v>
      </c>
      <c r="C271" s="33" t="s">
        <v>174</v>
      </c>
      <c r="D271" s="351"/>
      <c r="F271" s="355"/>
      <c r="H271" s="360"/>
    </row>
    <row r="272" spans="2:8" ht="18" customHeight="1" x14ac:dyDescent="0.3">
      <c r="B272" s="366">
        <v>1</v>
      </c>
      <c r="C272" s="32" t="s">
        <v>175</v>
      </c>
      <c r="D272" s="351"/>
      <c r="E272" s="34">
        <f>E239</f>
        <v>3112.1399999999994</v>
      </c>
      <c r="F272" s="355" t="s">
        <v>15</v>
      </c>
      <c r="G272" s="51">
        <f>AHS!$H$191</f>
        <v>73300</v>
      </c>
      <c r="H272" s="360">
        <f t="shared" ref="H272:H274" si="48">E272*G272</f>
        <v>228119861.99999997</v>
      </c>
    </row>
    <row r="273" spans="1:11" ht="18" customHeight="1" x14ac:dyDescent="0.3">
      <c r="B273" s="366">
        <v>2</v>
      </c>
      <c r="C273" s="32" t="s">
        <v>176</v>
      </c>
      <c r="D273" s="351"/>
      <c r="E273" s="34">
        <f>E243</f>
        <v>972.87</v>
      </c>
      <c r="F273" s="355" t="s">
        <v>15</v>
      </c>
      <c r="G273" s="51">
        <f>AHS!$H$228</f>
        <v>62800</v>
      </c>
      <c r="H273" s="360">
        <f t="shared" si="48"/>
        <v>61096236</v>
      </c>
    </row>
    <row r="274" spans="1:11" ht="18" customHeight="1" x14ac:dyDescent="0.3">
      <c r="B274" s="366">
        <v>3</v>
      </c>
      <c r="C274" s="32" t="s">
        <v>177</v>
      </c>
      <c r="D274" s="351"/>
      <c r="F274" s="355" t="s">
        <v>15</v>
      </c>
      <c r="G274" s="51">
        <f>AHS!$H$247</f>
        <v>96400</v>
      </c>
      <c r="H274" s="360">
        <f t="shared" si="48"/>
        <v>0</v>
      </c>
    </row>
    <row r="275" spans="1:11" ht="18" customHeight="1" x14ac:dyDescent="0.3">
      <c r="B275" s="366"/>
      <c r="D275" s="351"/>
      <c r="F275" s="355"/>
      <c r="H275" s="360"/>
    </row>
    <row r="276" spans="1:11" ht="18" customHeight="1" x14ac:dyDescent="0.3">
      <c r="B276" s="368" t="s">
        <v>533</v>
      </c>
      <c r="C276" s="33" t="s">
        <v>421</v>
      </c>
      <c r="D276" s="351"/>
      <c r="F276" s="355"/>
      <c r="H276" s="360"/>
    </row>
    <row r="277" spans="1:11" ht="18" customHeight="1" x14ac:dyDescent="0.3">
      <c r="B277" s="366">
        <v>1</v>
      </c>
      <c r="C277" s="32" t="s">
        <v>422</v>
      </c>
      <c r="D277" s="351"/>
      <c r="E277" s="34">
        <f>(11.18*4)+(1.75*3)+3.42</f>
        <v>53.39</v>
      </c>
      <c r="F277" s="355" t="s">
        <v>107</v>
      </c>
      <c r="G277" s="51">
        <f>AHS!$H$549</f>
        <v>315000</v>
      </c>
      <c r="H277" s="360">
        <f t="shared" ref="H277:H281" si="49">E277*G277</f>
        <v>16817850</v>
      </c>
    </row>
    <row r="278" spans="1:11" ht="18" customHeight="1" x14ac:dyDescent="0.3">
      <c r="B278" s="366">
        <v>2</v>
      </c>
      <c r="C278" s="32" t="s">
        <v>467</v>
      </c>
      <c r="D278" s="351"/>
      <c r="F278" s="355"/>
      <c r="H278" s="360"/>
    </row>
    <row r="279" spans="1:11" ht="18" customHeight="1" x14ac:dyDescent="0.3">
      <c r="B279" s="366"/>
      <c r="C279" s="32" t="s">
        <v>544</v>
      </c>
      <c r="D279" s="351"/>
      <c r="E279" s="34">
        <f>(3.43*2)+(0.69*2)+(0.87+0.87+2.3)</f>
        <v>12.280000000000001</v>
      </c>
      <c r="F279" s="355" t="s">
        <v>107</v>
      </c>
      <c r="G279" s="51">
        <v>350000</v>
      </c>
      <c r="H279" s="360">
        <f t="shared" si="49"/>
        <v>4298000</v>
      </c>
    </row>
    <row r="280" spans="1:11" s="45" customFormat="1" ht="24" customHeight="1" x14ac:dyDescent="0.3">
      <c r="A280" s="23"/>
      <c r="B280" s="366"/>
      <c r="C280" s="32" t="s">
        <v>545</v>
      </c>
      <c r="D280" s="351"/>
      <c r="E280" s="34">
        <f>(2.4*2)+(2*2)+(0.87+0.87+2.3)</f>
        <v>12.84</v>
      </c>
      <c r="F280" s="355" t="s">
        <v>107</v>
      </c>
      <c r="G280" s="51">
        <v>350000</v>
      </c>
      <c r="H280" s="360">
        <f t="shared" si="49"/>
        <v>4494000</v>
      </c>
      <c r="I280" s="23"/>
      <c r="J280" s="23"/>
      <c r="K280" s="47"/>
    </row>
    <row r="281" spans="1:11" ht="18" customHeight="1" x14ac:dyDescent="0.3">
      <c r="B281" s="366">
        <v>3</v>
      </c>
      <c r="C281" s="32" t="s">
        <v>468</v>
      </c>
      <c r="D281" s="351"/>
      <c r="E281" s="34">
        <f>(22.5+2.9)*2</f>
        <v>50.8</v>
      </c>
      <c r="F281" s="355" t="s">
        <v>107</v>
      </c>
      <c r="G281" s="51">
        <v>475000</v>
      </c>
      <c r="H281" s="360">
        <f t="shared" si="49"/>
        <v>24130000</v>
      </c>
    </row>
    <row r="282" spans="1:11" ht="18" customHeight="1" x14ac:dyDescent="0.3">
      <c r="B282" s="366"/>
      <c r="D282" s="351"/>
      <c r="F282" s="355"/>
      <c r="H282" s="360"/>
    </row>
    <row r="283" spans="1:11" ht="9" customHeight="1" x14ac:dyDescent="0.3">
      <c r="B283" s="366"/>
      <c r="D283" s="351"/>
      <c r="F283" s="355"/>
      <c r="H283" s="360"/>
    </row>
    <row r="284" spans="1:11" ht="18" customHeight="1" x14ac:dyDescent="0.3">
      <c r="B284" s="369"/>
      <c r="C284" s="318"/>
      <c r="D284" s="352"/>
      <c r="E284" s="319"/>
      <c r="F284" s="356"/>
      <c r="G284" s="320" t="s">
        <v>554</v>
      </c>
      <c r="H284" s="362">
        <f>SUM(H236:H283)</f>
        <v>1969228561.7999997</v>
      </c>
    </row>
    <row r="285" spans="1:11" ht="18" customHeight="1" x14ac:dyDescent="0.3">
      <c r="B285" s="366"/>
      <c r="D285" s="351"/>
      <c r="F285" s="355"/>
      <c r="H285" s="360"/>
    </row>
    <row r="286" spans="1:11" ht="18" customHeight="1" x14ac:dyDescent="0.3">
      <c r="B286" s="367" t="s">
        <v>420</v>
      </c>
      <c r="C286" s="371" t="s">
        <v>182</v>
      </c>
      <c r="D286" s="352"/>
      <c r="E286" s="321"/>
      <c r="F286" s="356"/>
      <c r="G286" s="322"/>
      <c r="H286" s="361"/>
    </row>
    <row r="287" spans="1:11" ht="18" customHeight="1" x14ac:dyDescent="0.3">
      <c r="B287" s="366"/>
      <c r="D287" s="351"/>
      <c r="F287" s="355"/>
      <c r="H287" s="360"/>
    </row>
    <row r="288" spans="1:11" ht="18" customHeight="1" x14ac:dyDescent="0.3">
      <c r="B288" s="368" t="s">
        <v>534</v>
      </c>
      <c r="C288" s="33" t="s">
        <v>164</v>
      </c>
      <c r="D288" s="351"/>
      <c r="F288" s="355"/>
      <c r="H288" s="360"/>
    </row>
    <row r="289" spans="2:8" ht="18" customHeight="1" x14ac:dyDescent="0.3">
      <c r="B289" s="366">
        <v>1</v>
      </c>
      <c r="C289" s="32" t="s">
        <v>157</v>
      </c>
      <c r="D289" s="351"/>
      <c r="E289" s="34">
        <f>'ANALISA VOLUME'!J16-'ANALISA VOLUME'!S40</f>
        <v>703.41999999999985</v>
      </c>
      <c r="F289" s="355" t="s">
        <v>15</v>
      </c>
      <c r="G289" s="51">
        <f>AHS!$Q$5</f>
        <v>153400</v>
      </c>
      <c r="H289" s="360">
        <f>E289*G289</f>
        <v>107904627.99999997</v>
      </c>
    </row>
    <row r="290" spans="2:8" ht="18" customHeight="1" x14ac:dyDescent="0.3">
      <c r="B290" s="366"/>
      <c r="C290" s="32" t="s">
        <v>341</v>
      </c>
      <c r="D290" s="351" t="s">
        <v>342</v>
      </c>
      <c r="F290" s="355"/>
      <c r="G290" s="51">
        <f>AHS!$Q$5</f>
        <v>153400</v>
      </c>
      <c r="H290" s="360"/>
    </row>
    <row r="291" spans="2:8" ht="18" customHeight="1" x14ac:dyDescent="0.3">
      <c r="B291" s="366"/>
      <c r="C291" s="32" t="s">
        <v>487</v>
      </c>
      <c r="D291" s="351" t="s">
        <v>489</v>
      </c>
      <c r="F291" s="355"/>
      <c r="G291" s="51">
        <f>AHS!$Q$28+AHS!$Q$172</f>
        <v>243700</v>
      </c>
      <c r="H291" s="360"/>
    </row>
    <row r="292" spans="2:8" ht="18" customHeight="1" x14ac:dyDescent="0.3">
      <c r="B292" s="366">
        <v>2</v>
      </c>
      <c r="C292" s="32" t="s">
        <v>159</v>
      </c>
      <c r="D292" s="351"/>
      <c r="E292" s="34">
        <f>E289*2</f>
        <v>1406.8399999999997</v>
      </c>
      <c r="F292" s="355" t="s">
        <v>15</v>
      </c>
      <c r="G292" s="51">
        <f>AHS!$H$50+AHS!$H$69</f>
        <v>111300</v>
      </c>
      <c r="H292" s="360">
        <f t="shared" ref="H292:H293" si="50">E292*G292</f>
        <v>156581291.99999997</v>
      </c>
    </row>
    <row r="293" spans="2:8" ht="18" customHeight="1" x14ac:dyDescent="0.3">
      <c r="B293" s="366">
        <v>3</v>
      </c>
      <c r="C293" s="32" t="s">
        <v>165</v>
      </c>
      <c r="D293" s="351"/>
      <c r="E293" s="34">
        <f>'ANALISA VOLUME'!Q136</f>
        <v>81.175999999999988</v>
      </c>
      <c r="F293" s="355" t="s">
        <v>15</v>
      </c>
      <c r="G293" s="51">
        <f>AHS!$H$151</f>
        <v>269900</v>
      </c>
      <c r="H293" s="360">
        <f t="shared" si="50"/>
        <v>21909402.399999999</v>
      </c>
    </row>
    <row r="294" spans="2:8" ht="18" customHeight="1" x14ac:dyDescent="0.3">
      <c r="B294" s="366"/>
      <c r="D294" s="351"/>
      <c r="F294" s="355"/>
      <c r="H294" s="360"/>
    </row>
    <row r="295" spans="2:8" ht="18" customHeight="1" x14ac:dyDescent="0.3">
      <c r="B295" s="368" t="s">
        <v>535</v>
      </c>
      <c r="C295" s="33" t="s">
        <v>161</v>
      </c>
      <c r="D295" s="351"/>
      <c r="F295" s="355"/>
      <c r="H295" s="360"/>
    </row>
    <row r="296" spans="2:8" ht="18" customHeight="1" x14ac:dyDescent="0.3">
      <c r="B296" s="366">
        <v>1</v>
      </c>
      <c r="C296" s="32" t="s">
        <v>166</v>
      </c>
      <c r="D296" s="351"/>
      <c r="E296" s="34">
        <f>'ANALISA VOLUME'!J136</f>
        <v>647.45000000000005</v>
      </c>
      <c r="F296" s="355" t="s">
        <v>15</v>
      </c>
      <c r="G296" s="51">
        <f>AHS!$Q$172+AHS!$H$172</f>
        <v>194000</v>
      </c>
      <c r="H296" s="360">
        <f t="shared" ref="H296:H297" si="51">E296*G296</f>
        <v>125605300.00000001</v>
      </c>
    </row>
    <row r="297" spans="2:8" ht="18" customHeight="1" x14ac:dyDescent="0.3">
      <c r="B297" s="366">
        <v>2</v>
      </c>
      <c r="C297" s="32" t="s">
        <v>167</v>
      </c>
      <c r="D297" s="351"/>
      <c r="E297" s="34">
        <f>('ANALISA VOLUME'!J13+'ANALISA VOLUME'!J14)*2</f>
        <v>530.9</v>
      </c>
      <c r="F297" s="355" t="s">
        <v>107</v>
      </c>
      <c r="G297" s="51">
        <v>35000</v>
      </c>
      <c r="H297" s="360">
        <f t="shared" si="51"/>
        <v>18581500</v>
      </c>
    </row>
    <row r="298" spans="2:8" ht="18" customHeight="1" x14ac:dyDescent="0.3">
      <c r="B298" s="366"/>
      <c r="D298" s="351"/>
      <c r="F298" s="355"/>
      <c r="H298" s="360"/>
    </row>
    <row r="299" spans="2:8" ht="18" customHeight="1" x14ac:dyDescent="0.3">
      <c r="B299" s="368" t="s">
        <v>536</v>
      </c>
      <c r="C299" s="33" t="s">
        <v>163</v>
      </c>
      <c r="D299" s="351"/>
      <c r="F299" s="355"/>
      <c r="H299" s="360"/>
    </row>
    <row r="300" spans="2:8" ht="18" customHeight="1" x14ac:dyDescent="0.3">
      <c r="B300" s="366">
        <v>1</v>
      </c>
      <c r="C300" s="32" t="s">
        <v>168</v>
      </c>
      <c r="D300" s="351"/>
      <c r="E300" s="34">
        <f>'ANALISA VOLUME'!J136</f>
        <v>647.45000000000005</v>
      </c>
      <c r="F300" s="355" t="s">
        <v>15</v>
      </c>
      <c r="H300" s="360">
        <f t="shared" ref="H300:H303" si="52">E300*G300</f>
        <v>0</v>
      </c>
    </row>
    <row r="301" spans="2:8" ht="18" customHeight="1" x14ac:dyDescent="0.3">
      <c r="B301" s="366"/>
      <c r="C301" s="32" t="s">
        <v>336</v>
      </c>
      <c r="D301" s="351" t="s">
        <v>343</v>
      </c>
      <c r="E301" s="34">
        <f>'ANALISA VOLUME'!P136</f>
        <v>17.634999999999998</v>
      </c>
      <c r="F301" s="355" t="s">
        <v>15</v>
      </c>
      <c r="G301" s="51">
        <f>AHS!$H$87</f>
        <v>222000</v>
      </c>
      <c r="H301" s="360">
        <f t="shared" si="52"/>
        <v>3914969.9999999995</v>
      </c>
    </row>
    <row r="302" spans="2:8" ht="18" customHeight="1" x14ac:dyDescent="0.3">
      <c r="B302" s="366"/>
      <c r="C302" s="32" t="s">
        <v>337</v>
      </c>
      <c r="D302" s="351" t="s">
        <v>343</v>
      </c>
      <c r="E302" s="34">
        <f>E300-E301</f>
        <v>629.81500000000005</v>
      </c>
      <c r="F302" s="355" t="s">
        <v>15</v>
      </c>
      <c r="G302" s="51">
        <f>AHS!$H$109</f>
        <v>354000</v>
      </c>
      <c r="H302" s="360">
        <f t="shared" si="52"/>
        <v>222954510.00000003</v>
      </c>
    </row>
    <row r="303" spans="2:8" ht="18" customHeight="1" x14ac:dyDescent="0.3">
      <c r="B303" s="366">
        <v>2</v>
      </c>
      <c r="C303" s="32" t="s">
        <v>169</v>
      </c>
      <c r="D303" s="351"/>
      <c r="E303" s="34">
        <f>E297</f>
        <v>530.9</v>
      </c>
      <c r="F303" s="355" t="s">
        <v>107</v>
      </c>
      <c r="G303" s="51">
        <f>AHS!$H$130</f>
        <v>40400</v>
      </c>
      <c r="H303" s="360">
        <f t="shared" si="52"/>
        <v>21448360</v>
      </c>
    </row>
    <row r="304" spans="2:8" ht="18" customHeight="1" x14ac:dyDescent="0.3">
      <c r="B304" s="366"/>
      <c r="D304" s="351"/>
      <c r="F304" s="355"/>
      <c r="H304" s="360"/>
    </row>
    <row r="305" spans="2:8" ht="18" customHeight="1" x14ac:dyDescent="0.3">
      <c r="B305" s="368" t="s">
        <v>537</v>
      </c>
      <c r="C305" s="33" t="s">
        <v>172</v>
      </c>
      <c r="D305" s="351"/>
      <c r="F305" s="355"/>
      <c r="H305" s="360"/>
    </row>
    <row r="306" spans="2:8" ht="18" customHeight="1" x14ac:dyDescent="0.3">
      <c r="B306" s="366">
        <v>1</v>
      </c>
      <c r="C306" s="32" t="s">
        <v>38</v>
      </c>
      <c r="D306" s="351"/>
      <c r="E306" s="34">
        <v>4</v>
      </c>
      <c r="F306" s="355" t="s">
        <v>42</v>
      </c>
      <c r="G306" s="51">
        <f>'ANALISA PINTU JENDELA'!F16</f>
        <v>5421570.9249999998</v>
      </c>
      <c r="H306" s="360">
        <f t="shared" ref="H306:H308" si="53">E306*G306</f>
        <v>21686283.699999999</v>
      </c>
    </row>
    <row r="307" spans="2:8" ht="18" customHeight="1" x14ac:dyDescent="0.3">
      <c r="B307" s="366">
        <v>2</v>
      </c>
      <c r="C307" s="32" t="s">
        <v>39</v>
      </c>
      <c r="D307" s="351"/>
      <c r="E307" s="34">
        <v>6</v>
      </c>
      <c r="F307" s="355" t="s">
        <v>42</v>
      </c>
      <c r="G307" s="51">
        <f>'ANALISA PINTU JENDELA'!F28</f>
        <v>5638214.8249999993</v>
      </c>
      <c r="H307" s="360">
        <f t="shared" si="53"/>
        <v>33829288.949999996</v>
      </c>
    </row>
    <row r="308" spans="2:8" ht="18" customHeight="1" x14ac:dyDescent="0.3">
      <c r="B308" s="366">
        <v>3</v>
      </c>
      <c r="C308" s="32" t="s">
        <v>44</v>
      </c>
      <c r="D308" s="351"/>
      <c r="E308" s="34">
        <v>1</v>
      </c>
      <c r="F308" s="355" t="s">
        <v>42</v>
      </c>
      <c r="G308" s="51">
        <f>'ANALISA PINTU JENDELA'!F68</f>
        <v>8920894.4249999989</v>
      </c>
      <c r="H308" s="360">
        <f t="shared" si="53"/>
        <v>8920894.4249999989</v>
      </c>
    </row>
    <row r="309" spans="2:8" ht="18" customHeight="1" x14ac:dyDescent="0.3">
      <c r="B309" s="366">
        <v>5</v>
      </c>
      <c r="D309" s="351"/>
      <c r="F309" s="355"/>
      <c r="H309" s="360"/>
    </row>
    <row r="310" spans="2:8" ht="18" customHeight="1" x14ac:dyDescent="0.3">
      <c r="B310" s="366"/>
      <c r="D310" s="351"/>
      <c r="F310" s="355"/>
      <c r="H310" s="360"/>
    </row>
    <row r="311" spans="2:8" ht="18" customHeight="1" x14ac:dyDescent="0.3">
      <c r="B311" s="368" t="s">
        <v>538</v>
      </c>
      <c r="C311" s="33" t="s">
        <v>437</v>
      </c>
      <c r="D311" s="351"/>
      <c r="F311" s="355"/>
      <c r="H311" s="360"/>
    </row>
    <row r="312" spans="2:8" ht="18" customHeight="1" x14ac:dyDescent="0.3">
      <c r="B312" s="366">
        <v>1</v>
      </c>
      <c r="C312" s="32" t="s">
        <v>438</v>
      </c>
      <c r="D312" s="351"/>
      <c r="F312" s="355"/>
      <c r="H312" s="360"/>
    </row>
    <row r="313" spans="2:8" ht="18" customHeight="1" x14ac:dyDescent="0.3">
      <c r="B313" s="366"/>
      <c r="C313" s="32" t="s">
        <v>442</v>
      </c>
      <c r="D313" s="351" t="s">
        <v>444</v>
      </c>
      <c r="E313" s="34">
        <v>5</v>
      </c>
      <c r="F313" s="355" t="s">
        <v>42</v>
      </c>
      <c r="G313" s="51">
        <f>AHS!$H$415</f>
        <v>2107200</v>
      </c>
      <c r="H313" s="360">
        <f t="shared" ref="H313:H318" si="54">E313*G313</f>
        <v>10536000</v>
      </c>
    </row>
    <row r="314" spans="2:8" ht="18" customHeight="1" x14ac:dyDescent="0.3">
      <c r="B314" s="366"/>
      <c r="C314" s="32" t="s">
        <v>439</v>
      </c>
      <c r="D314" s="351" t="s">
        <v>444</v>
      </c>
      <c r="E314" s="34">
        <v>2</v>
      </c>
      <c r="F314" s="355" t="s">
        <v>267</v>
      </c>
      <c r="G314" s="51">
        <f>AHS!$H$434</f>
        <v>845000</v>
      </c>
      <c r="H314" s="360">
        <f t="shared" si="54"/>
        <v>1690000</v>
      </c>
    </row>
    <row r="315" spans="2:8" ht="18" customHeight="1" x14ac:dyDescent="0.3">
      <c r="B315" s="366"/>
      <c r="C315" s="32" t="s">
        <v>440</v>
      </c>
      <c r="D315" s="351" t="s">
        <v>444</v>
      </c>
      <c r="E315" s="34">
        <v>5</v>
      </c>
      <c r="F315" s="355" t="s">
        <v>42</v>
      </c>
      <c r="G315" s="51">
        <f>AHS!$H$508</f>
        <v>673000</v>
      </c>
      <c r="H315" s="360">
        <f t="shared" si="54"/>
        <v>3365000</v>
      </c>
    </row>
    <row r="316" spans="2:8" ht="18" customHeight="1" x14ac:dyDescent="0.3">
      <c r="B316" s="366"/>
      <c r="C316" s="32" t="s">
        <v>441</v>
      </c>
      <c r="D316" s="351"/>
      <c r="E316" s="34">
        <v>10</v>
      </c>
      <c r="F316" s="355" t="s">
        <v>317</v>
      </c>
      <c r="G316" s="51">
        <f>AHS!$H$490</f>
        <v>72000</v>
      </c>
      <c r="H316" s="360">
        <f t="shared" si="54"/>
        <v>720000</v>
      </c>
    </row>
    <row r="317" spans="2:8" ht="18" customHeight="1" x14ac:dyDescent="0.3">
      <c r="B317" s="366"/>
      <c r="C317" s="32" t="s">
        <v>443</v>
      </c>
      <c r="D317" s="351"/>
      <c r="E317" s="34">
        <v>5</v>
      </c>
      <c r="F317" s="355" t="s">
        <v>267</v>
      </c>
      <c r="G317" s="51">
        <f>AHS!$H$453</f>
        <v>127000</v>
      </c>
      <c r="H317" s="360">
        <f t="shared" si="54"/>
        <v>635000</v>
      </c>
    </row>
    <row r="318" spans="2:8" ht="18" customHeight="1" x14ac:dyDescent="0.3">
      <c r="B318" s="366"/>
      <c r="C318" s="32" t="s">
        <v>466</v>
      </c>
      <c r="D318" s="351" t="s">
        <v>444</v>
      </c>
      <c r="E318" s="34">
        <v>5</v>
      </c>
      <c r="F318" s="355" t="s">
        <v>42</v>
      </c>
      <c r="G318" s="51">
        <f>AHS!$H$471</f>
        <v>194100</v>
      </c>
      <c r="H318" s="360">
        <f t="shared" si="54"/>
        <v>970500</v>
      </c>
    </row>
    <row r="319" spans="2:8" ht="18" customHeight="1" x14ac:dyDescent="0.3">
      <c r="B319" s="366"/>
      <c r="D319" s="351"/>
      <c r="F319" s="355"/>
      <c r="H319" s="360"/>
    </row>
    <row r="320" spans="2:8" ht="18" customHeight="1" x14ac:dyDescent="0.3">
      <c r="B320" s="366"/>
      <c r="D320" s="351"/>
      <c r="F320" s="355"/>
      <c r="H320" s="360"/>
    </row>
    <row r="321" spans="2:8" ht="18" customHeight="1" x14ac:dyDescent="0.3">
      <c r="B321" s="366"/>
      <c r="D321" s="351"/>
      <c r="F321" s="355"/>
      <c r="H321" s="360"/>
    </row>
    <row r="322" spans="2:8" ht="18" customHeight="1" x14ac:dyDescent="0.3">
      <c r="B322" s="368" t="s">
        <v>539</v>
      </c>
      <c r="C322" s="33" t="s">
        <v>174</v>
      </c>
      <c r="D322" s="351"/>
      <c r="F322" s="355"/>
      <c r="H322" s="360"/>
    </row>
    <row r="323" spans="2:8" ht="18" customHeight="1" x14ac:dyDescent="0.3">
      <c r="B323" s="366">
        <v>1</v>
      </c>
      <c r="C323" s="32" t="s">
        <v>175</v>
      </c>
      <c r="D323" s="351"/>
      <c r="E323" s="34">
        <f>E292</f>
        <v>1406.8399999999997</v>
      </c>
      <c r="F323" s="355" t="s">
        <v>15</v>
      </c>
      <c r="G323" s="51">
        <f>AHS!$H$191</f>
        <v>73300</v>
      </c>
      <c r="H323" s="360">
        <f t="shared" ref="H323:H325" si="55">E323*G323</f>
        <v>103121371.99999997</v>
      </c>
    </row>
    <row r="324" spans="2:8" ht="18" customHeight="1" x14ac:dyDescent="0.3">
      <c r="B324" s="366">
        <v>2</v>
      </c>
      <c r="C324" s="32" t="s">
        <v>176</v>
      </c>
      <c r="D324" s="351"/>
      <c r="E324" s="34">
        <f>E296</f>
        <v>647.45000000000005</v>
      </c>
      <c r="F324" s="355" t="s">
        <v>15</v>
      </c>
      <c r="G324" s="51">
        <f>AHS!$H$228</f>
        <v>62800</v>
      </c>
      <c r="H324" s="360">
        <f t="shared" si="55"/>
        <v>40659860</v>
      </c>
    </row>
    <row r="325" spans="2:8" ht="18" customHeight="1" x14ac:dyDescent="0.3">
      <c r="B325" s="366">
        <v>3</v>
      </c>
      <c r="C325" s="32" t="s">
        <v>490</v>
      </c>
      <c r="D325" s="351"/>
      <c r="E325" s="34">
        <f>'ANALISA VOLUME'!J137</f>
        <v>455.04999999999995</v>
      </c>
      <c r="F325" s="355" t="s">
        <v>15</v>
      </c>
      <c r="G325" s="51">
        <f>AHS!$H$247</f>
        <v>96400</v>
      </c>
      <c r="H325" s="360">
        <f t="shared" si="55"/>
        <v>43866819.999999993</v>
      </c>
    </row>
    <row r="326" spans="2:8" ht="18" customHeight="1" x14ac:dyDescent="0.3">
      <c r="B326" s="366"/>
      <c r="D326" s="351"/>
      <c r="F326" s="355"/>
      <c r="H326" s="360"/>
    </row>
    <row r="327" spans="2:8" ht="18" customHeight="1" x14ac:dyDescent="0.3">
      <c r="B327" s="368" t="s">
        <v>540</v>
      </c>
      <c r="C327" s="33" t="s">
        <v>421</v>
      </c>
      <c r="D327" s="351"/>
      <c r="F327" s="355"/>
      <c r="H327" s="360"/>
    </row>
    <row r="328" spans="2:8" ht="18" customHeight="1" x14ac:dyDescent="0.3">
      <c r="B328" s="366">
        <v>1</v>
      </c>
      <c r="C328" s="32" t="s">
        <v>468</v>
      </c>
      <c r="D328" s="351"/>
      <c r="E328" s="34">
        <f>(22.5+2.9)*2</f>
        <v>50.8</v>
      </c>
      <c r="F328" s="355" t="s">
        <v>107</v>
      </c>
      <c r="G328" s="51">
        <v>475000</v>
      </c>
      <c r="H328" s="360">
        <f t="shared" ref="H328" si="56">E328*G328</f>
        <v>24130000</v>
      </c>
    </row>
    <row r="329" spans="2:8" ht="18" customHeight="1" x14ac:dyDescent="0.3">
      <c r="B329" s="366"/>
      <c r="D329" s="351"/>
      <c r="F329" s="355"/>
      <c r="H329" s="360"/>
    </row>
    <row r="330" spans="2:8" ht="18" customHeight="1" x14ac:dyDescent="0.3">
      <c r="B330" s="366"/>
      <c r="D330" s="351"/>
      <c r="F330" s="355"/>
      <c r="H330" s="360"/>
    </row>
    <row r="331" spans="2:8" ht="18" customHeight="1" x14ac:dyDescent="0.3">
      <c r="B331" s="368" t="s">
        <v>541</v>
      </c>
      <c r="C331" s="33" t="s">
        <v>491</v>
      </c>
      <c r="D331" s="351"/>
      <c r="F331" s="355"/>
      <c r="H331" s="360"/>
    </row>
    <row r="332" spans="2:8" ht="18" customHeight="1" x14ac:dyDescent="0.3">
      <c r="B332" s="366">
        <v>1</v>
      </c>
      <c r="C332" s="32" t="s">
        <v>498</v>
      </c>
      <c r="D332" s="351"/>
      <c r="F332" s="355" t="s">
        <v>107</v>
      </c>
      <c r="G332" s="51">
        <v>13800000</v>
      </c>
      <c r="H332" s="360">
        <f t="shared" ref="H332:H339" si="57">E332*G332</f>
        <v>0</v>
      </c>
    </row>
    <row r="333" spans="2:8" ht="18" customHeight="1" x14ac:dyDescent="0.3">
      <c r="B333" s="366">
        <v>2</v>
      </c>
      <c r="C333" s="32" t="s">
        <v>543</v>
      </c>
      <c r="D333" s="351"/>
      <c r="E333" s="34">
        <v>10</v>
      </c>
      <c r="F333" s="355" t="s">
        <v>317</v>
      </c>
      <c r="G333" s="51">
        <v>12000000</v>
      </c>
      <c r="H333" s="360">
        <f t="shared" si="57"/>
        <v>120000000</v>
      </c>
    </row>
    <row r="334" spans="2:8" ht="18" customHeight="1" x14ac:dyDescent="0.3">
      <c r="B334" s="366">
        <v>3</v>
      </c>
      <c r="C334" s="32" t="s">
        <v>492</v>
      </c>
      <c r="D334" s="351"/>
      <c r="E334" s="34">
        <v>1</v>
      </c>
      <c r="F334" s="355" t="s">
        <v>42</v>
      </c>
      <c r="G334" s="51">
        <v>47500000</v>
      </c>
      <c r="H334" s="360">
        <f t="shared" si="57"/>
        <v>47500000</v>
      </c>
    </row>
    <row r="335" spans="2:8" ht="18" customHeight="1" x14ac:dyDescent="0.3">
      <c r="B335" s="366">
        <v>4</v>
      </c>
      <c r="C335" s="32" t="s">
        <v>494</v>
      </c>
      <c r="D335" s="351"/>
      <c r="E335" s="34">
        <v>1</v>
      </c>
      <c r="F335" s="355" t="s">
        <v>42</v>
      </c>
      <c r="H335" s="360">
        <f t="shared" si="57"/>
        <v>0</v>
      </c>
    </row>
    <row r="336" spans="2:8" ht="18" customHeight="1" x14ac:dyDescent="0.3">
      <c r="B336" s="366">
        <v>5</v>
      </c>
      <c r="C336" s="32" t="s">
        <v>493</v>
      </c>
      <c r="D336" s="351"/>
      <c r="E336" s="34">
        <v>1</v>
      </c>
      <c r="F336" s="355" t="s">
        <v>42</v>
      </c>
      <c r="G336" s="51">
        <v>50000000</v>
      </c>
      <c r="H336" s="360">
        <f t="shared" si="57"/>
        <v>50000000</v>
      </c>
    </row>
    <row r="337" spans="2:8" ht="18" customHeight="1" x14ac:dyDescent="0.3">
      <c r="B337" s="366">
        <v>6</v>
      </c>
      <c r="C337" s="32" t="s">
        <v>495</v>
      </c>
      <c r="D337" s="351"/>
      <c r="E337" s="34">
        <v>2</v>
      </c>
      <c r="F337" s="355" t="s">
        <v>42</v>
      </c>
      <c r="H337" s="360">
        <f t="shared" si="57"/>
        <v>0</v>
      </c>
    </row>
    <row r="338" spans="2:8" ht="18" customHeight="1" x14ac:dyDescent="0.3">
      <c r="B338" s="366">
        <v>7</v>
      </c>
      <c r="C338" s="32" t="s">
        <v>496</v>
      </c>
      <c r="D338" s="351"/>
      <c r="E338" s="34">
        <v>1</v>
      </c>
      <c r="F338" s="355" t="s">
        <v>42</v>
      </c>
      <c r="H338" s="360">
        <f t="shared" si="57"/>
        <v>0</v>
      </c>
    </row>
    <row r="339" spans="2:8" ht="18" customHeight="1" x14ac:dyDescent="0.3">
      <c r="B339" s="366">
        <v>8</v>
      </c>
      <c r="C339" s="32" t="s">
        <v>497</v>
      </c>
      <c r="D339" s="351"/>
      <c r="E339" s="34">
        <v>1</v>
      </c>
      <c r="F339" s="355" t="s">
        <v>42</v>
      </c>
      <c r="H339" s="360">
        <f t="shared" si="57"/>
        <v>0</v>
      </c>
    </row>
    <row r="340" spans="2:8" ht="18" customHeight="1" x14ac:dyDescent="0.3">
      <c r="B340" s="366"/>
      <c r="D340" s="351"/>
      <c r="F340" s="355"/>
      <c r="H340" s="360"/>
    </row>
    <row r="341" spans="2:8" ht="18" customHeight="1" x14ac:dyDescent="0.3">
      <c r="B341" s="366"/>
      <c r="D341" s="351"/>
      <c r="F341" s="355"/>
      <c r="H341" s="360"/>
    </row>
    <row r="342" spans="2:8" ht="18" customHeight="1" x14ac:dyDescent="0.3">
      <c r="B342" s="369"/>
      <c r="C342" s="318"/>
      <c r="D342" s="352"/>
      <c r="E342" s="319"/>
      <c r="F342" s="356"/>
      <c r="G342" s="320" t="s">
        <v>555</v>
      </c>
      <c r="H342" s="362">
        <f>SUM(H289:H341)</f>
        <v>1190530981.4749999</v>
      </c>
    </row>
    <row r="343" spans="2:8" ht="18" customHeight="1" x14ac:dyDescent="0.3">
      <c r="B343" s="366"/>
      <c r="D343" s="351"/>
      <c r="F343" s="355"/>
      <c r="H343" s="360"/>
    </row>
    <row r="344" spans="2:8" ht="18" customHeight="1" x14ac:dyDescent="0.3">
      <c r="B344" s="367" t="s">
        <v>601</v>
      </c>
      <c r="C344" s="371" t="s">
        <v>628</v>
      </c>
      <c r="D344" s="352"/>
      <c r="E344" s="321"/>
      <c r="F344" s="356"/>
      <c r="G344" s="322"/>
      <c r="H344" s="361"/>
    </row>
    <row r="345" spans="2:8" ht="18" customHeight="1" x14ac:dyDescent="0.3">
      <c r="B345" s="366"/>
      <c r="D345" s="351"/>
      <c r="F345" s="355"/>
      <c r="H345" s="360"/>
    </row>
    <row r="346" spans="2:8" ht="18" customHeight="1" x14ac:dyDescent="0.3">
      <c r="B346" s="368" t="s">
        <v>602</v>
      </c>
      <c r="C346" s="33" t="s">
        <v>571</v>
      </c>
      <c r="D346" s="351"/>
      <c r="F346" s="355"/>
      <c r="H346" s="360"/>
    </row>
    <row r="347" spans="2:8" ht="18" customHeight="1" x14ac:dyDescent="0.3">
      <c r="B347" s="366">
        <v>1</v>
      </c>
      <c r="C347" s="32" t="s">
        <v>603</v>
      </c>
      <c r="D347" s="351"/>
      <c r="F347" s="355"/>
      <c r="H347" s="360"/>
    </row>
    <row r="348" spans="2:8" ht="18" customHeight="1" x14ac:dyDescent="0.3">
      <c r="B348" s="366"/>
      <c r="C348" s="32" t="s">
        <v>604</v>
      </c>
      <c r="D348" s="351"/>
      <c r="E348" s="34">
        <f>'ANALISA VOLUME'!L164</f>
        <v>106.176</v>
      </c>
      <c r="F348" s="355" t="s">
        <v>15</v>
      </c>
      <c r="G348" s="51">
        <f>AHS!G594</f>
        <v>766802.75</v>
      </c>
      <c r="H348" s="360">
        <f t="shared" ref="H348:H355" si="58">E348*G348</f>
        <v>81416048.783999994</v>
      </c>
    </row>
    <row r="349" spans="2:8" ht="18" customHeight="1" x14ac:dyDescent="0.3">
      <c r="B349" s="366"/>
      <c r="C349" s="32" t="s">
        <v>605</v>
      </c>
      <c r="D349" s="351"/>
      <c r="E349" s="34">
        <f>'ANALISA VOLUME'!$L$165</f>
        <v>134.99100000000001</v>
      </c>
      <c r="F349" s="355" t="s">
        <v>15</v>
      </c>
      <c r="H349" s="360"/>
    </row>
    <row r="350" spans="2:8" ht="18" customHeight="1" x14ac:dyDescent="0.3">
      <c r="B350" s="366"/>
      <c r="C350" s="32" t="s">
        <v>665</v>
      </c>
      <c r="D350" s="351"/>
      <c r="E350" s="34">
        <f>'ANALISA VOLUME'!$L$165</f>
        <v>134.99100000000001</v>
      </c>
      <c r="F350" s="355" t="s">
        <v>15</v>
      </c>
      <c r="G350" s="51">
        <f>AHS!Q172</f>
        <v>139700</v>
      </c>
      <c r="H350" s="360">
        <f t="shared" ref="H350:H351" si="59">E350*G350</f>
        <v>18858242.700000003</v>
      </c>
    </row>
    <row r="351" spans="2:8" ht="18" customHeight="1" x14ac:dyDescent="0.3">
      <c r="B351" s="366"/>
      <c r="C351" s="32" t="s">
        <v>676</v>
      </c>
      <c r="D351" s="351"/>
      <c r="E351" s="34">
        <f>'ANALISA VOLUME'!$L$165</f>
        <v>134.99100000000001</v>
      </c>
      <c r="F351" s="355" t="s">
        <v>15</v>
      </c>
      <c r="G351" s="51">
        <f>AHS!$Q$597</f>
        <v>575500</v>
      </c>
      <c r="H351" s="360">
        <f t="shared" si="59"/>
        <v>77687320.500000015</v>
      </c>
    </row>
    <row r="352" spans="2:8" ht="18" customHeight="1" x14ac:dyDescent="0.3">
      <c r="B352" s="366"/>
      <c r="C352" s="32" t="s">
        <v>606</v>
      </c>
      <c r="D352" s="351"/>
      <c r="E352" s="34">
        <f>'ANALISA VOLUME'!L166</f>
        <v>63.3354</v>
      </c>
      <c r="F352" s="355" t="s">
        <v>15</v>
      </c>
      <c r="G352" s="51">
        <f>AHS!G594</f>
        <v>766802.75</v>
      </c>
      <c r="H352" s="360">
        <f t="shared" si="58"/>
        <v>48565758.892350003</v>
      </c>
    </row>
    <row r="353" spans="2:8" ht="18" customHeight="1" x14ac:dyDescent="0.3">
      <c r="B353" s="366"/>
      <c r="C353" s="32" t="s">
        <v>607</v>
      </c>
      <c r="D353" s="351"/>
      <c r="E353" s="34">
        <f>'ANALISA VOLUME'!$L$167</f>
        <v>62.37</v>
      </c>
      <c r="F353" s="355" t="s">
        <v>15</v>
      </c>
      <c r="H353" s="360">
        <f t="shared" si="58"/>
        <v>0</v>
      </c>
    </row>
    <row r="354" spans="2:8" ht="18" customHeight="1" x14ac:dyDescent="0.3">
      <c r="B354" s="366"/>
      <c r="C354" s="32" t="s">
        <v>665</v>
      </c>
      <c r="D354" s="351"/>
      <c r="E354" s="34">
        <f>'ANALISA VOLUME'!$L$167</f>
        <v>62.37</v>
      </c>
      <c r="F354" s="355" t="s">
        <v>15</v>
      </c>
      <c r="G354" s="51">
        <f>AHS!Q172</f>
        <v>139700</v>
      </c>
      <c r="H354" s="360">
        <f t="shared" si="58"/>
        <v>8713089</v>
      </c>
    </row>
    <row r="355" spans="2:8" ht="18" customHeight="1" x14ac:dyDescent="0.3">
      <c r="B355" s="366"/>
      <c r="C355" s="32" t="s">
        <v>666</v>
      </c>
      <c r="D355" s="351"/>
      <c r="E355" s="34">
        <f>'ANALISA VOLUME'!$L$167</f>
        <v>62.37</v>
      </c>
      <c r="F355" s="355" t="s">
        <v>15</v>
      </c>
      <c r="H355" s="360">
        <f t="shared" si="58"/>
        <v>0</v>
      </c>
    </row>
    <row r="356" spans="2:8" ht="18" customHeight="1" x14ac:dyDescent="0.3">
      <c r="B356" s="366">
        <v>2</v>
      </c>
      <c r="C356" s="32" t="s">
        <v>608</v>
      </c>
      <c r="D356" s="351"/>
      <c r="F356" s="355"/>
      <c r="H356" s="360"/>
    </row>
    <row r="357" spans="2:8" ht="18" customHeight="1" x14ac:dyDescent="0.3">
      <c r="B357" s="366"/>
      <c r="C357" s="32" t="s">
        <v>609</v>
      </c>
      <c r="D357" s="351"/>
      <c r="E357" s="34">
        <f>'ANALISA VOLUME'!L169</f>
        <v>7.3441000000000001</v>
      </c>
      <c r="F357" s="355" t="s">
        <v>15</v>
      </c>
      <c r="G357" s="51">
        <f>AHS!$I$692</f>
        <v>2848124.9999999995</v>
      </c>
      <c r="H357" s="360">
        <f t="shared" ref="H357:H358" si="60">E357*G357</f>
        <v>20916914.812499996</v>
      </c>
    </row>
    <row r="358" spans="2:8" ht="18" customHeight="1" x14ac:dyDescent="0.3">
      <c r="B358" s="366"/>
      <c r="C358" s="32" t="s">
        <v>610</v>
      </c>
      <c r="D358" s="351"/>
      <c r="E358" s="34">
        <f>'ANALISA VOLUME'!L170</f>
        <v>12.04</v>
      </c>
      <c r="F358" s="355" t="s">
        <v>15</v>
      </c>
      <c r="G358" s="51">
        <f>AHS!$I$692</f>
        <v>2848124.9999999995</v>
      </c>
      <c r="H358" s="360">
        <f t="shared" si="60"/>
        <v>34291424.999999993</v>
      </c>
    </row>
    <row r="359" spans="2:8" ht="18" customHeight="1" x14ac:dyDescent="0.3">
      <c r="B359" s="366">
        <v>3</v>
      </c>
      <c r="C359" s="32" t="s">
        <v>611</v>
      </c>
      <c r="D359" s="351"/>
      <c r="F359" s="355"/>
      <c r="H359" s="360"/>
    </row>
    <row r="360" spans="2:8" ht="18" customHeight="1" x14ac:dyDescent="0.3">
      <c r="B360" s="366"/>
      <c r="C360" s="32" t="s">
        <v>612</v>
      </c>
      <c r="D360" s="351"/>
      <c r="F360" s="355"/>
      <c r="H360" s="360"/>
    </row>
    <row r="361" spans="2:8" ht="18" customHeight="1" x14ac:dyDescent="0.3">
      <c r="B361" s="366"/>
      <c r="C361" s="32" t="s">
        <v>613</v>
      </c>
      <c r="D361" s="351"/>
      <c r="E361" s="34">
        <f>'ANALISA VOLUME'!L172</f>
        <v>34.719999999999992</v>
      </c>
      <c r="F361" s="355" t="s">
        <v>15</v>
      </c>
      <c r="G361" s="51">
        <f>AHS!$H$109</f>
        <v>354000</v>
      </c>
      <c r="H361" s="360">
        <f t="shared" ref="H361" si="61">E361*G361</f>
        <v>12290879.999999996</v>
      </c>
    </row>
    <row r="362" spans="2:8" ht="18" customHeight="1" x14ac:dyDescent="0.3">
      <c r="B362" s="366"/>
      <c r="C362" s="32" t="s">
        <v>614</v>
      </c>
      <c r="D362" s="351"/>
      <c r="F362" s="355"/>
      <c r="H362" s="360"/>
    </row>
    <row r="363" spans="2:8" ht="18" customHeight="1" x14ac:dyDescent="0.3">
      <c r="B363" s="366"/>
      <c r="C363" s="32" t="s">
        <v>615</v>
      </c>
      <c r="D363" s="351"/>
      <c r="E363" s="34">
        <f>'ANALISA VOLUME'!L173</f>
        <v>20.16</v>
      </c>
      <c r="F363" s="355" t="s">
        <v>15</v>
      </c>
      <c r="G363" s="51">
        <f>AHS!$H$109</f>
        <v>354000</v>
      </c>
      <c r="H363" s="360">
        <f t="shared" ref="H363:H364" si="62">E363*G363</f>
        <v>7136640</v>
      </c>
    </row>
    <row r="364" spans="2:8" ht="18" customHeight="1" x14ac:dyDescent="0.3">
      <c r="B364" s="366"/>
      <c r="C364" s="32" t="s">
        <v>616</v>
      </c>
      <c r="D364" s="351"/>
      <c r="F364" s="355" t="s">
        <v>15</v>
      </c>
      <c r="H364" s="360">
        <f t="shared" si="62"/>
        <v>0</v>
      </c>
    </row>
    <row r="365" spans="2:8" ht="18" customHeight="1" x14ac:dyDescent="0.3">
      <c r="B365" s="366"/>
      <c r="C365" s="32" t="s">
        <v>617</v>
      </c>
      <c r="D365" s="351"/>
      <c r="F365" s="355"/>
      <c r="H365" s="360"/>
    </row>
    <row r="366" spans="2:8" ht="18" customHeight="1" x14ac:dyDescent="0.3">
      <c r="B366" s="366"/>
      <c r="C366" s="32" t="s">
        <v>618</v>
      </c>
      <c r="D366" s="351"/>
      <c r="E366" s="34">
        <f>'ANALISA VOLUME'!L176</f>
        <v>32.549999999999997</v>
      </c>
      <c r="F366" s="355" t="s">
        <v>15</v>
      </c>
      <c r="G366" s="51">
        <v>550000</v>
      </c>
      <c r="H366" s="360">
        <f t="shared" ref="H366:H369" si="63">E366*G366</f>
        <v>17902500</v>
      </c>
    </row>
    <row r="367" spans="2:8" ht="18" customHeight="1" x14ac:dyDescent="0.3">
      <c r="B367" s="366"/>
      <c r="C367" s="32" t="s">
        <v>619</v>
      </c>
      <c r="D367" s="351"/>
      <c r="E367" s="34">
        <f>'ANALISA VOLUME'!L177</f>
        <v>20.425000000000001</v>
      </c>
      <c r="F367" s="355" t="s">
        <v>15</v>
      </c>
      <c r="G367" s="51">
        <f>AHS!$Q$172+AHS!$H$172</f>
        <v>194000</v>
      </c>
      <c r="H367" s="360">
        <f t="shared" si="63"/>
        <v>3962450</v>
      </c>
    </row>
    <row r="368" spans="2:8" ht="18" customHeight="1" x14ac:dyDescent="0.3">
      <c r="B368" s="366"/>
      <c r="C368" s="32" t="s">
        <v>620</v>
      </c>
      <c r="D368" s="351"/>
      <c r="E368" s="34">
        <f>'ANALISA VOLUME'!L178</f>
        <v>20.425000000000001</v>
      </c>
      <c r="F368" s="355" t="s">
        <v>15</v>
      </c>
      <c r="G368" s="51">
        <f>AHS!G244</f>
        <v>62809.55</v>
      </c>
      <c r="H368" s="360">
        <f t="shared" si="63"/>
        <v>1282885.0587500001</v>
      </c>
    </row>
    <row r="369" spans="2:8" ht="18" customHeight="1" x14ac:dyDescent="0.3">
      <c r="B369" s="366"/>
      <c r="C369" s="32" t="s">
        <v>621</v>
      </c>
      <c r="D369" s="351"/>
      <c r="E369" s="34">
        <f>'ANALISA VOLUME'!L179</f>
        <v>54.05</v>
      </c>
      <c r="F369" s="355" t="s">
        <v>15</v>
      </c>
      <c r="G369" s="51">
        <f>AHS!$H$247</f>
        <v>96400</v>
      </c>
      <c r="H369" s="360">
        <f t="shared" si="63"/>
        <v>5210420</v>
      </c>
    </row>
    <row r="370" spans="2:8" ht="18" customHeight="1" x14ac:dyDescent="0.3">
      <c r="B370" s="366"/>
      <c r="D370" s="351"/>
      <c r="F370" s="355"/>
      <c r="H370" s="360"/>
    </row>
    <row r="371" spans="2:8" ht="18" customHeight="1" x14ac:dyDescent="0.3">
      <c r="B371" s="368" t="s">
        <v>622</v>
      </c>
      <c r="C371" s="33" t="s">
        <v>590</v>
      </c>
      <c r="D371" s="351"/>
      <c r="F371" s="355"/>
      <c r="H371" s="360"/>
    </row>
    <row r="372" spans="2:8" ht="18" customHeight="1" x14ac:dyDescent="0.3">
      <c r="B372" s="366">
        <v>1</v>
      </c>
      <c r="C372" s="7" t="s">
        <v>623</v>
      </c>
      <c r="D372" s="382"/>
      <c r="F372" s="355"/>
      <c r="H372" s="360"/>
    </row>
    <row r="373" spans="2:8" ht="18" customHeight="1" x14ac:dyDescent="0.3">
      <c r="B373" s="366"/>
      <c r="C373" s="7" t="s">
        <v>592</v>
      </c>
      <c r="D373" s="382"/>
      <c r="E373" s="34">
        <f>'ANALISA VOLUME'!L183</f>
        <v>133.34399999999999</v>
      </c>
      <c r="F373" s="355" t="s">
        <v>15</v>
      </c>
      <c r="G373" s="51">
        <f>AHS!$G$594</f>
        <v>766802.75</v>
      </c>
      <c r="H373" s="360">
        <f t="shared" ref="H373:H376" si="64">E373*G373</f>
        <v>102248545.896</v>
      </c>
    </row>
    <row r="374" spans="2:8" ht="18" customHeight="1" x14ac:dyDescent="0.3">
      <c r="B374" s="366"/>
      <c r="C374" s="7" t="s">
        <v>593</v>
      </c>
      <c r="D374" s="382"/>
      <c r="E374" s="34">
        <f>'ANALISA VOLUME'!L184</f>
        <v>224.96</v>
      </c>
      <c r="F374" s="355" t="s">
        <v>15</v>
      </c>
      <c r="G374" s="51">
        <f>AHS!$G$594</f>
        <v>766802.75</v>
      </c>
      <c r="H374" s="360">
        <f t="shared" si="64"/>
        <v>172499946.64000002</v>
      </c>
    </row>
    <row r="375" spans="2:8" ht="18" customHeight="1" x14ac:dyDescent="0.3">
      <c r="B375" s="366">
        <v>2</v>
      </c>
      <c r="C375" s="7" t="s">
        <v>624</v>
      </c>
      <c r="D375" s="382"/>
      <c r="E375" s="34">
        <f>'ANALISA VOLUME'!L185</f>
        <v>110</v>
      </c>
      <c r="F375" s="355" t="s">
        <v>15</v>
      </c>
      <c r="G375" s="51">
        <f>AHS!$Q$597</f>
        <v>575500</v>
      </c>
      <c r="H375" s="360">
        <f t="shared" si="64"/>
        <v>63305000</v>
      </c>
    </row>
    <row r="376" spans="2:8" ht="18" customHeight="1" x14ac:dyDescent="0.3">
      <c r="B376" s="366">
        <v>3</v>
      </c>
      <c r="C376" s="7" t="s">
        <v>625</v>
      </c>
      <c r="D376" s="382"/>
      <c r="E376" s="34">
        <f>'ANALISA VOLUME'!L186</f>
        <v>110.5</v>
      </c>
      <c r="F376" s="355" t="s">
        <v>15</v>
      </c>
      <c r="G376" s="51">
        <f>AHS!$G$594</f>
        <v>766802.75</v>
      </c>
      <c r="H376" s="360">
        <f t="shared" si="64"/>
        <v>84731703.875</v>
      </c>
    </row>
    <row r="377" spans="2:8" ht="18" customHeight="1" x14ac:dyDescent="0.3">
      <c r="B377" s="366"/>
      <c r="C377" s="7"/>
      <c r="D377" s="382"/>
      <c r="F377" s="355"/>
      <c r="H377" s="360"/>
    </row>
    <row r="378" spans="2:8" ht="18" customHeight="1" x14ac:dyDescent="0.3">
      <c r="B378" s="368" t="s">
        <v>626</v>
      </c>
      <c r="C378" s="33" t="s">
        <v>599</v>
      </c>
      <c r="D378" s="351"/>
      <c r="F378" s="355"/>
      <c r="H378" s="360"/>
    </row>
    <row r="379" spans="2:8" ht="18" customHeight="1" x14ac:dyDescent="0.3">
      <c r="B379" s="366">
        <v>1</v>
      </c>
      <c r="C379" s="7" t="s">
        <v>623</v>
      </c>
      <c r="D379" s="382"/>
      <c r="F379" s="355"/>
      <c r="H379" s="360"/>
    </row>
    <row r="380" spans="2:8" ht="18" customHeight="1" x14ac:dyDescent="0.3">
      <c r="B380" s="366"/>
      <c r="C380" s="7" t="s">
        <v>592</v>
      </c>
      <c r="D380" s="382"/>
      <c r="E380" s="34">
        <f>'ANALISA VOLUME'!L190</f>
        <v>59.264000000000003</v>
      </c>
      <c r="F380" s="355" t="s">
        <v>15</v>
      </c>
      <c r="G380" s="51">
        <f>AHS!$G$594</f>
        <v>766802.75</v>
      </c>
      <c r="H380" s="360">
        <f t="shared" ref="H380:H382" si="65">E380*G380</f>
        <v>45443798.175999999</v>
      </c>
    </row>
    <row r="381" spans="2:8" ht="18" customHeight="1" x14ac:dyDescent="0.3">
      <c r="B381" s="366"/>
      <c r="C381" s="7" t="s">
        <v>593</v>
      </c>
      <c r="D381" s="382"/>
      <c r="E381" s="34">
        <f>'ANALISA VOLUME'!L191</f>
        <v>123.60959999999999</v>
      </c>
      <c r="F381" s="355" t="s">
        <v>15</v>
      </c>
      <c r="G381" s="51">
        <f>AHS!$G$594</f>
        <v>766802.75</v>
      </c>
      <c r="H381" s="360">
        <f t="shared" si="65"/>
        <v>94784181.206399992</v>
      </c>
    </row>
    <row r="382" spans="2:8" ht="18" customHeight="1" x14ac:dyDescent="0.3">
      <c r="B382" s="366">
        <v>2</v>
      </c>
      <c r="C382" s="7" t="s">
        <v>625</v>
      </c>
      <c r="D382" s="382"/>
      <c r="E382" s="34">
        <f>'ANALISA VOLUME'!L192</f>
        <v>71.344000000000008</v>
      </c>
      <c r="F382" s="355" t="s">
        <v>15</v>
      </c>
      <c r="G382" s="51">
        <f>AHS!$G$594</f>
        <v>766802.75</v>
      </c>
      <c r="H382" s="360">
        <f t="shared" si="65"/>
        <v>54706775.396000005</v>
      </c>
    </row>
    <row r="383" spans="2:8" ht="18" customHeight="1" x14ac:dyDescent="0.3">
      <c r="B383" s="366"/>
      <c r="C383" s="7"/>
      <c r="D383" s="382"/>
      <c r="F383" s="355"/>
      <c r="H383" s="360"/>
    </row>
    <row r="384" spans="2:8" ht="18" customHeight="1" x14ac:dyDescent="0.3">
      <c r="B384" s="368" t="s">
        <v>627</v>
      </c>
      <c r="C384" s="33" t="s">
        <v>600</v>
      </c>
      <c r="D384" s="351"/>
      <c r="F384" s="355"/>
      <c r="H384" s="360"/>
    </row>
    <row r="385" spans="2:12" ht="18" customHeight="1" x14ac:dyDescent="0.3">
      <c r="B385" s="366">
        <v>1</v>
      </c>
      <c r="C385" s="7" t="s">
        <v>623</v>
      </c>
      <c r="D385" s="382"/>
      <c r="F385" s="355"/>
      <c r="H385" s="360"/>
    </row>
    <row r="386" spans="2:12" ht="18" customHeight="1" x14ac:dyDescent="0.3">
      <c r="B386" s="366"/>
      <c r="C386" s="7" t="s">
        <v>592</v>
      </c>
      <c r="D386" s="382"/>
      <c r="E386" s="34">
        <f>'ANALISA VOLUME'!L196</f>
        <v>173.536</v>
      </c>
      <c r="F386" s="355" t="s">
        <v>15</v>
      </c>
      <c r="G386" s="51">
        <f>AHS!$G$594</f>
        <v>766802.75</v>
      </c>
      <c r="H386" s="360">
        <f t="shared" ref="H386:H389" si="66">E386*G386</f>
        <v>133067882.024</v>
      </c>
    </row>
    <row r="387" spans="2:12" ht="18" customHeight="1" x14ac:dyDescent="0.3">
      <c r="B387" s="366"/>
      <c r="C387" s="7" t="s">
        <v>593</v>
      </c>
      <c r="D387" s="382"/>
      <c r="E387" s="34">
        <f>'ANALISA VOLUME'!L197</f>
        <v>295.11199999999997</v>
      </c>
      <c r="F387" s="355" t="s">
        <v>15</v>
      </c>
      <c r="G387" s="51">
        <f>AHS!$G$594</f>
        <v>766802.75</v>
      </c>
      <c r="H387" s="360">
        <f t="shared" si="66"/>
        <v>226292693.15799996</v>
      </c>
    </row>
    <row r="388" spans="2:12" ht="18" customHeight="1" x14ac:dyDescent="0.3">
      <c r="B388" s="366">
        <v>2</v>
      </c>
      <c r="C388" s="7" t="s">
        <v>624</v>
      </c>
      <c r="D388" s="382"/>
      <c r="E388" s="34">
        <f>'ANALISA VOLUME'!L198</f>
        <v>34.25</v>
      </c>
      <c r="F388" s="355" t="s">
        <v>15</v>
      </c>
      <c r="G388" s="51">
        <f>AHS!$Q$597</f>
        <v>575500</v>
      </c>
      <c r="H388" s="360">
        <f t="shared" si="66"/>
        <v>19710875</v>
      </c>
    </row>
    <row r="389" spans="2:12" ht="18" customHeight="1" x14ac:dyDescent="0.3">
      <c r="B389" s="366">
        <v>3</v>
      </c>
      <c r="C389" s="7" t="s">
        <v>625</v>
      </c>
      <c r="D389" s="382"/>
      <c r="E389" s="34">
        <f>'ANALISA VOLUME'!L199</f>
        <v>196.19600000000003</v>
      </c>
      <c r="F389" s="355" t="s">
        <v>15</v>
      </c>
      <c r="G389" s="51">
        <f>AHS!$G$594</f>
        <v>766802.75</v>
      </c>
      <c r="H389" s="360">
        <f t="shared" si="66"/>
        <v>150443632.33900002</v>
      </c>
    </row>
    <row r="390" spans="2:12" ht="18" customHeight="1" x14ac:dyDescent="0.3">
      <c r="B390" s="366"/>
      <c r="C390" s="7"/>
      <c r="D390" s="382"/>
      <c r="F390" s="355"/>
      <c r="H390" s="360"/>
    </row>
    <row r="391" spans="2:12" ht="18" customHeight="1" x14ac:dyDescent="0.3">
      <c r="B391" s="368" t="s">
        <v>629</v>
      </c>
      <c r="C391" s="33" t="s">
        <v>630</v>
      </c>
      <c r="D391" s="351"/>
      <c r="F391" s="355"/>
      <c r="H391" s="360"/>
      <c r="L391" t="s">
        <v>662</v>
      </c>
    </row>
    <row r="392" spans="2:12" ht="18" customHeight="1" x14ac:dyDescent="0.3">
      <c r="B392" s="391">
        <v>1</v>
      </c>
      <c r="C392" s="7" t="s">
        <v>632</v>
      </c>
      <c r="D392" s="351"/>
      <c r="F392" s="355"/>
      <c r="H392" s="360"/>
    </row>
    <row r="393" spans="2:12" ht="18" customHeight="1" x14ac:dyDescent="0.3">
      <c r="B393" s="382"/>
      <c r="C393" s="7" t="s">
        <v>646</v>
      </c>
      <c r="D393" s="351"/>
      <c r="E393" s="34">
        <f>'ANALISA VOLUME'!L203</f>
        <v>0</v>
      </c>
      <c r="F393" s="355" t="str">
        <f>'ANALISA VOLUME'!D203</f>
        <v>M3</v>
      </c>
      <c r="H393" s="360">
        <f t="shared" ref="H393:H394" si="67">E393*G393</f>
        <v>0</v>
      </c>
    </row>
    <row r="394" spans="2:12" ht="18" customHeight="1" x14ac:dyDescent="0.3">
      <c r="B394" s="382"/>
      <c r="C394" s="7" t="s">
        <v>647</v>
      </c>
      <c r="D394" s="351"/>
      <c r="E394" s="34">
        <f>'ANALISA VOLUME'!L204</f>
        <v>0</v>
      </c>
      <c r="F394" s="355" t="str">
        <f>'ANALISA VOLUME'!D204</f>
        <v>M3</v>
      </c>
      <c r="H394" s="360">
        <f t="shared" si="67"/>
        <v>0</v>
      </c>
    </row>
    <row r="395" spans="2:12" ht="18" customHeight="1" x14ac:dyDescent="0.3">
      <c r="B395" s="391">
        <v>2</v>
      </c>
      <c r="C395" s="7" t="s">
        <v>635</v>
      </c>
      <c r="D395" s="351"/>
      <c r="F395" s="355"/>
      <c r="H395" s="360"/>
    </row>
    <row r="396" spans="2:12" ht="18" customHeight="1" x14ac:dyDescent="0.3">
      <c r="B396" s="382"/>
      <c r="C396" s="7" t="s">
        <v>677</v>
      </c>
      <c r="D396" s="351"/>
      <c r="E396" s="34">
        <f>'ANALISA VOLUME'!L206*0.15</f>
        <v>43.715999999999987</v>
      </c>
      <c r="F396" s="355" t="s">
        <v>641</v>
      </c>
      <c r="G396" s="51">
        <f>AHS!H617</f>
        <v>2488700</v>
      </c>
      <c r="H396" s="360">
        <f t="shared" ref="H396:H398" si="68">E396*G396</f>
        <v>108796009.19999997</v>
      </c>
    </row>
    <row r="397" spans="2:12" ht="18" customHeight="1" x14ac:dyDescent="0.3">
      <c r="B397" s="382"/>
      <c r="C397" s="7" t="s">
        <v>648</v>
      </c>
      <c r="D397" s="351"/>
      <c r="E397" s="34">
        <f>'ANALISA VOLUME'!L207</f>
        <v>27.16</v>
      </c>
      <c r="F397" s="355" t="str">
        <f>'ANALISA VOLUME'!D207</f>
        <v>M2</v>
      </c>
      <c r="G397" s="51">
        <f>AHS!$H$645</f>
        <v>177700</v>
      </c>
      <c r="H397" s="360">
        <f t="shared" si="68"/>
        <v>4826332</v>
      </c>
    </row>
    <row r="398" spans="2:12" ht="18" customHeight="1" x14ac:dyDescent="0.3">
      <c r="B398" s="382"/>
      <c r="C398" s="7" t="s">
        <v>649</v>
      </c>
      <c r="D398" s="351"/>
      <c r="E398" s="34">
        <f>'ANALISA VOLUME'!L208</f>
        <v>60.47</v>
      </c>
      <c r="F398" s="355" t="str">
        <f>'ANALISA VOLUME'!D208</f>
        <v>M2</v>
      </c>
      <c r="G398" s="51">
        <f>AHS!$H$645</f>
        <v>177700</v>
      </c>
      <c r="H398" s="360">
        <f t="shared" si="68"/>
        <v>10745519</v>
      </c>
    </row>
    <row r="399" spans="2:12" ht="18" customHeight="1" x14ac:dyDescent="0.3">
      <c r="B399" s="391">
        <v>3</v>
      </c>
      <c r="C399" s="7" t="s">
        <v>639</v>
      </c>
      <c r="D399" s="351"/>
      <c r="F399" s="355"/>
      <c r="H399" s="360"/>
    </row>
    <row r="400" spans="2:12" ht="18" customHeight="1" x14ac:dyDescent="0.3">
      <c r="B400" s="382"/>
      <c r="C400" s="7" t="s">
        <v>650</v>
      </c>
      <c r="D400" s="351"/>
      <c r="E400" s="34">
        <f>'ANALISA VOLUME'!L210</f>
        <v>140.05000000000001</v>
      </c>
      <c r="F400" s="355" t="str">
        <f>'ANALISA VOLUME'!D210</f>
        <v>M2</v>
      </c>
      <c r="G400" s="51">
        <v>75000</v>
      </c>
      <c r="H400" s="360">
        <f t="shared" ref="H400" si="69">E400*G400</f>
        <v>10503750</v>
      </c>
    </row>
    <row r="401" spans="2:8" ht="18" customHeight="1" x14ac:dyDescent="0.3">
      <c r="B401" s="382"/>
      <c r="C401" s="7" t="s">
        <v>651</v>
      </c>
      <c r="D401" s="351"/>
      <c r="F401" s="355"/>
      <c r="H401" s="360"/>
    </row>
    <row r="402" spans="2:8" ht="18" customHeight="1" x14ac:dyDescent="0.3">
      <c r="B402" s="382"/>
      <c r="C402" s="7" t="s">
        <v>652</v>
      </c>
      <c r="D402" s="351"/>
      <c r="E402" s="34">
        <f>'ANALISA VOLUME'!L212</f>
        <v>32.314999999999998</v>
      </c>
      <c r="F402" s="355" t="str">
        <f>'ANALISA VOLUME'!D212</f>
        <v>M2</v>
      </c>
      <c r="G402" s="51">
        <f>AHS!$Q$5</f>
        <v>153400</v>
      </c>
      <c r="H402" s="360">
        <f t="shared" ref="H402:H404" si="70">E402*G402</f>
        <v>4957121</v>
      </c>
    </row>
    <row r="403" spans="2:8" ht="18" customHeight="1" x14ac:dyDescent="0.3">
      <c r="B403" s="382"/>
      <c r="C403" s="7" t="s">
        <v>653</v>
      </c>
      <c r="D403" s="351"/>
      <c r="E403" s="34">
        <f>'ANALISA VOLUME'!L213</f>
        <v>32.314999999999998</v>
      </c>
      <c r="F403" s="355" t="str">
        <f>'ANALISA VOLUME'!D213</f>
        <v>M2</v>
      </c>
      <c r="G403" s="51">
        <f>AHS!H666</f>
        <v>316700</v>
      </c>
      <c r="H403" s="360">
        <f t="shared" si="70"/>
        <v>10234160.5</v>
      </c>
    </row>
    <row r="404" spans="2:8" ht="18" customHeight="1" x14ac:dyDescent="0.3">
      <c r="B404" s="382"/>
      <c r="C404" s="7" t="s">
        <v>654</v>
      </c>
      <c r="D404" s="351"/>
      <c r="E404" s="34">
        <f>'ANALISA VOLUME'!L214</f>
        <v>15.256500000000001</v>
      </c>
      <c r="F404" s="355" t="str">
        <f>'ANALISA VOLUME'!D214</f>
        <v>M3</v>
      </c>
      <c r="H404" s="360">
        <f t="shared" si="70"/>
        <v>0</v>
      </c>
    </row>
    <row r="405" spans="2:8" ht="18" customHeight="1" x14ac:dyDescent="0.3">
      <c r="B405" s="368"/>
      <c r="C405" s="33"/>
      <c r="D405" s="351"/>
      <c r="F405" s="355"/>
      <c r="H405" s="360"/>
    </row>
    <row r="406" spans="2:8" ht="18" customHeight="1" x14ac:dyDescent="0.3">
      <c r="B406" s="369"/>
      <c r="C406" s="318"/>
      <c r="D406" s="352"/>
      <c r="E406" s="319"/>
      <c r="F406" s="356"/>
      <c r="G406" s="320" t="s">
        <v>663</v>
      </c>
      <c r="H406" s="362">
        <f>SUM(H346:H405)</f>
        <v>1635532500.158</v>
      </c>
    </row>
    <row r="407" spans="2:8" ht="18" customHeight="1" x14ac:dyDescent="0.3">
      <c r="B407" s="366"/>
      <c r="C407" s="7"/>
      <c r="D407" s="382"/>
      <c r="F407" s="355"/>
      <c r="H407" s="360"/>
    </row>
    <row r="408" spans="2:8" ht="18" customHeight="1" x14ac:dyDescent="0.3">
      <c r="B408" s="366"/>
      <c r="C408" s="7"/>
      <c r="D408" s="382"/>
      <c r="F408" s="355"/>
      <c r="H408" s="360"/>
    </row>
    <row r="409" spans="2:8" ht="18" customHeight="1" x14ac:dyDescent="0.3">
      <c r="B409" s="366"/>
      <c r="D409" s="351"/>
      <c r="F409" s="355"/>
      <c r="H409" s="360"/>
    </row>
    <row r="410" spans="2:8" ht="18" customHeight="1" thickBot="1" x14ac:dyDescent="0.35">
      <c r="B410" s="370"/>
      <c r="D410" s="353"/>
      <c r="F410" s="357"/>
      <c r="H410" s="363"/>
    </row>
    <row r="411" spans="2:8" ht="18" customHeight="1" x14ac:dyDescent="0.3">
      <c r="B411" s="332"/>
      <c r="C411" s="333"/>
      <c r="D411" s="334"/>
      <c r="E411" s="335"/>
      <c r="F411" s="336"/>
      <c r="G411" s="337"/>
      <c r="H411" s="338"/>
    </row>
    <row r="412" spans="2:8" ht="18" customHeight="1" x14ac:dyDescent="0.3">
      <c r="B412" s="339"/>
      <c r="C412" s="323"/>
      <c r="D412" s="324"/>
      <c r="E412" s="390" t="s">
        <v>664</v>
      </c>
      <c r="F412" s="390"/>
      <c r="G412" s="390"/>
      <c r="H412" s="340">
        <f>H342+H284+H231+H179+H120+H65+H406</f>
        <v>12997835657.522423</v>
      </c>
    </row>
    <row r="413" spans="2:8" ht="18" customHeight="1" x14ac:dyDescent="0.3">
      <c r="B413" s="339"/>
      <c r="C413" s="323"/>
      <c r="D413" s="324"/>
      <c r="E413" s="325"/>
      <c r="F413" s="326"/>
      <c r="G413" s="327"/>
      <c r="H413" s="341"/>
    </row>
    <row r="414" spans="2:8" ht="18" customHeight="1" thickBot="1" x14ac:dyDescent="0.35">
      <c r="B414" s="342"/>
      <c r="C414" s="343"/>
      <c r="D414" s="344"/>
      <c r="E414" s="345"/>
      <c r="F414" s="346"/>
      <c r="G414" s="347"/>
      <c r="H414" s="348"/>
    </row>
  </sheetData>
  <mergeCells count="1">
    <mergeCell ref="E412:G412"/>
  </mergeCells>
  <phoneticPr fontId="13" type="noConversion"/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ANALISA VOLUME</vt:lpstr>
      <vt:lpstr>ANALISA PINTU JENDELA</vt:lpstr>
      <vt:lpstr>HRG BAHAN</vt:lpstr>
      <vt:lpstr>AHS</vt:lpstr>
      <vt:lpstr>RAB</vt:lpstr>
      <vt:lpstr>RAB!Print_Area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Narendra Yana</cp:lastModifiedBy>
  <cp:lastPrinted>2025-10-30T04:28:29Z</cp:lastPrinted>
  <dcterms:created xsi:type="dcterms:W3CDTF">2025-04-08T06:18:33Z</dcterms:created>
  <dcterms:modified xsi:type="dcterms:W3CDTF">2025-12-02T05:55:14Z</dcterms:modified>
</cp:coreProperties>
</file>