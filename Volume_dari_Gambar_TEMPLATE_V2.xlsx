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  <sheet name="ARSITEKTUR" sheetId="2" state="visible" r:id="rId2"/>
    <sheet name="MEP" sheetId="3" state="visible" r:id="rId3"/>
    <sheet name="PAND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color rgb="000070C0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5" customWidth="1" min="12" max="12"/>
  </cols>
  <sheetData>
    <row r="1">
      <c r="A1" s="1" t="inlineStr">
        <is>
          <t>VOLUME PEKERJAAN STRUKTUR - DARI GAMBAR DED</t>
        </is>
      </c>
    </row>
    <row r="2">
      <c r="A2" t="inlineStr">
        <is>
          <t>Project:</t>
        </is>
      </c>
      <c r="B2" t="inlineStr">
        <is>
          <t>RS Sari Dharma</t>
        </is>
      </c>
    </row>
    <row r="3">
      <c r="A3" t="inlineStr">
        <is>
          <t>Tanggal:</t>
        </is>
      </c>
      <c r="B3" t="inlineStr">
        <is>
          <t>19-01-2026</t>
        </is>
      </c>
    </row>
    <row r="5">
      <c r="A5" s="2" t="inlineStr">
        <is>
          <t>No</t>
        </is>
      </c>
      <c r="B5" s="2" t="inlineStr">
        <is>
          <t>Kode</t>
        </is>
      </c>
      <c r="C5" s="2" t="inlineStr">
        <is>
          <t>Item Pekerjaan</t>
        </is>
      </c>
      <c r="D5" s="2" t="inlineStr">
        <is>
          <t>Lantai</t>
        </is>
      </c>
      <c r="E5" s="2" t="inlineStr">
        <is>
          <t>Lokasi/As Grid</t>
        </is>
      </c>
      <c r="F5" s="2" t="inlineStr">
        <is>
          <t>Panjang (m)</t>
        </is>
      </c>
      <c r="G5" s="2" t="inlineStr">
        <is>
          <t>Lebar (m)</t>
        </is>
      </c>
      <c r="H5" s="2" t="inlineStr">
        <is>
          <t>Tinggi (m)</t>
        </is>
      </c>
      <c r="I5" s="2" t="inlineStr">
        <is>
          <t>Jumlah</t>
        </is>
      </c>
      <c r="J5" s="2" t="inlineStr">
        <is>
          <t>Satuan</t>
        </is>
      </c>
      <c r="K5" s="2" t="inlineStr">
        <is>
          <t>Volume</t>
        </is>
      </c>
      <c r="L5" s="2" t="inlineStr">
        <is>
          <t>Metode</t>
        </is>
      </c>
    </row>
    <row r="6">
      <c r="A6" s="3" t="inlineStr">
        <is>
          <t>A. PEKERJAAN TANAH &amp; PONDASI</t>
        </is>
      </c>
    </row>
    <row r="7">
      <c r="A7" s="4" t="n">
        <v>1</v>
      </c>
      <c r="B7" s="4" t="inlineStr">
        <is>
          <t>GT</t>
        </is>
      </c>
      <c r="C7" s="5" t="inlineStr">
        <is>
          <t>Galian Tanah Pondasi</t>
        </is>
      </c>
      <c r="D7" s="4" t="inlineStr">
        <is>
          <t>Basement</t>
        </is>
      </c>
      <c r="E7" s="5" t="inlineStr"/>
      <c r="F7" s="5" t="n"/>
      <c r="G7" s="5" t="n"/>
      <c r="H7" s="5" t="n"/>
      <c r="I7" s="4" t="n"/>
      <c r="J7" s="4" t="n"/>
      <c r="K7" s="5">
        <f>F7*G7*H7*I7</f>
        <v/>
      </c>
      <c r="L7" s="5" t="n"/>
    </row>
    <row r="8">
      <c r="A8" s="4" t="n">
        <v>2</v>
      </c>
      <c r="B8" s="4" t="inlineStr">
        <is>
          <t>UP</t>
        </is>
      </c>
      <c r="C8" s="5" t="inlineStr">
        <is>
          <t>Urugan Pasir Bawah Pondasi</t>
        </is>
      </c>
      <c r="D8" s="4" t="inlineStr">
        <is>
          <t>Basement</t>
        </is>
      </c>
      <c r="E8" s="5" t="inlineStr"/>
      <c r="F8" s="5" t="n"/>
      <c r="G8" s="5" t="n"/>
      <c r="H8" s="5" t="n"/>
      <c r="I8" s="4" t="n"/>
      <c r="J8" s="4" t="n"/>
      <c r="K8" s="5">
        <f>F8*G8*H8*I8</f>
        <v/>
      </c>
      <c r="L8" s="5" t="n"/>
    </row>
    <row r="9">
      <c r="A9" s="4" t="n">
        <v>3</v>
      </c>
      <c r="B9" s="4" t="inlineStr">
        <is>
          <t>UT</t>
        </is>
      </c>
      <c r="C9" s="5" t="inlineStr">
        <is>
          <t>Urugan Tanah Kembali</t>
        </is>
      </c>
      <c r="D9" s="4" t="inlineStr">
        <is>
          <t>All</t>
        </is>
      </c>
      <c r="E9" s="5" t="inlineStr"/>
      <c r="F9" s="5" t="n"/>
      <c r="G9" s="5" t="n"/>
      <c r="H9" s="5" t="n"/>
      <c r="I9" s="4" t="n"/>
      <c r="J9" s="4" t="n"/>
      <c r="K9" s="5">
        <f>F9*G9*H9*I9</f>
        <v/>
      </c>
      <c r="L9" s="5" t="n"/>
    </row>
    <row r="10">
      <c r="A10" s="4" t="n">
        <v>4</v>
      </c>
      <c r="B10" s="4" t="inlineStr">
        <is>
          <t>PT</t>
        </is>
      </c>
      <c r="C10" s="5" t="inlineStr">
        <is>
          <t>Pemadatan Tanah</t>
        </is>
      </c>
      <c r="D10" s="4" t="inlineStr">
        <is>
          <t>All</t>
        </is>
      </c>
      <c r="E10" s="5" t="inlineStr"/>
      <c r="F10" s="5" t="n"/>
      <c r="G10" s="5" t="n"/>
      <c r="H10" s="5" t="n"/>
      <c r="I10" s="4" t="n"/>
      <c r="J10" s="4" t="n"/>
      <c r="K10" s="5">
        <f>F10*G10*H10*I10</f>
        <v/>
      </c>
      <c r="L10" s="5" t="n"/>
    </row>
    <row r="11">
      <c r="A11" s="3" t="inlineStr">
        <is>
          <t>B. PONDASI &amp; SLOOF</t>
        </is>
      </c>
    </row>
    <row r="12">
      <c r="A12" s="4" t="n">
        <v>5</v>
      </c>
      <c r="B12" s="4" t="inlineStr">
        <is>
          <t>P1</t>
        </is>
      </c>
      <c r="C12" s="5" t="inlineStr">
        <is>
          <t>Pondasi Footplate P1 (100x100x50)</t>
        </is>
      </c>
      <c r="D12" s="4" t="inlineStr">
        <is>
          <t>Basement</t>
        </is>
      </c>
      <c r="E12" s="5" t="inlineStr">
        <is>
          <t>Grid A-D</t>
        </is>
      </c>
      <c r="F12" s="5" t="n"/>
      <c r="G12" s="5" t="n"/>
      <c r="H12" s="5" t="n"/>
      <c r="I12" s="4" t="n"/>
      <c r="J12" s="4" t="n"/>
      <c r="K12" s="5">
        <f>F12*G12*H12*I12</f>
        <v/>
      </c>
      <c r="L12" s="5" t="n"/>
    </row>
    <row r="13">
      <c r="A13" s="4" t="n">
        <v>6</v>
      </c>
      <c r="B13" s="4" t="inlineStr">
        <is>
          <t>P2</t>
        </is>
      </c>
      <c r="C13" s="5" t="inlineStr">
        <is>
          <t>Pondasi Footplate P2 (120x120x60)</t>
        </is>
      </c>
      <c r="D13" s="4" t="inlineStr">
        <is>
          <t>Basement</t>
        </is>
      </c>
      <c r="E13" s="5" t="inlineStr">
        <is>
          <t>Grid E-H</t>
        </is>
      </c>
      <c r="F13" s="5" t="n"/>
      <c r="G13" s="5" t="n"/>
      <c r="H13" s="5" t="n"/>
      <c r="I13" s="4" t="n"/>
      <c r="J13" s="4" t="n"/>
      <c r="K13" s="5">
        <f>F13*G13*H13*I13</f>
        <v/>
      </c>
      <c r="L13" s="5" t="n"/>
    </row>
    <row r="14">
      <c r="A14" s="4" t="n">
        <v>7</v>
      </c>
      <c r="B14" s="4" t="inlineStr">
        <is>
          <t>P3</t>
        </is>
      </c>
      <c r="C14" s="5" t="inlineStr">
        <is>
          <t>Pondasi Footplate P3 (150x150x70)</t>
        </is>
      </c>
      <c r="D14" s="4" t="inlineStr">
        <is>
          <t>Basement</t>
        </is>
      </c>
      <c r="E14" s="5" t="inlineStr">
        <is>
          <t>Grid I-L</t>
        </is>
      </c>
      <c r="F14" s="5" t="n"/>
      <c r="G14" s="5" t="n"/>
      <c r="H14" s="5" t="n"/>
      <c r="I14" s="4" t="n"/>
      <c r="J14" s="4" t="n"/>
      <c r="K14" s="5">
        <f>F14*G14*H14*I14</f>
        <v/>
      </c>
      <c r="L14" s="5" t="n"/>
    </row>
    <row r="15">
      <c r="A15" s="4" t="n">
        <v>8</v>
      </c>
      <c r="B15" s="4" t="inlineStr">
        <is>
          <t>S1</t>
        </is>
      </c>
      <c r="C15" s="5" t="inlineStr">
        <is>
          <t>Sloof S1 K-225 (20/30)</t>
        </is>
      </c>
      <c r="D15" s="4" t="inlineStr">
        <is>
          <t>Basement</t>
        </is>
      </c>
      <c r="E15" s="5" t="inlineStr">
        <is>
          <t>As A-L</t>
        </is>
      </c>
      <c r="F15" s="5" t="n"/>
      <c r="G15" s="5" t="n"/>
      <c r="H15" s="5" t="n"/>
      <c r="I15" s="4" t="n"/>
      <c r="J15" s="4" t="n"/>
      <c r="K15" s="5">
        <f>F15*G15*H15*I15</f>
        <v/>
      </c>
      <c r="L15" s="5" t="n"/>
    </row>
    <row r="16">
      <c r="A16" s="4" t="n">
        <v>9</v>
      </c>
      <c r="B16" s="4" t="inlineStr">
        <is>
          <t>S2</t>
        </is>
      </c>
      <c r="C16" s="5" t="inlineStr">
        <is>
          <t>Sloof S2 K-225 (15/25)</t>
        </is>
      </c>
      <c r="D16" s="4" t="inlineStr">
        <is>
          <t>Basement</t>
        </is>
      </c>
      <c r="E16" s="5" t="inlineStr">
        <is>
          <t>As 1-10</t>
        </is>
      </c>
      <c r="F16" s="5" t="n"/>
      <c r="G16" s="5" t="n"/>
      <c r="H16" s="5" t="n"/>
      <c r="I16" s="4" t="n"/>
      <c r="J16" s="4" t="n"/>
      <c r="K16" s="5">
        <f>F16*G16*H16*I16</f>
        <v/>
      </c>
      <c r="L16" s="5" t="n"/>
    </row>
    <row r="17">
      <c r="A17" s="3" t="inlineStr">
        <is>
          <t>C1. KOLOM BASEMENT</t>
        </is>
      </c>
    </row>
    <row r="18">
      <c r="A18" s="4" t="n">
        <v>10</v>
      </c>
      <c r="B18" s="4" t="inlineStr">
        <is>
          <t>K1</t>
        </is>
      </c>
      <c r="C18" s="5" t="inlineStr">
        <is>
          <t>Kolom K1 K-300 (70x70)</t>
        </is>
      </c>
      <c r="D18" s="4" t="inlineStr">
        <is>
          <t>Basement</t>
        </is>
      </c>
      <c r="E18" s="5" t="inlineStr">
        <is>
          <t>As A1-A4</t>
        </is>
      </c>
      <c r="F18" s="5" t="n"/>
      <c r="G18" s="5" t="n"/>
      <c r="H18" s="5" t="n"/>
      <c r="I18" s="4" t="n"/>
      <c r="J18" s="4" t="n"/>
      <c r="K18" s="5">
        <f>F18*G18*H18*I18</f>
        <v/>
      </c>
      <c r="L18" s="5" t="n"/>
    </row>
    <row r="19">
      <c r="A19" s="4" t="n">
        <v>11</v>
      </c>
      <c r="B19" s="4" t="inlineStr">
        <is>
          <t>K2</t>
        </is>
      </c>
      <c r="C19" s="5" t="inlineStr">
        <is>
          <t>Kolom K2 K-300 (65x65)</t>
        </is>
      </c>
      <c r="D19" s="4" t="inlineStr">
        <is>
          <t>Basement</t>
        </is>
      </c>
      <c r="E19" s="5" t="inlineStr">
        <is>
          <t>As B1-B6</t>
        </is>
      </c>
      <c r="F19" s="5" t="n"/>
      <c r="G19" s="5" t="n"/>
      <c r="H19" s="5" t="n"/>
      <c r="I19" s="4" t="n"/>
      <c r="J19" s="4" t="n"/>
      <c r="K19" s="5">
        <f>F19*G19*H19*I19</f>
        <v/>
      </c>
      <c r="L19" s="5" t="n"/>
    </row>
    <row r="20">
      <c r="A20" s="4" t="n">
        <v>12</v>
      </c>
      <c r="B20" s="4" t="inlineStr">
        <is>
          <t>K3</t>
        </is>
      </c>
      <c r="C20" s="5" t="inlineStr">
        <is>
          <t>Kolom K3 K-300 (50x50)</t>
        </is>
      </c>
      <c r="D20" s="4" t="inlineStr">
        <is>
          <t>Basement</t>
        </is>
      </c>
      <c r="E20" s="5" t="inlineStr">
        <is>
          <t>As C1-C8</t>
        </is>
      </c>
      <c r="F20" s="5" t="n"/>
      <c r="G20" s="5" t="n"/>
      <c r="H20" s="5" t="n"/>
      <c r="I20" s="4" t="n"/>
      <c r="J20" s="4" t="n"/>
      <c r="K20" s="5">
        <f>F20*G20*H20*I20</f>
        <v/>
      </c>
      <c r="L20" s="5" t="n"/>
    </row>
    <row r="21">
      <c r="A21" s="4" t="n">
        <v>13</v>
      </c>
      <c r="B21" s="4" t="inlineStr">
        <is>
          <t>K4</t>
        </is>
      </c>
      <c r="C21" s="5" t="inlineStr">
        <is>
          <t>Kolom K4 Praktis (13/13)</t>
        </is>
      </c>
      <c r="D21" s="4" t="inlineStr">
        <is>
          <t>Basement</t>
        </is>
      </c>
      <c r="E21" s="5" t="inlineStr">
        <is>
          <t>Partisi</t>
        </is>
      </c>
      <c r="F21" s="5" t="n"/>
      <c r="G21" s="5" t="n"/>
      <c r="H21" s="5" t="n"/>
      <c r="I21" s="4" t="n"/>
      <c r="J21" s="4" t="n"/>
      <c r="K21" s="5">
        <f>F21*G21*H21*I21</f>
        <v/>
      </c>
      <c r="L21" s="5" t="n"/>
    </row>
    <row r="22">
      <c r="A22" s="3" t="inlineStr">
        <is>
          <t>C2. KOLOM LANTAI 1</t>
        </is>
      </c>
    </row>
    <row r="23">
      <c r="A23" s="4" t="n">
        <v>14</v>
      </c>
      <c r="B23" s="4" t="inlineStr">
        <is>
          <t>K1</t>
        </is>
      </c>
      <c r="C23" s="5" t="inlineStr">
        <is>
          <t>Kolom K1 K-300 (70x70)</t>
        </is>
      </c>
      <c r="D23" s="4" t="inlineStr">
        <is>
          <t>Lantai 1</t>
        </is>
      </c>
      <c r="E23" s="5" t="inlineStr">
        <is>
          <t>As A1-A4</t>
        </is>
      </c>
      <c r="F23" s="5" t="n"/>
      <c r="G23" s="5" t="n"/>
      <c r="H23" s="5" t="n"/>
      <c r="I23" s="4" t="n"/>
      <c r="J23" s="4" t="n"/>
      <c r="K23" s="5">
        <f>F23*G23*H23*I23</f>
        <v/>
      </c>
      <c r="L23" s="5" t="n"/>
    </row>
    <row r="24">
      <c r="A24" s="4" t="n">
        <v>15</v>
      </c>
      <c r="B24" s="4" t="inlineStr">
        <is>
          <t>K2</t>
        </is>
      </c>
      <c r="C24" s="5" t="inlineStr">
        <is>
          <t>Kolom K2 K-300 (65x65)</t>
        </is>
      </c>
      <c r="D24" s="4" t="inlineStr">
        <is>
          <t>Lantai 1</t>
        </is>
      </c>
      <c r="E24" s="5" t="inlineStr">
        <is>
          <t>As B1-B6</t>
        </is>
      </c>
      <c r="F24" s="5" t="n"/>
      <c r="G24" s="5" t="n"/>
      <c r="H24" s="5" t="n"/>
      <c r="I24" s="4" t="n"/>
      <c r="J24" s="4" t="n"/>
      <c r="K24" s="5">
        <f>F24*G24*H24*I24</f>
        <v/>
      </c>
      <c r="L24" s="5" t="n"/>
    </row>
    <row r="25">
      <c r="A25" s="4" t="n">
        <v>16</v>
      </c>
      <c r="B25" s="4" t="inlineStr">
        <is>
          <t>K3</t>
        </is>
      </c>
      <c r="C25" s="5" t="inlineStr">
        <is>
          <t>Kolom K3 K-300 (50x50)</t>
        </is>
      </c>
      <c r="D25" s="4" t="inlineStr">
        <is>
          <t>Lantai 1</t>
        </is>
      </c>
      <c r="E25" s="5" t="inlineStr">
        <is>
          <t>As C1-C8</t>
        </is>
      </c>
      <c r="F25" s="5" t="n"/>
      <c r="G25" s="5" t="n"/>
      <c r="H25" s="5" t="n"/>
      <c r="I25" s="4" t="n"/>
      <c r="J25" s="4" t="n"/>
      <c r="K25" s="5">
        <f>F25*G25*H25*I25</f>
        <v/>
      </c>
      <c r="L25" s="5" t="n"/>
    </row>
    <row r="26">
      <c r="A26" s="4" t="n">
        <v>17</v>
      </c>
      <c r="B26" s="4" t="inlineStr">
        <is>
          <t>K4</t>
        </is>
      </c>
      <c r="C26" s="5" t="inlineStr">
        <is>
          <t>Kolom K4 Praktis (13/13)</t>
        </is>
      </c>
      <c r="D26" s="4" t="inlineStr">
        <is>
          <t>Lantai 1</t>
        </is>
      </c>
      <c r="E26" s="5" t="inlineStr">
        <is>
          <t>Partisi</t>
        </is>
      </c>
      <c r="F26" s="5" t="n"/>
      <c r="G26" s="5" t="n"/>
      <c r="H26" s="5" t="n"/>
      <c r="I26" s="4" t="n"/>
      <c r="J26" s="4" t="n"/>
      <c r="K26" s="5">
        <f>F26*G26*H26*I26</f>
        <v/>
      </c>
      <c r="L26" s="5" t="n"/>
    </row>
    <row r="27">
      <c r="A27" s="3" t="inlineStr">
        <is>
          <t>C3. KOLOM LANTAI 2</t>
        </is>
      </c>
    </row>
    <row r="28">
      <c r="A28" s="4" t="n">
        <v>18</v>
      </c>
      <c r="B28" s="4" t="inlineStr">
        <is>
          <t>K1</t>
        </is>
      </c>
      <c r="C28" s="5" t="inlineStr">
        <is>
          <t>Kolom K1 K-300 (70x70)</t>
        </is>
      </c>
      <c r="D28" s="4" t="inlineStr">
        <is>
          <t>Lantai 2</t>
        </is>
      </c>
      <c r="E28" s="5" t="inlineStr">
        <is>
          <t>As A1-A4</t>
        </is>
      </c>
      <c r="F28" s="5" t="n"/>
      <c r="G28" s="5" t="n"/>
      <c r="H28" s="5" t="n"/>
      <c r="I28" s="4" t="n"/>
      <c r="J28" s="4" t="n"/>
      <c r="K28" s="5">
        <f>F28*G28*H28*I28</f>
        <v/>
      </c>
      <c r="L28" s="5" t="n"/>
    </row>
    <row r="29">
      <c r="A29" s="4" t="n">
        <v>19</v>
      </c>
      <c r="B29" s="4" t="inlineStr">
        <is>
          <t>K2</t>
        </is>
      </c>
      <c r="C29" s="5" t="inlineStr">
        <is>
          <t>Kolom K2 K-300 (65x65)</t>
        </is>
      </c>
      <c r="D29" s="4" t="inlineStr">
        <is>
          <t>Lantai 2</t>
        </is>
      </c>
      <c r="E29" s="5" t="inlineStr">
        <is>
          <t>As B1-B6</t>
        </is>
      </c>
      <c r="F29" s="5" t="n"/>
      <c r="G29" s="5" t="n"/>
      <c r="H29" s="5" t="n"/>
      <c r="I29" s="4" t="n"/>
      <c r="J29" s="4" t="n"/>
      <c r="K29" s="5">
        <f>F29*G29*H29*I29</f>
        <v/>
      </c>
      <c r="L29" s="5" t="n"/>
    </row>
    <row r="30">
      <c r="A30" s="4" t="n">
        <v>20</v>
      </c>
      <c r="B30" s="4" t="inlineStr">
        <is>
          <t>K3</t>
        </is>
      </c>
      <c r="C30" s="5" t="inlineStr">
        <is>
          <t>Kolom K3 K-300 (50x50)</t>
        </is>
      </c>
      <c r="D30" s="4" t="inlineStr">
        <is>
          <t>Lantai 2</t>
        </is>
      </c>
      <c r="E30" s="5" t="inlineStr">
        <is>
          <t>As C1-C8</t>
        </is>
      </c>
      <c r="F30" s="5" t="n"/>
      <c r="G30" s="5" t="n"/>
      <c r="H30" s="5" t="n"/>
      <c r="I30" s="4" t="n"/>
      <c r="J30" s="4" t="n"/>
      <c r="K30" s="5">
        <f>F30*G30*H30*I30</f>
        <v/>
      </c>
      <c r="L30" s="5" t="n"/>
    </row>
    <row r="31">
      <c r="A31" s="3" t="inlineStr">
        <is>
          <t>D1. BALOK LANTAI 1</t>
        </is>
      </c>
    </row>
    <row r="32">
      <c r="A32" s="4" t="n">
        <v>21</v>
      </c>
      <c r="B32" s="4" t="inlineStr">
        <is>
          <t>B1</t>
        </is>
      </c>
      <c r="C32" s="5" t="inlineStr">
        <is>
          <t>Balok B1 Induk K-300 (20/35)</t>
        </is>
      </c>
      <c r="D32" s="4" t="inlineStr">
        <is>
          <t>Lantai 1</t>
        </is>
      </c>
      <c r="E32" s="5" t="inlineStr">
        <is>
          <t>As A-D</t>
        </is>
      </c>
      <c r="F32" s="5" t="n"/>
      <c r="G32" s="5" t="n"/>
      <c r="H32" s="5" t="n"/>
      <c r="I32" s="4" t="n"/>
      <c r="J32" s="4" t="n"/>
      <c r="K32" s="5">
        <f>F32*G32*H32*I32</f>
        <v/>
      </c>
      <c r="L32" s="5" t="n"/>
    </row>
    <row r="33">
      <c r="A33" s="4" t="n">
        <v>22</v>
      </c>
      <c r="B33" s="4" t="inlineStr">
        <is>
          <t>B2</t>
        </is>
      </c>
      <c r="C33" s="5" t="inlineStr">
        <is>
          <t>Balok B2 Anak K-300 (15/20)</t>
        </is>
      </c>
      <c r="D33" s="4" t="inlineStr">
        <is>
          <t>Lantai 1</t>
        </is>
      </c>
      <c r="E33" s="5" t="inlineStr">
        <is>
          <t>As E-H</t>
        </is>
      </c>
      <c r="F33" s="5" t="n"/>
      <c r="G33" s="5" t="n"/>
      <c r="H33" s="5" t="n"/>
      <c r="I33" s="4" t="n"/>
      <c r="J33" s="4" t="n"/>
      <c r="K33" s="5">
        <f>F33*G33*H33*I33</f>
        <v/>
      </c>
      <c r="L33" s="5" t="n"/>
    </row>
    <row r="34">
      <c r="A34" s="4" t="n">
        <v>23</v>
      </c>
      <c r="B34" s="4" t="inlineStr">
        <is>
          <t>B3</t>
        </is>
      </c>
      <c r="C34" s="5" t="inlineStr">
        <is>
          <t>Balok B3 Ring K-225 (13/15)</t>
        </is>
      </c>
      <c r="D34" s="4" t="inlineStr">
        <is>
          <t>Lantai 1</t>
        </is>
      </c>
      <c r="E34" s="5" t="inlineStr">
        <is>
          <t>Keliling</t>
        </is>
      </c>
      <c r="F34" s="5" t="n"/>
      <c r="G34" s="5" t="n"/>
      <c r="H34" s="5" t="n"/>
      <c r="I34" s="4" t="n"/>
      <c r="J34" s="4" t="n"/>
      <c r="K34" s="5">
        <f>F34*G34*H34*I34</f>
        <v/>
      </c>
      <c r="L34" s="5" t="n"/>
    </row>
    <row r="35">
      <c r="A35" s="4" t="n">
        <v>24</v>
      </c>
      <c r="B35" s="4" t="inlineStr">
        <is>
          <t>B4</t>
        </is>
      </c>
      <c r="C35" s="5" t="inlineStr">
        <is>
          <t>Balok B4 Latei K-225 (13/13)</t>
        </is>
      </c>
      <c r="D35" s="4" t="inlineStr">
        <is>
          <t>Lantai 1</t>
        </is>
      </c>
      <c r="E35" s="5" t="inlineStr">
        <is>
          <t>Pintu/Jendela</t>
        </is>
      </c>
      <c r="F35" s="5" t="n"/>
      <c r="G35" s="5" t="n"/>
      <c r="H35" s="5" t="n"/>
      <c r="I35" s="4" t="n"/>
      <c r="J35" s="4" t="n"/>
      <c r="K35" s="5">
        <f>F35*G35*H35*I35</f>
        <v/>
      </c>
      <c r="L35" s="5" t="n"/>
    </row>
    <row r="36">
      <c r="A36" s="3" t="inlineStr">
        <is>
          <t>D2. BALOK LANTAI 2</t>
        </is>
      </c>
    </row>
    <row r="37">
      <c r="A37" s="4" t="n">
        <v>25</v>
      </c>
      <c r="B37" s="4" t="inlineStr">
        <is>
          <t>B1</t>
        </is>
      </c>
      <c r="C37" s="5" t="inlineStr">
        <is>
          <t>Balok B1 Induk K-300 (20/35)</t>
        </is>
      </c>
      <c r="D37" s="4" t="inlineStr">
        <is>
          <t>Lantai 2</t>
        </is>
      </c>
      <c r="E37" s="5" t="inlineStr">
        <is>
          <t>As A-D</t>
        </is>
      </c>
      <c r="F37" s="5" t="n"/>
      <c r="G37" s="5" t="n"/>
      <c r="H37" s="5" t="n"/>
      <c r="I37" s="4" t="n"/>
      <c r="J37" s="4" t="n"/>
      <c r="K37" s="5">
        <f>F37*G37*H37*I37</f>
        <v/>
      </c>
      <c r="L37" s="5" t="n"/>
    </row>
    <row r="38">
      <c r="A38" s="4" t="n">
        <v>26</v>
      </c>
      <c r="B38" s="4" t="inlineStr">
        <is>
          <t>B2</t>
        </is>
      </c>
      <c r="C38" s="5" t="inlineStr">
        <is>
          <t>Balok B2 Anak K-300 (15/20)</t>
        </is>
      </c>
      <c r="D38" s="4" t="inlineStr">
        <is>
          <t>Lantai 2</t>
        </is>
      </c>
      <c r="E38" s="5" t="inlineStr">
        <is>
          <t>As E-H</t>
        </is>
      </c>
      <c r="F38" s="5" t="n"/>
      <c r="G38" s="5" t="n"/>
      <c r="H38" s="5" t="n"/>
      <c r="I38" s="4" t="n"/>
      <c r="J38" s="4" t="n"/>
      <c r="K38" s="5">
        <f>F38*G38*H38*I38</f>
        <v/>
      </c>
      <c r="L38" s="5" t="n"/>
    </row>
    <row r="39">
      <c r="A39" s="4" t="n">
        <v>27</v>
      </c>
      <c r="B39" s="4" t="inlineStr">
        <is>
          <t>B3</t>
        </is>
      </c>
      <c r="C39" s="5" t="inlineStr">
        <is>
          <t>Balok B3 Ring K-225 (13/15)</t>
        </is>
      </c>
      <c r="D39" s="4" t="inlineStr">
        <is>
          <t>Lantai 2</t>
        </is>
      </c>
      <c r="E39" s="5" t="inlineStr">
        <is>
          <t>Keliling</t>
        </is>
      </c>
      <c r="F39" s="5" t="n"/>
      <c r="G39" s="5" t="n"/>
      <c r="H39" s="5" t="n"/>
      <c r="I39" s="4" t="n"/>
      <c r="J39" s="4" t="n"/>
      <c r="K39" s="5">
        <f>F39*G39*H39*I39</f>
        <v/>
      </c>
      <c r="L39" s="5" t="n"/>
    </row>
    <row r="40">
      <c r="A40" s="3" t="inlineStr">
        <is>
          <t>E. PLAT LANTAI</t>
        </is>
      </c>
    </row>
    <row r="41">
      <c r="A41" s="4" t="n">
        <v>28</v>
      </c>
      <c r="B41" s="4" t="inlineStr">
        <is>
          <t>PL1</t>
        </is>
      </c>
      <c r="C41" s="5" t="inlineStr">
        <is>
          <t>Plat Lantai 1 K-300 t=12cm</t>
        </is>
      </c>
      <c r="D41" s="4" t="inlineStr">
        <is>
          <t>Lantai 1</t>
        </is>
      </c>
      <c r="E41" s="5" t="inlineStr">
        <is>
          <t>Zona A</t>
        </is>
      </c>
      <c r="F41" s="5" t="n"/>
      <c r="G41" s="5" t="n"/>
      <c r="H41" s="5" t="n"/>
      <c r="I41" s="4" t="n"/>
      <c r="J41" s="4" t="n"/>
      <c r="K41" s="5">
        <f>F41*G41*H41*I41</f>
        <v/>
      </c>
      <c r="L41" s="5" t="n"/>
    </row>
    <row r="42">
      <c r="A42" s="4" t="n">
        <v>29</v>
      </c>
      <c r="B42" s="4" t="inlineStr">
        <is>
          <t>PL1</t>
        </is>
      </c>
      <c r="C42" s="5" t="inlineStr">
        <is>
          <t>Plat Lantai 1 K-300 t=12cm</t>
        </is>
      </c>
      <c r="D42" s="4" t="inlineStr">
        <is>
          <t>Lantai 1</t>
        </is>
      </c>
      <c r="E42" s="5" t="inlineStr">
        <is>
          <t>Zona B</t>
        </is>
      </c>
      <c r="F42" s="5" t="n"/>
      <c r="G42" s="5" t="n"/>
      <c r="H42" s="5" t="n"/>
      <c r="I42" s="4" t="n"/>
      <c r="J42" s="4" t="n"/>
      <c r="K42" s="5">
        <f>F42*G42*H42*I42</f>
        <v/>
      </c>
      <c r="L42" s="5" t="n"/>
    </row>
    <row r="43">
      <c r="A43" s="4" t="n">
        <v>30</v>
      </c>
      <c r="B43" s="4" t="inlineStr">
        <is>
          <t>PL2</t>
        </is>
      </c>
      <c r="C43" s="5" t="inlineStr">
        <is>
          <t>Plat Lantai 2 K-300 t=12cm</t>
        </is>
      </c>
      <c r="D43" s="4" t="inlineStr">
        <is>
          <t>Lantai 2</t>
        </is>
      </c>
      <c r="E43" s="5" t="inlineStr">
        <is>
          <t>Zona A</t>
        </is>
      </c>
      <c r="F43" s="5" t="n"/>
      <c r="G43" s="5" t="n"/>
      <c r="H43" s="5" t="n"/>
      <c r="I43" s="4" t="n"/>
      <c r="J43" s="4" t="n"/>
      <c r="K43" s="5">
        <f>F43*G43*H43*I43</f>
        <v/>
      </c>
      <c r="L43" s="5" t="n"/>
    </row>
    <row r="44">
      <c r="A44" s="4" t="n">
        <v>31</v>
      </c>
      <c r="B44" s="4" t="inlineStr">
        <is>
          <t>PL2</t>
        </is>
      </c>
      <c r="C44" s="5" t="inlineStr">
        <is>
          <t>Plat Lantai 2 K-300 t=12cm</t>
        </is>
      </c>
      <c r="D44" s="4" t="inlineStr">
        <is>
          <t>Lantai 2</t>
        </is>
      </c>
      <c r="E44" s="5" t="inlineStr">
        <is>
          <t>Zona B</t>
        </is>
      </c>
      <c r="F44" s="5" t="n"/>
      <c r="G44" s="5" t="n"/>
      <c r="H44" s="5" t="n"/>
      <c r="I44" s="4" t="n"/>
      <c r="J44" s="4" t="n"/>
      <c r="K44" s="5">
        <f>F44*G44*H44*I44</f>
        <v/>
      </c>
      <c r="L44" s="5" t="n"/>
    </row>
    <row r="45">
      <c r="A45" s="4" t="n">
        <v>32</v>
      </c>
      <c r="B45" s="4" t="inlineStr">
        <is>
          <t>PL3</t>
        </is>
      </c>
      <c r="C45" s="5" t="inlineStr">
        <is>
          <t>Plat Atap K-300 t=10cm</t>
        </is>
      </c>
      <c r="D45" s="4" t="inlineStr">
        <is>
          <t>Atap</t>
        </is>
      </c>
      <c r="E45" s="5" t="inlineStr">
        <is>
          <t>Full</t>
        </is>
      </c>
      <c r="F45" s="5" t="n"/>
      <c r="G45" s="5" t="n"/>
      <c r="H45" s="5" t="n"/>
      <c r="I45" s="4" t="n"/>
      <c r="J45" s="4" t="n"/>
      <c r="K45" s="5">
        <f>F45*G45*H45*I45</f>
        <v/>
      </c>
      <c r="L45" s="5" t="n"/>
    </row>
    <row r="46">
      <c r="A46" s="4" t="n">
        <v>33</v>
      </c>
      <c r="B46" s="4" t="inlineStr">
        <is>
          <t>PT</t>
        </is>
      </c>
      <c r="C46" s="5" t="inlineStr">
        <is>
          <t>Plat Tangga K-300</t>
        </is>
      </c>
      <c r="D46" s="4" t="inlineStr">
        <is>
          <t>Tangga</t>
        </is>
      </c>
      <c r="E46" s="5" t="inlineStr"/>
      <c r="F46" s="5" t="n"/>
      <c r="G46" s="5" t="n"/>
      <c r="H46" s="5" t="n"/>
      <c r="I46" s="4" t="n"/>
      <c r="J46" s="4" t="n"/>
      <c r="K46" s="5">
        <f>F46*G46*H46*I46</f>
        <v/>
      </c>
      <c r="L46" s="5" t="n"/>
    </row>
    <row r="47">
      <c r="A47" s="4" t="n">
        <v>34</v>
      </c>
      <c r="B47" s="4" t="inlineStr">
        <is>
          <t>PB</t>
        </is>
      </c>
      <c r="C47" s="5" t="inlineStr">
        <is>
          <t>Plat Bordes K-300</t>
        </is>
      </c>
      <c r="D47" s="4" t="inlineStr">
        <is>
          <t>Tangga</t>
        </is>
      </c>
      <c r="E47" s="5" t="inlineStr"/>
      <c r="F47" s="5" t="n"/>
      <c r="G47" s="5" t="n"/>
      <c r="H47" s="5" t="n"/>
      <c r="I47" s="4" t="n"/>
      <c r="J47" s="4" t="n"/>
      <c r="K47" s="5">
        <f>F47*G47*H47*I47</f>
        <v/>
      </c>
      <c r="L47" s="5" t="n"/>
    </row>
    <row r="49">
      <c r="A49" s="6" t="inlineStr">
        <is>
          <t>TOTAL VOLUME STRUKTUR</t>
        </is>
      </c>
      <c r="K49" s="7">
        <f>SUM(K6:K48)</f>
        <v/>
      </c>
    </row>
  </sheetData>
  <mergeCells count="10">
    <mergeCell ref="A1:J1"/>
    <mergeCell ref="A11:L11"/>
    <mergeCell ref="A36:L36"/>
    <mergeCell ref="A31:L31"/>
    <mergeCell ref="A6:L6"/>
    <mergeCell ref="A22:L22"/>
    <mergeCell ref="A17:L17"/>
    <mergeCell ref="A40:L40"/>
    <mergeCell ref="A27:L27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ARSITEKTUR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Lokasi/Keterangan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Rumus/Cara Hitung</t>
        </is>
      </c>
    </row>
    <row r="6">
      <c r="A6" s="3" t="inlineStr">
        <is>
          <t>A. PEKERJAAN DINDING</t>
        </is>
      </c>
    </row>
    <row r="7">
      <c r="A7" s="4" t="n">
        <v>1</v>
      </c>
      <c r="B7" s="5" t="inlineStr">
        <is>
          <t>Pas. Dinding Bata Merah 1/2 Bata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Pas. Dinding Bata Merah 1 Bata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Pas. Dinding Hebel 10cm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Pas. Roster/Ventilasi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Plesteran 1:4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Acian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3" t="inlineStr">
        <is>
          <t>B. PEKERJAAN PINTU &amp; JENDELA</t>
        </is>
      </c>
    </row>
    <row r="14">
      <c r="A14" s="4" t="n">
        <v>7</v>
      </c>
      <c r="B14" s="5" t="inlineStr">
        <is>
          <t>Kusen Pintu Kayu Kamper</t>
        </is>
      </c>
      <c r="C14" s="5" t="n"/>
      <c r="D14" s="5" t="n"/>
      <c r="E14" s="5" t="n"/>
      <c r="F14" s="5" t="n"/>
      <c r="G14" s="4" t="n"/>
      <c r="H14" s="4" t="n"/>
      <c r="I14" s="5">
        <f>D14*E14*F14*G14</f>
        <v/>
      </c>
      <c r="J14" s="5" t="n"/>
    </row>
    <row r="15">
      <c r="A15" s="4" t="n">
        <v>8</v>
      </c>
      <c r="B15" s="5" t="inlineStr">
        <is>
          <t>Daun Pintu Kayu Panel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Kusen Jendela Aluminium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Daun Jendela Kaca + Aluminium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Pintu Rolling Door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Bouvenlight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3" t="inlineStr">
        <is>
          <t>C. PEKERJAAN LANTAI</t>
        </is>
      </c>
    </row>
    <row r="21">
      <c r="A21" s="4" t="n">
        <v>13</v>
      </c>
      <c r="B21" s="5" t="inlineStr">
        <is>
          <t>Pas. Keramik 40x40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4" t="n">
        <v>14</v>
      </c>
      <c r="B22" s="5" t="inlineStr">
        <is>
          <t>Pas. Keramik 50x50</t>
        </is>
      </c>
      <c r="C22" s="5" t="n"/>
      <c r="D22" s="5" t="n"/>
      <c r="E22" s="5" t="n"/>
      <c r="F22" s="5" t="n"/>
      <c r="G22" s="4" t="n"/>
      <c r="H22" s="4" t="n"/>
      <c r="I22" s="5">
        <f>D22*E22*F22*G22</f>
        <v/>
      </c>
      <c r="J22" s="5" t="n"/>
    </row>
    <row r="23">
      <c r="A23" s="4" t="n">
        <v>15</v>
      </c>
      <c r="B23" s="5" t="inlineStr">
        <is>
          <t>Pas. Granit 60x60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Pas. Homogenous Tile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Lantai Vynil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Plint Keramik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Plint Granit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PEKERJAAN PLAFON</t>
        </is>
      </c>
    </row>
    <row r="29">
      <c r="A29" s="4" t="n">
        <v>20</v>
      </c>
      <c r="B29" s="5" t="inlineStr">
        <is>
          <t>Rangka Hollow Plafon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Plafon Gypsum t=9mm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Plafon Kalsiboard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Cat Plafon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List Gypsum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  <row r="34">
      <c r="A34" s="3" t="inlineStr">
        <is>
          <t>E. PEKERJAAN ATAP</t>
        </is>
      </c>
    </row>
    <row r="35">
      <c r="A35" s="4" t="n">
        <v>25</v>
      </c>
      <c r="B35" s="5" t="inlineStr">
        <is>
          <t>Rangka Atap Baja Ringan</t>
        </is>
      </c>
      <c r="C35" s="5" t="n"/>
      <c r="D35" s="5" t="n"/>
      <c r="E35" s="5" t="n"/>
      <c r="F35" s="5" t="n"/>
      <c r="G35" s="4" t="n"/>
      <c r="H35" s="4" t="n"/>
      <c r="I35" s="5">
        <f>D35*E35*F35*G35</f>
        <v/>
      </c>
      <c r="J35" s="5" t="n"/>
    </row>
    <row r="36">
      <c r="A36" s="4" t="n">
        <v>26</v>
      </c>
      <c r="B36" s="5" t="inlineStr">
        <is>
          <t>Genteng Metal</t>
        </is>
      </c>
      <c r="C36" s="5" t="n"/>
      <c r="D36" s="5" t="n"/>
      <c r="E36" s="5" t="n"/>
      <c r="F36" s="5" t="n"/>
      <c r="G36" s="4" t="n"/>
      <c r="H36" s="4" t="n"/>
      <c r="I36" s="5">
        <f>D36*E36*F36*G36</f>
        <v/>
      </c>
      <c r="J36" s="5" t="n"/>
    </row>
    <row r="37">
      <c r="A37" s="4" t="n">
        <v>27</v>
      </c>
      <c r="B37" s="5" t="inlineStr">
        <is>
          <t>Genteng Beton</t>
        </is>
      </c>
      <c r="C37" s="5" t="n"/>
      <c r="D37" s="5" t="n"/>
      <c r="E37" s="5" t="n"/>
      <c r="F37" s="5" t="n"/>
      <c r="G37" s="4" t="n"/>
      <c r="H37" s="4" t="n"/>
      <c r="I37" s="5">
        <f>D37*E37*F37*G37</f>
        <v/>
      </c>
      <c r="J37" s="5" t="n"/>
    </row>
    <row r="38">
      <c r="A38" s="4" t="n">
        <v>28</v>
      </c>
      <c r="B38" s="5" t="inlineStr">
        <is>
          <t>Talang Air Horizontal</t>
        </is>
      </c>
      <c r="C38" s="5" t="n"/>
      <c r="D38" s="5" t="n"/>
      <c r="E38" s="5" t="n"/>
      <c r="F38" s="5" t="n"/>
      <c r="G38" s="4" t="n"/>
      <c r="H38" s="4" t="n"/>
      <c r="I38" s="5">
        <f>D38*E38*F38*G38</f>
        <v/>
      </c>
      <c r="J38" s="5" t="n"/>
    </row>
    <row r="39">
      <c r="A39" s="4" t="n">
        <v>29</v>
      </c>
      <c r="B39" s="5" t="inlineStr">
        <is>
          <t>Pipa Talang PVC 4"</t>
        </is>
      </c>
      <c r="C39" s="5" t="n"/>
      <c r="D39" s="5" t="n"/>
      <c r="E39" s="5" t="n"/>
      <c r="F39" s="5" t="n"/>
      <c r="G39" s="4" t="n"/>
      <c r="H39" s="4" t="n"/>
      <c r="I39" s="5">
        <f>D39*E39*F39*G39</f>
        <v/>
      </c>
      <c r="J39" s="5" t="n"/>
    </row>
    <row r="40">
      <c r="A40" s="4" t="n">
        <v>30</v>
      </c>
      <c r="B40" s="5" t="inlineStr">
        <is>
          <t>Nok Genteng</t>
        </is>
      </c>
      <c r="C40" s="5" t="n"/>
      <c r="D40" s="5" t="n"/>
      <c r="E40" s="5" t="n"/>
      <c r="F40" s="5" t="n"/>
      <c r="G40" s="4" t="n"/>
      <c r="H40" s="4" t="n"/>
      <c r="I40" s="5">
        <f>D40*E40*F40*G40</f>
        <v/>
      </c>
      <c r="J40" s="5" t="n"/>
    </row>
    <row r="41">
      <c r="A41" s="3" t="inlineStr">
        <is>
          <t>F. PEKERJAAN PENGECATAN</t>
        </is>
      </c>
    </row>
    <row r="42">
      <c r="A42" s="4" t="n">
        <v>31</v>
      </c>
      <c r="B42" s="5" t="inlineStr">
        <is>
          <t>Cat Tembok Interior</t>
        </is>
      </c>
      <c r="C42" s="5" t="n"/>
      <c r="D42" s="5" t="n"/>
      <c r="E42" s="5" t="n"/>
      <c r="F42" s="5" t="n"/>
      <c r="G42" s="4" t="n"/>
      <c r="H42" s="4" t="n"/>
      <c r="I42" s="5">
        <f>D42*E42*F42*G42</f>
        <v/>
      </c>
      <c r="J42" s="5" t="n"/>
    </row>
    <row r="43">
      <c r="A43" s="4" t="n">
        <v>32</v>
      </c>
      <c r="B43" s="5" t="inlineStr">
        <is>
          <t>Cat Tembok Exterior</t>
        </is>
      </c>
      <c r="C43" s="5" t="n"/>
      <c r="D43" s="5" t="n"/>
      <c r="E43" s="5" t="n"/>
      <c r="F43" s="5" t="n"/>
      <c r="G43" s="4" t="n"/>
      <c r="H43" s="4" t="n"/>
      <c r="I43" s="5">
        <f>D43*E43*F43*G43</f>
        <v/>
      </c>
      <c r="J43" s="5" t="n"/>
    </row>
    <row r="44">
      <c r="A44" s="4" t="n">
        <v>33</v>
      </c>
      <c r="B44" s="5" t="inlineStr">
        <is>
          <t>Cat Kayu/Besi</t>
        </is>
      </c>
      <c r="C44" s="5" t="n"/>
      <c r="D44" s="5" t="n"/>
      <c r="E44" s="5" t="n"/>
      <c r="F44" s="5" t="n"/>
      <c r="G44" s="4" t="n"/>
      <c r="H44" s="4" t="n"/>
      <c r="I44" s="5">
        <f>D44*E44*F44*G44</f>
        <v/>
      </c>
      <c r="J44" s="5" t="n"/>
    </row>
    <row r="45">
      <c r="A45" s="4" t="n">
        <v>34</v>
      </c>
      <c r="B45" s="5" t="inlineStr">
        <is>
          <t>Cat Waterproofing</t>
        </is>
      </c>
      <c r="C45" s="5" t="n"/>
      <c r="D45" s="5" t="n"/>
      <c r="E45" s="5" t="n"/>
      <c r="F45" s="5" t="n"/>
      <c r="G45" s="4" t="n"/>
      <c r="H45" s="4" t="n"/>
      <c r="I45" s="5">
        <f>D45*E45*F45*G45</f>
        <v/>
      </c>
      <c r="J45" s="5" t="n"/>
    </row>
  </sheetData>
  <mergeCells count="7">
    <mergeCell ref="A1:J1"/>
    <mergeCell ref="A6:J6"/>
    <mergeCell ref="A34:J34"/>
    <mergeCell ref="A20:J20"/>
    <mergeCell ref="A28:J28"/>
    <mergeCell ref="A41:J41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MEP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Spesifikasi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Keterangan</t>
        </is>
      </c>
    </row>
    <row r="6">
      <c r="A6" s="3" t="inlineStr">
        <is>
          <t>A. PEKERJAAN LISTRIK</t>
        </is>
      </c>
    </row>
    <row r="7">
      <c r="A7" s="4" t="n">
        <v>1</v>
      </c>
      <c r="B7" s="5" t="inlineStr">
        <is>
          <t>Panel Box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Kabel NYM 3x2.5mm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Saklar Tunggal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Stop Kontak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Lampu LED 18W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Lampu TL 36W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4" t="n">
        <v>7</v>
      </c>
      <c r="B13" s="5" t="inlineStr">
        <is>
          <t>Conduit Pipe</t>
        </is>
      </c>
      <c r="C13" s="5" t="n"/>
      <c r="D13" s="5" t="n"/>
      <c r="E13" s="5" t="n"/>
      <c r="F13" s="5" t="n"/>
      <c r="G13" s="4" t="n"/>
      <c r="H13" s="4" t="n"/>
      <c r="I13" s="5">
        <f>D13*E13*F13*G13</f>
        <v/>
      </c>
      <c r="J13" s="5" t="n"/>
    </row>
    <row r="14">
      <c r="A14" s="3" t="inlineStr">
        <is>
          <t>B. PEKERJAAN PLUMBING</t>
        </is>
      </c>
    </row>
    <row r="15">
      <c r="A15" s="4" t="n">
        <v>8</v>
      </c>
      <c r="B15" s="5" t="inlineStr">
        <is>
          <t>Pipa Air Bersih PVC 1/2"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Pipa Air Bersih PVC 3/4"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Pipa Air Kotor PVC 4"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Pipa Air Kotor PVC 3"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Floor Drain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4" t="n">
        <v>13</v>
      </c>
      <c r="B20" s="5" t="inlineStr">
        <is>
          <t>Kran Air</t>
        </is>
      </c>
      <c r="C20" s="5" t="n"/>
      <c r="D20" s="5" t="n"/>
      <c r="E20" s="5" t="n"/>
      <c r="F20" s="5" t="n"/>
      <c r="G20" s="4" t="n"/>
      <c r="H20" s="4" t="n"/>
      <c r="I20" s="5">
        <f>D20*E20*F20*G20</f>
        <v/>
      </c>
      <c r="J20" s="5" t="n"/>
    </row>
    <row r="21">
      <c r="A21" s="4" t="n">
        <v>14</v>
      </c>
      <c r="B21" s="5" t="inlineStr">
        <is>
          <t>Septictank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3" t="inlineStr">
        <is>
          <t>C. PEKERJAAN AC &amp; MECHANICAL</t>
        </is>
      </c>
    </row>
    <row r="23">
      <c r="A23" s="4" t="n">
        <v>15</v>
      </c>
      <c r="B23" s="5" t="inlineStr">
        <is>
          <t>AC Split 1 PK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AC Split 2 PK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Ducting AC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Exhaust Fan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Pompa Air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SANITAIR</t>
        </is>
      </c>
    </row>
    <row r="29">
      <c r="A29" s="4" t="n">
        <v>20</v>
      </c>
      <c r="B29" s="5" t="inlineStr">
        <is>
          <t>Closet Duduk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Closet Jongkok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Wastafel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Urinoir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Shower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</sheetData>
  <mergeCells count="5">
    <mergeCell ref="A1:J1"/>
    <mergeCell ref="A14:J14"/>
    <mergeCell ref="A6:J6"/>
    <mergeCell ref="A22:J2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PANDUAN PENGISIAN TEMPLATE VOLUME</t>
        </is>
      </c>
    </row>
    <row r="2">
      <c r="A2" s="9" t="inlineStr"/>
    </row>
    <row r="3">
      <c r="A3" s="10" t="inlineStr">
        <is>
          <t>CARA MENGISI TEMPLATE:</t>
        </is>
      </c>
    </row>
    <row r="4">
      <c r="A4" s="9" t="inlineStr"/>
    </row>
    <row r="5">
      <c r="A5" s="11" t="inlineStr">
        <is>
          <t>1. BUKA GAMBAR DED</t>
        </is>
      </c>
    </row>
    <row r="6">
      <c r="A6" s="9" t="inlineStr">
        <is>
          <t xml:space="preserve">   - Gunakan AutoCAD, DWG TrueView, atau viewer DWG lainnya</t>
        </is>
      </c>
    </row>
    <row r="7">
      <c r="A7" s="9" t="inlineStr">
        <is>
          <t xml:space="preserve">   - Perhatikan detail dimensi, layer, dan keterangan</t>
        </is>
      </c>
    </row>
    <row r="8">
      <c r="A8" s="9" t="inlineStr"/>
    </row>
    <row r="9">
      <c r="A9" s="11" t="inlineStr">
        <is>
          <t>2. IDENTIFIKASI ITEM PEKERJAAN</t>
        </is>
      </c>
    </row>
    <row r="10">
      <c r="A10" s="9" t="inlineStr">
        <is>
          <t xml:space="preserve">   - Lihat gambar denah, potongan, dan detail</t>
        </is>
      </c>
    </row>
    <row r="11">
      <c r="A11" s="9" t="inlineStr">
        <is>
          <t xml:space="preserve">   - Catat setiap item yang terlihat</t>
        </is>
      </c>
    </row>
    <row r="12">
      <c r="A12" s="9" t="inlineStr">
        <is>
          <t xml:space="preserve">   - Perhatikan as/grid untuk lokasi</t>
        </is>
      </c>
    </row>
    <row r="13">
      <c r="A13" s="9" t="inlineStr"/>
    </row>
    <row r="14">
      <c r="A14" s="11" t="inlineStr">
        <is>
          <t>3. UKUR/BACA DIMENSI</t>
        </is>
      </c>
    </row>
    <row r="15">
      <c r="A15" s="9" t="inlineStr">
        <is>
          <t xml:space="preserve">   - Panjang (m): Baca dari gambar</t>
        </is>
      </c>
    </row>
    <row r="16">
      <c r="A16" s="9" t="inlineStr">
        <is>
          <t xml:space="preserve">   - Lebar (m): Baca dari gambar</t>
        </is>
      </c>
    </row>
    <row r="17">
      <c r="A17" s="9" t="inlineStr">
        <is>
          <t xml:space="preserve">   - Tinggi/Tebal (m): Baca dari gambar atau keterangan</t>
        </is>
      </c>
    </row>
    <row r="18">
      <c r="A18" s="9" t="inlineStr">
        <is>
          <t xml:space="preserve">   - Jumlah: Hitung berapa banyak item yang sama</t>
        </is>
      </c>
    </row>
    <row r="19">
      <c r="A19" s="9" t="inlineStr"/>
    </row>
    <row r="20">
      <c r="A20" s="11" t="inlineStr">
        <is>
          <t>4. ISI KE TEMPLATE</t>
        </is>
      </c>
    </row>
    <row r="21">
      <c r="A21" s="9" t="inlineStr">
        <is>
          <t xml:space="preserve">   - Kolom Lokasi: As/Grid atau nama ruangan</t>
        </is>
      </c>
    </row>
    <row r="22">
      <c r="A22" s="9" t="inlineStr">
        <is>
          <t xml:space="preserve">   - Kolom P, L, T: Isi sesuai ukuran gambar (dalam meter)</t>
        </is>
      </c>
    </row>
    <row r="23">
      <c r="A23" s="9" t="inlineStr">
        <is>
          <t xml:space="preserve">   - Kolom Jumlah: Isi jumlah item yang sama</t>
        </is>
      </c>
    </row>
    <row r="24">
      <c r="A24" s="9" t="inlineStr">
        <is>
          <t xml:space="preserve">   - Kolom Satuan: m3 (kubik), m2 (persegi), m1 (meter), unit</t>
        </is>
      </c>
    </row>
    <row r="25">
      <c r="A25" s="9" t="inlineStr">
        <is>
          <t xml:space="preserve">   - Kolom Volume: OTOMATIS terhitung (P x L x T x Jumlah)</t>
        </is>
      </c>
    </row>
    <row r="26">
      <c r="A26" s="9" t="inlineStr">
        <is>
          <t xml:space="preserve">   - Kolom Rumus: Jelaskan cara hitungnya jika berbeda</t>
        </is>
      </c>
    </row>
    <row r="27">
      <c r="A27" s="9" t="inlineStr"/>
    </row>
    <row r="28">
      <c r="A28" s="11" t="inlineStr">
        <is>
          <t>5. RUMUS VOLUME STANDAR:</t>
        </is>
      </c>
    </row>
    <row r="29">
      <c r="A29" s="9" t="inlineStr">
        <is>
          <t xml:space="preserve">   • Beton (m3) = Panjang x Lebar x Tinggi x Jumlah</t>
        </is>
      </c>
    </row>
    <row r="30">
      <c r="A30" s="9" t="inlineStr">
        <is>
          <t xml:space="preserve">   • Dinding (m2) = Panjang x Tinggi x Jumlah</t>
        </is>
      </c>
    </row>
    <row r="31">
      <c r="A31" s="9" t="inlineStr">
        <is>
          <t xml:space="preserve">   • Lantai (m2) = Panjang x Lebar</t>
        </is>
      </c>
    </row>
    <row r="32">
      <c r="A32" s="9" t="inlineStr">
        <is>
          <t xml:space="preserve">   • Pipa (m1) = Panjang total</t>
        </is>
      </c>
    </row>
    <row r="33">
      <c r="A33" s="9" t="inlineStr">
        <is>
          <t xml:space="preserve">   • Pintu/Jendela (unit) = Jumlah</t>
        </is>
      </c>
    </row>
    <row r="34">
      <c r="A34" s="9" t="inlineStr"/>
    </row>
    <row r="35">
      <c r="A35" s="11" t="inlineStr">
        <is>
          <t>6. CONTOH PENGISIAN:</t>
        </is>
      </c>
    </row>
    <row r="36">
      <c r="A36" s="9" t="inlineStr">
        <is>
          <t xml:space="preserve">   Kolom K1 (20x30) di As A-1 s/d A-5:</t>
        </is>
      </c>
    </row>
    <row r="37">
      <c r="A37" s="9" t="inlineStr">
        <is>
          <t xml:space="preserve">   - Item: Kolom Utama K-300 (20/30)</t>
        </is>
      </c>
    </row>
    <row r="38">
      <c r="A38" s="9" t="inlineStr">
        <is>
          <t xml:space="preserve">   - Lokasi: As A-1 s/d A-5</t>
        </is>
      </c>
    </row>
    <row r="39">
      <c r="A39" s="9" t="inlineStr">
        <is>
          <t xml:space="preserve">   - Panjang: 0.20 m</t>
        </is>
      </c>
    </row>
    <row r="40">
      <c r="A40" s="9" t="inlineStr">
        <is>
          <t xml:space="preserve">   - Lebar: 0.30 m</t>
        </is>
      </c>
    </row>
    <row r="41">
      <c r="A41" s="9" t="inlineStr">
        <is>
          <t xml:space="preserve">   - Tinggi: 4.00 m (tinggi lantai)</t>
        </is>
      </c>
    </row>
    <row r="42">
      <c r="A42" s="9" t="inlineStr">
        <is>
          <t xml:space="preserve">   - Jumlah: 5 (jumlah kolom)</t>
        </is>
      </c>
    </row>
    <row r="43">
      <c r="A43" s="9" t="inlineStr">
        <is>
          <t xml:space="preserve">   - Satuan: m3</t>
        </is>
      </c>
    </row>
    <row r="44">
      <c r="A44" s="9" t="inlineStr">
        <is>
          <t xml:space="preserve">   - Volume: =0.20*0.30*4.00*5 = 1.20 m3</t>
        </is>
      </c>
    </row>
    <row r="45">
      <c r="A45" s="9" t="inlineStr"/>
    </row>
    <row r="46">
      <c r="A46" s="11" t="inlineStr">
        <is>
          <t>7. TIPS MEMBACA GAMBAR:</t>
        </is>
      </c>
    </row>
    <row r="47">
      <c r="A47" s="9" t="inlineStr">
        <is>
          <t xml:space="preserve">   ✓ Perhatikan skala gambar</t>
        </is>
      </c>
    </row>
    <row r="48">
      <c r="A48" s="9" t="inlineStr">
        <is>
          <t xml:space="preserve">   ✓ Lihat tabel/schedule jika ada</t>
        </is>
      </c>
    </row>
    <row r="49">
      <c r="A49" s="9" t="inlineStr">
        <is>
          <t xml:space="preserve">   ✓ Cek gambar detail untuk spesifikasi</t>
        </is>
      </c>
    </row>
    <row r="50">
      <c r="A50" s="9" t="inlineStr">
        <is>
          <t xml:space="preserve">   ✓ Perhatikan keterangan/notes</t>
        </is>
      </c>
    </row>
    <row r="51">
      <c r="A51" s="9" t="inlineStr">
        <is>
          <t xml:space="preserve">   ✓ Pastikan satuan konsisten (gunakan meter)</t>
        </is>
      </c>
    </row>
    <row r="52">
      <c r="A52" s="9" t="inlineStr"/>
    </row>
    <row r="53">
      <c r="A53" s="11" t="inlineStr">
        <is>
          <t>8. SETELAH SELESAI:</t>
        </is>
      </c>
    </row>
    <row r="54">
      <c r="A54" s="9" t="inlineStr">
        <is>
          <t xml:space="preserve">   ✓ Simpan file dengan nama: 'Volume_dari_Gambar.xlsx'</t>
        </is>
      </c>
    </row>
    <row r="55">
      <c r="A55" s="9" t="inlineStr">
        <is>
          <t xml:space="preserve">   ✓ Jalankan script perbandingan</t>
        </is>
      </c>
    </row>
    <row r="56">
      <c r="A56" s="9" t="inlineStr">
        <is>
          <t xml:space="preserve">   ✓ Script akan membandingkan dengan RAB</t>
        </is>
      </c>
    </row>
    <row r="57">
      <c r="A57" s="9" t="inlineStr">
        <is>
          <t xml:space="preserve">   ✓ Hasil analisis akan otomatis dibuat</t>
        </is>
      </c>
    </row>
    <row r="58">
      <c r="A58" s="9" t="inlineStr"/>
    </row>
    <row r="59">
      <c r="A59" s="10" t="inlineStr">
        <is>
          <t>CATATAN PENTING:</t>
        </is>
      </c>
    </row>
    <row r="60">
      <c r="A60" s="9" t="inlineStr">
        <is>
          <t>• Isi semua item yang terlihat di gambar</t>
        </is>
      </c>
    </row>
    <row r="61">
      <c r="A61" s="9" t="inlineStr">
        <is>
          <t>• Jika ragu, beri keterangan di kolom 'Rumus/Cara Hitung'</t>
        </is>
      </c>
    </row>
    <row r="62">
      <c r="A62" s="9" t="inlineStr">
        <is>
          <t>• Volume akan otomatis terhitung dengan formula</t>
        </is>
      </c>
    </row>
    <row r="63">
      <c r="A63" s="9" t="inlineStr">
        <is>
          <t>• Tidak perlu isi kolom volume manual (sudah ada formula)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2026-01-19T12:51:36Z</dcterms:created>
  <dcterms:modified xsi:type="dcterms:W3CDTF">2026-01-19T12:51:36Z</dcterms:modified>
</cp:coreProperties>
</file>